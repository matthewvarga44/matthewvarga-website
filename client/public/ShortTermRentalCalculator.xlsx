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Analysis" sheetId="2" r:id="rId5"/>
    <sheet name="5 Year Projected" sheetId="3" r:id="rId6"/>
  </sheets>
</workbook>
</file>

<file path=xl/sharedStrings.xml><?xml version="1.0" encoding="utf-8"?>
<sst xmlns="http://schemas.openxmlformats.org/spreadsheetml/2006/main" uniqueCount="105">
  <si>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</si>
  <si>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</si>
  <si>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</si>
  <si>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</si>
  <si>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Analysis</t>
  </si>
  <si>
    <t>Table 1</t>
  </si>
  <si>
    <t>Short Term Rental Property Analysis:</t>
  </si>
  <si>
    <t>Property Info:</t>
  </si>
  <si>
    <t>Purchase:</t>
  </si>
  <si>
    <t>Expenses:</t>
  </si>
  <si>
    <t>Address:</t>
  </si>
  <si>
    <t>4728 Avenida La Manana</t>
  </si>
  <si>
    <t>Asking Price:</t>
  </si>
  <si>
    <t>Mortgage Amount:</t>
  </si>
  <si>
    <t xml:space="preserve">City: </t>
  </si>
  <si>
    <t>Joshua Tree</t>
  </si>
  <si>
    <t>Offer Price:</t>
  </si>
  <si>
    <t>Term: (Years)</t>
  </si>
  <si>
    <t>State:</t>
  </si>
  <si>
    <t>CA</t>
  </si>
  <si>
    <t>Down Payment (%):</t>
  </si>
  <si>
    <t># of Payments:</t>
  </si>
  <si>
    <t>Zip Code:</t>
  </si>
  <si>
    <t>Down Payment ($):</t>
  </si>
  <si>
    <t>Interest Rate (%):</t>
  </si>
  <si>
    <t>Bedroom:</t>
  </si>
  <si>
    <t>Studio</t>
  </si>
  <si>
    <t>Estimated Closing Cost (%):</t>
  </si>
  <si>
    <t>Monthly Principle/Interest:</t>
  </si>
  <si>
    <t>Bath:</t>
  </si>
  <si>
    <t>Estimated Closing Cost ($):</t>
  </si>
  <si>
    <t>Estimated Property Tax (Yr):</t>
  </si>
  <si>
    <t>Square Feet:</t>
  </si>
  <si>
    <t>Renovation Cost:</t>
  </si>
  <si>
    <t>Estimated Property Tax (Mo):</t>
  </si>
  <si>
    <t>Subdivision:</t>
  </si>
  <si>
    <t>Setup Cost:</t>
  </si>
  <si>
    <t>Estimated Insurance: (Yr)</t>
  </si>
  <si>
    <t>Year Built:</t>
  </si>
  <si>
    <t>Total Investment:</t>
  </si>
  <si>
    <t>Estimated Insurance: (Mo)</t>
  </si>
  <si>
    <t>Other Info:</t>
  </si>
  <si>
    <t>Private Mortgage Insurance (Yr):</t>
  </si>
  <si>
    <t>Income:</t>
  </si>
  <si>
    <t>Private Mortgage Insurance (Mo):</t>
  </si>
  <si>
    <t>Comments:</t>
  </si>
  <si>
    <t>Gross Income (Yr):</t>
  </si>
  <si>
    <t>Monthly HOA:</t>
  </si>
  <si>
    <t>Gross Income (Mo):</t>
  </si>
  <si>
    <t>Estimated Monthly Utilites: (Water/Elec/Gas)</t>
  </si>
  <si>
    <t>Average Nightly Rate:</t>
  </si>
  <si>
    <t>AirBNB Fee (Yr): 3%</t>
  </si>
  <si>
    <t>Average Occupancy:</t>
  </si>
  <si>
    <t>AirBNB Fee (Mo): 3%</t>
  </si>
  <si>
    <t>Cleaning Fee (Mo):</t>
  </si>
  <si>
    <t>Net Operating Income:</t>
  </si>
  <si>
    <t>Cable/Internet (Mo):</t>
  </si>
  <si>
    <t>Cap Rate:</t>
  </si>
  <si>
    <t>Repairs/Maintenance (Mo) (%)</t>
  </si>
  <si>
    <t>Cash Flow (Yr):</t>
  </si>
  <si>
    <t>Repairs/Maintenance (Mo) ($)</t>
  </si>
  <si>
    <t>Cash Flow (Mo):</t>
  </si>
  <si>
    <t>Management Fee (Mo) (%)</t>
  </si>
  <si>
    <t>Cash on Cash Return:</t>
  </si>
  <si>
    <t>Management Fee (Mo) ($)</t>
  </si>
  <si>
    <t>User Input:</t>
  </si>
  <si>
    <t>Calculated:</t>
  </si>
  <si>
    <t>Operating Expenses: (Annual)</t>
  </si>
  <si>
    <t>Operating Expenses: (Monthly)</t>
  </si>
  <si>
    <t>Total Expenses: (Annual)</t>
  </si>
  <si>
    <t>Total Expenses: (Monthly)</t>
  </si>
  <si>
    <t>5 Year Projected</t>
  </si>
  <si>
    <t>Projected Year 1:</t>
  </si>
  <si>
    <t>Projected Year 2:</t>
  </si>
  <si>
    <t>Projected Year 3:</t>
  </si>
  <si>
    <t>Projected Year 4:</t>
  </si>
  <si>
    <t>Projected Year 5:</t>
  </si>
  <si>
    <t>Annual Increase in Gross Income: (%)</t>
  </si>
  <si>
    <t>Annual Increase in Operating Expenses: (%)</t>
  </si>
  <si>
    <t>Annual Appreciation: (%)</t>
  </si>
  <si>
    <t>5 YEAR TOTALS:</t>
  </si>
  <si>
    <t>Annual Gross Rental Income:</t>
  </si>
  <si>
    <t>Total Annual Gross Income:</t>
  </si>
  <si>
    <t xml:space="preserve">Annual Operating Expenses: </t>
  </si>
  <si>
    <t>Total Operating Expenses:</t>
  </si>
  <si>
    <t>Mortage Debt:</t>
  </si>
  <si>
    <t>Total Mortgage Payments:</t>
  </si>
  <si>
    <t xml:space="preserve">Cash Flow: </t>
  </si>
  <si>
    <t>Total Cash Flow:</t>
  </si>
  <si>
    <t>Monthly Cash Flow:</t>
  </si>
  <si>
    <t>Average Monthly CF:</t>
  </si>
  <si>
    <t>CoC Return from Initial Investment:</t>
  </si>
  <si>
    <t>Property Value:</t>
  </si>
  <si>
    <t>Increase In Value:</t>
  </si>
  <si>
    <t>Amount Owed:</t>
  </si>
  <si>
    <t>Mortgage Paydown:</t>
  </si>
  <si>
    <t>Equity:</t>
  </si>
  <si>
    <t>Appreciation + Cash flow:</t>
  </si>
  <si>
    <t>Mortgage Breakdown:</t>
  </si>
  <si>
    <t>Return on Initial Investment:</t>
  </si>
  <si>
    <t>I: (Monthly)</t>
  </si>
  <si>
    <t>Monthly Payment:</t>
  </si>
  <si>
    <t>Net Proceeds after Sale: (4% Agent Commision)</t>
  </si>
  <si>
    <t>Interest:</t>
  </si>
  <si>
    <t>Principal Paydown:</t>
  </si>
</sst>
</file>

<file path=xl/styles.xml><?xml version="1.0" encoding="utf-8"?>
<styleSheet xmlns="http://schemas.openxmlformats.org/spreadsheetml/2006/main">
  <numFmts count="6">
    <numFmt numFmtId="0" formatCode="General"/>
    <numFmt numFmtId="59" formatCode="&quot; &quot;&quot;$&quot;* #,##0.00&quot; &quot;;&quot; &quot;&quot;$&quot;* (#,##0.00);&quot; &quot;&quot;$&quot;* &quot;-&quot;??&quot; &quot;"/>
    <numFmt numFmtId="60" formatCode="0.000%"/>
    <numFmt numFmtId="61" formatCode="&quot;$&quot;#,##0.00"/>
    <numFmt numFmtId="62" formatCode="0.0%"/>
    <numFmt numFmtId="63" formatCode="&quot;$&quot;#,##0.00&quot; &quot;;(&quot;$&quot;#,##0.00)"/>
  </numFmts>
  <fonts count="13">
    <font>
      <sz val="12"/>
      <color indexed="8"/>
      <name val="Arial"/>
    </font>
    <font>
      <sz val="14"/>
      <color indexed="8"/>
      <name val="Arial"/>
    </font>
    <font>
      <sz val="12"/>
      <color indexed="8"/>
      <name val="Helvetica Neue"/>
    </font>
    <font>
      <u val="single"/>
      <sz val="12"/>
      <color indexed="11"/>
      <name val="Arial"/>
    </font>
    <font>
      <sz val="15"/>
      <color indexed="8"/>
      <name val="Calibri"/>
    </font>
    <font>
      <sz val="36"/>
      <color indexed="12"/>
      <name val="Arial Hebrew Scholar"/>
    </font>
    <font>
      <b val="1"/>
      <sz val="12"/>
      <color indexed="12"/>
      <name val="Calibri"/>
    </font>
    <font>
      <sz val="12"/>
      <color indexed="8"/>
      <name val="Calibri"/>
    </font>
    <font>
      <b val="1"/>
      <sz val="12"/>
      <color indexed="8"/>
      <name val="Calibri"/>
    </font>
    <font>
      <b val="1"/>
      <sz val="12"/>
      <color indexed="8"/>
      <name val="Arial"/>
    </font>
    <font>
      <b val="1"/>
      <i val="1"/>
      <sz val="12"/>
      <color indexed="8"/>
      <name val="Calibri"/>
    </font>
    <font>
      <b val="1"/>
      <i val="1"/>
      <sz val="14"/>
      <color indexed="8"/>
      <name val="Calibri"/>
    </font>
    <font>
      <b val="1"/>
      <i val="1"/>
      <sz val="16"/>
      <color indexed="8"/>
      <name val="Calibri"/>
    </font>
  </fonts>
  <fills count="13">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8"/>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s>
  <borders count="60">
    <border>
      <left/>
      <right/>
      <top/>
      <bottom/>
      <diagonal/>
    </border>
    <border>
      <left style="medium">
        <color indexed="8"/>
      </left>
      <right/>
      <top style="medium">
        <color indexed="8"/>
      </top>
      <bottom style="medium">
        <color indexed="8"/>
      </bottom>
      <diagonal/>
    </border>
    <border>
      <left/>
      <right style="thin">
        <color indexed="14"/>
      </right>
      <top style="medium">
        <color indexed="8"/>
      </top>
      <bottom style="medium">
        <color indexed="8"/>
      </bottom>
      <diagonal/>
    </border>
    <border>
      <left style="thin">
        <color indexed="14"/>
      </left>
      <right style="thin">
        <color indexed="14"/>
      </right>
      <top style="medium">
        <color indexed="8"/>
      </top>
      <bottom style="medium">
        <color indexed="8"/>
      </bottom>
      <diagonal/>
    </border>
    <border>
      <left style="thin">
        <color indexed="14"/>
      </left>
      <right style="medium">
        <color indexed="8"/>
      </right>
      <top style="medium">
        <color indexed="8"/>
      </top>
      <bottom style="medium">
        <color indexed="8"/>
      </bottom>
      <diagonal/>
    </border>
    <border>
      <left style="medium">
        <color indexed="8"/>
      </left>
      <right style="thin">
        <color indexed="14"/>
      </right>
      <top style="thin">
        <color indexed="14"/>
      </top>
      <bottom/>
      <diagonal/>
    </border>
    <border>
      <left style="thin">
        <color indexed="14"/>
      </left>
      <right/>
      <top style="medium">
        <color indexed="8"/>
      </top>
      <bottom style="thin">
        <color indexed="8"/>
      </bottom>
      <diagonal/>
    </border>
    <border>
      <left/>
      <right/>
      <top style="medium">
        <color indexed="8"/>
      </top>
      <bottom style="thin">
        <color indexed="8"/>
      </bottom>
      <diagonal/>
    </border>
    <border>
      <left/>
      <right/>
      <top style="medium">
        <color indexed="8"/>
      </top>
      <bottom/>
      <diagonal/>
    </border>
    <border>
      <left/>
      <right style="thin">
        <color indexed="14"/>
      </right>
      <top/>
      <bottom/>
      <diagonal/>
    </border>
    <border>
      <left style="thin">
        <color indexed="8"/>
      </left>
      <right/>
      <top style="thin">
        <color indexed="8"/>
      </top>
      <bottom style="thin">
        <color indexed="8"/>
      </bottom>
      <diagonal/>
    </border>
    <border>
      <left/>
      <right style="thin">
        <color indexed="14"/>
      </right>
      <top style="thin">
        <color indexed="8"/>
      </top>
      <bottom style="thin">
        <color indexed="8"/>
      </bottom>
      <diagonal/>
    </border>
    <border>
      <left style="thin">
        <color indexed="14"/>
      </left>
      <right style="thin">
        <color indexed="14"/>
      </right>
      <top style="thin">
        <color indexed="8"/>
      </top>
      <bottom style="thin">
        <color indexed="8"/>
      </bottom>
      <diagonal/>
    </border>
    <border>
      <left style="thin">
        <color indexed="14"/>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14"/>
      </right>
      <top/>
      <bottom/>
      <diagonal/>
    </border>
    <border>
      <left style="thin">
        <color indexed="8"/>
      </left>
      <right style="thin">
        <color indexed="8"/>
      </right>
      <top style="thin">
        <color indexed="8"/>
      </top>
      <bottom style="thin">
        <color indexed="8"/>
      </bottom>
      <diagonal/>
    </border>
    <border>
      <left style="thin">
        <color indexed="14"/>
      </left>
      <right/>
      <top style="thin">
        <color indexed="8"/>
      </top>
      <bottom style="thin">
        <color indexed="8"/>
      </bottom>
      <diagonal/>
    </border>
    <border>
      <left/>
      <right style="thin">
        <color indexed="8"/>
      </right>
      <top/>
      <bottom/>
      <diagonal/>
    </border>
    <border>
      <left style="thin">
        <color indexed="8"/>
      </left>
      <right/>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style="thin">
        <color indexed="14"/>
      </right>
      <top style="thin">
        <color indexed="8"/>
      </top>
      <bottom style="thin">
        <color indexed="14"/>
      </bottom>
      <diagonal/>
    </border>
    <border>
      <left style="thin">
        <color indexed="14"/>
      </left>
      <right style="thin">
        <color indexed="14"/>
      </right>
      <top style="thin">
        <color indexed="8"/>
      </top>
      <bottom style="thin">
        <color indexed="14"/>
      </bottom>
      <diagonal/>
    </border>
    <border>
      <left style="thin">
        <color indexed="14"/>
      </left>
      <right style="thin">
        <color indexed="8"/>
      </right>
      <top style="thin">
        <color indexed="8"/>
      </top>
      <bottom style="thin">
        <color indexed="14"/>
      </bottom>
      <diagonal/>
    </border>
    <border>
      <left style="thin">
        <color indexed="8"/>
      </left>
      <right style="thin">
        <color indexed="14"/>
      </right>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8"/>
      </right>
      <top style="thin">
        <color indexed="14"/>
      </top>
      <bottom style="thin">
        <color indexed="14"/>
      </bottom>
      <diagonal/>
    </border>
    <border>
      <left style="thin">
        <color indexed="8"/>
      </left>
      <right style="thin">
        <color indexed="14"/>
      </right>
      <top style="thin">
        <color indexed="14"/>
      </top>
      <bottom style="thin">
        <color indexed="14"/>
      </bottom>
      <diagonal/>
    </border>
    <border>
      <left/>
      <right style="thin">
        <color indexed="14"/>
      </right>
      <top style="thin">
        <color indexed="8"/>
      </top>
      <bottom/>
      <diagonal/>
    </border>
    <border>
      <left style="thin">
        <color indexed="14"/>
      </left>
      <right style="thin">
        <color indexed="8"/>
      </right>
      <top style="thin">
        <color indexed="8"/>
      </top>
      <bottom/>
      <diagonal/>
    </border>
    <border>
      <left/>
      <right/>
      <top style="thin">
        <color indexed="8"/>
      </top>
      <bottom/>
      <diagonal/>
    </border>
    <border>
      <left/>
      <right/>
      <top/>
      <bottom/>
      <diagonal/>
    </border>
    <border>
      <left/>
      <right/>
      <top/>
      <bottom style="thin">
        <color indexed="8"/>
      </bottom>
      <diagonal/>
    </border>
    <border>
      <left style="thin">
        <color indexed="8"/>
      </left>
      <right style="thin">
        <color indexed="14"/>
      </right>
      <top style="thin">
        <color indexed="14"/>
      </top>
      <bottom style="thin">
        <color indexed="8"/>
      </bottom>
      <diagonal/>
    </border>
    <border>
      <left style="thin">
        <color indexed="14"/>
      </left>
      <right style="thin">
        <color indexed="14"/>
      </right>
      <top style="thin">
        <color indexed="14"/>
      </top>
      <bottom style="thin">
        <color indexed="8"/>
      </bottom>
      <diagonal/>
    </border>
    <border>
      <left style="thin">
        <color indexed="14"/>
      </left>
      <right style="thin">
        <color indexed="8"/>
      </right>
      <top style="thin">
        <color indexed="14"/>
      </top>
      <bottom style="thin">
        <color indexed="8"/>
      </bottom>
      <diagonal/>
    </border>
    <border>
      <left style="thin">
        <color indexed="14"/>
      </left>
      <right/>
      <top style="thin">
        <color indexed="8"/>
      </top>
      <bottom/>
      <diagonal/>
    </border>
    <border>
      <left style="thin">
        <color indexed="14"/>
      </left>
      <right/>
      <top/>
      <bottom/>
      <diagonal/>
    </border>
    <border>
      <left style="thin">
        <color indexed="14"/>
      </left>
      <right/>
      <top style="thin">
        <color indexed="8"/>
      </top>
      <bottom style="thin">
        <color indexed="14"/>
      </bottom>
      <diagonal/>
    </border>
    <border>
      <left style="thin">
        <color indexed="14"/>
      </left>
      <right style="thin">
        <color indexed="14"/>
      </right>
      <top/>
      <bottom style="thin">
        <color indexed="14"/>
      </bottom>
      <diagonal/>
    </border>
    <border>
      <left style="thin">
        <color indexed="14"/>
      </left>
      <right/>
      <top style="thin">
        <color indexed="14"/>
      </top>
      <bottom style="thin">
        <color indexed="8"/>
      </bottom>
      <diagonal/>
    </border>
    <border>
      <left/>
      <right/>
      <top style="thin">
        <color indexed="14"/>
      </top>
      <bottom style="thin">
        <color indexed="8"/>
      </bottom>
      <diagonal/>
    </border>
    <border>
      <left/>
      <right style="thin">
        <color indexed="8"/>
      </right>
      <top style="thin">
        <color indexed="14"/>
      </top>
      <bottom style="thin">
        <color indexed="8"/>
      </bottom>
      <diagonal/>
    </border>
    <border>
      <left style="thin">
        <color indexed="8"/>
      </left>
      <right/>
      <top style="thin">
        <color indexed="14"/>
      </top>
      <bottom/>
      <diagonal/>
    </border>
    <border>
      <left/>
      <right style="thin">
        <color indexed="14"/>
      </right>
      <top style="thin">
        <color indexed="14"/>
      </top>
      <bottom/>
      <diagonal/>
    </border>
    <border>
      <left style="thin">
        <color indexed="8"/>
      </left>
      <right style="thin">
        <color indexed="8"/>
      </right>
      <top style="thin">
        <color indexed="8"/>
      </top>
      <bottom/>
      <diagonal/>
    </border>
    <border>
      <left/>
      <right style="thin">
        <color indexed="14"/>
      </right>
      <top style="thin">
        <color indexed="14"/>
      </top>
      <bottom style="thin">
        <color indexed="14"/>
      </bottom>
      <diagonal/>
    </border>
    <border>
      <left style="thin">
        <color indexed="8"/>
      </left>
      <right/>
      <top/>
      <bottom style="thin">
        <color indexed="8"/>
      </bottom>
      <diagonal/>
    </border>
    <border>
      <left/>
      <right style="thin">
        <color indexed="14"/>
      </right>
      <top style="thin">
        <color indexed="14"/>
      </top>
      <bottom style="thin">
        <color indexed="8"/>
      </bottom>
      <diagonal/>
    </border>
    <border>
      <left style="thin">
        <color indexed="8"/>
      </left>
      <right style="thin">
        <color indexed="8"/>
      </right>
      <top/>
      <bottom style="thin">
        <color indexed="8"/>
      </bottom>
      <diagonal/>
    </border>
    <border>
      <left/>
      <right style="thin">
        <color indexed="14"/>
      </right>
      <top/>
      <bottom style="thin">
        <color indexed="8"/>
      </bottom>
      <diagonal/>
    </border>
    <border>
      <left/>
      <right style="thin">
        <color indexed="8"/>
      </right>
      <top style="thin">
        <color indexed="8"/>
      </top>
      <bottom/>
      <diagonal/>
    </border>
    <border>
      <left style="thin">
        <color indexed="8"/>
      </left>
      <right style="thin">
        <color indexed="8"/>
      </right>
      <top/>
      <bottom style="thin">
        <color indexed="14"/>
      </bottom>
      <diagonal/>
    </border>
    <border>
      <left style="thin">
        <color indexed="14"/>
      </left>
      <right/>
      <top style="thin">
        <color indexed="14"/>
      </top>
      <bottom/>
      <diagonal/>
    </border>
    <border>
      <left style="thin">
        <color indexed="8"/>
      </left>
      <right style="thin">
        <color indexed="8"/>
      </right>
      <top style="thin">
        <color indexed="14"/>
      </top>
      <bottom style="thin">
        <color indexed="8"/>
      </bottom>
      <diagonal/>
    </border>
    <border>
      <left style="thin">
        <color indexed="14"/>
      </left>
      <right/>
      <top/>
      <bottom style="thin">
        <color indexed="14"/>
      </bottom>
      <diagonal/>
    </border>
    <border>
      <left/>
      <right/>
      <top/>
      <bottom style="thin">
        <color indexed="14"/>
      </bottom>
      <diagonal/>
    </border>
    <border>
      <left/>
      <right style="thin">
        <color indexed="14"/>
      </right>
      <top/>
      <bottom style="thin">
        <color indexed="14"/>
      </bottom>
      <diagonal/>
    </border>
  </borders>
  <cellStyleXfs count="1">
    <xf numFmtId="0" fontId="0" applyNumberFormat="0" applyFont="1" applyFill="0" applyBorder="0" applyAlignment="1" applyProtection="0">
      <alignment vertical="bottom"/>
    </xf>
  </cellStyleXfs>
  <cellXfs count="154">
    <xf numFmtId="0" fontId="0" applyNumberFormat="0" applyFont="1" applyFill="0" applyBorder="0" applyAlignment="1" applyProtection="0">
      <alignment vertical="bottom"/>
    </xf>
    <xf numFmtId="0" fontId="0" applyNumberFormat="0" applyFont="1" applyFill="0" applyBorder="0" applyAlignment="1" applyProtection="0">
      <alignment horizontal="left" vertical="bottom" wrapText="1"/>
    </xf>
    <xf numFmtId="0" fontId="1" applyNumberFormat="0" applyFont="1" applyFill="0" applyBorder="0" applyAlignment="1" applyProtection="0">
      <alignment horizontal="left" vertical="bottom"/>
    </xf>
    <xf numFmtId="0" fontId="0" fillId="2" applyNumberFormat="0" applyFont="1" applyFill="1" applyBorder="0" applyAlignment="1" applyProtection="0">
      <alignment horizontal="left" vertical="bottom"/>
    </xf>
    <xf numFmtId="0" fontId="0" fillId="3" applyNumberFormat="0" applyFont="1" applyFill="1" applyBorder="0" applyAlignment="1" applyProtection="0">
      <alignment horizontal="left" vertical="bottom"/>
    </xf>
    <xf numFmtId="0" fontId="3"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5" fillId="4" borderId="1" applyNumberFormat="1" applyFont="1" applyFill="1" applyBorder="1" applyAlignment="1" applyProtection="0">
      <alignment horizontal="center" vertical="center"/>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5" fillId="5" borderId="5" applyNumberFormat="0" applyFont="1" applyFill="1" applyBorder="1" applyAlignment="1" applyProtection="0">
      <alignment horizontal="center" vertical="center"/>
    </xf>
    <xf numFmtId="0" fontId="5" fillId="5" borderId="6" applyNumberFormat="0" applyFont="1" applyFill="1" applyBorder="1" applyAlignment="1" applyProtection="0">
      <alignment horizontal="center" vertical="center"/>
    </xf>
    <xf numFmtId="0" fontId="5" fillId="5" borderId="7" applyNumberFormat="0" applyFont="1" applyFill="1" applyBorder="1" applyAlignment="1" applyProtection="0">
      <alignment horizontal="center" vertical="center"/>
    </xf>
    <xf numFmtId="0" fontId="5" fillId="5" borderId="8" applyNumberFormat="0" applyFont="1" applyFill="1" applyBorder="1" applyAlignment="1" applyProtection="0">
      <alignment horizontal="center" vertical="center"/>
    </xf>
    <xf numFmtId="0" fontId="0" fillId="5" borderId="9" applyNumberFormat="0" applyFont="1" applyFill="1" applyBorder="1" applyAlignment="1" applyProtection="0">
      <alignment vertical="bottom"/>
    </xf>
    <xf numFmtId="49" fontId="6" fillId="6" borderId="10" applyNumberFormat="1" applyFont="1" applyFill="1" applyBorder="1" applyAlignment="1" applyProtection="0">
      <alignment vertical="center"/>
    </xf>
    <xf numFmtId="0" fontId="0" borderId="11" applyNumberFormat="0" applyFont="1" applyFill="0" applyBorder="1" applyAlignment="1" applyProtection="0">
      <alignment vertical="bottom"/>
    </xf>
    <xf numFmtId="0" fontId="0" borderId="12" applyNumberFormat="0" applyFont="1" applyFill="0" applyBorder="1" applyAlignment="1" applyProtection="0">
      <alignment vertical="bottom"/>
    </xf>
    <xf numFmtId="0" fontId="0" borderId="13" applyNumberFormat="0" applyFont="1" applyFill="0" applyBorder="1" applyAlignment="1" applyProtection="0">
      <alignment vertical="bottom"/>
    </xf>
    <xf numFmtId="0" fontId="7" fillId="5" borderId="14" applyNumberFormat="0" applyFont="1" applyFill="1" applyBorder="1" applyAlignment="1" applyProtection="0">
      <alignment vertical="bottom"/>
    </xf>
    <xf numFmtId="49" fontId="6" fillId="6" borderId="10" applyNumberFormat="1" applyFont="1" applyFill="1" applyBorder="1" applyAlignment="1" applyProtection="0">
      <alignment horizontal="left" vertical="center"/>
    </xf>
    <xf numFmtId="49" fontId="6" fillId="6" borderId="10" applyNumberFormat="1" applyFont="1" applyFill="1" applyBorder="1" applyAlignment="1" applyProtection="0">
      <alignment horizontal="left" vertical="bottom"/>
    </xf>
    <xf numFmtId="0" fontId="0" fillId="5" borderId="15" applyNumberFormat="0" applyFont="1" applyFill="1" applyBorder="1" applyAlignment="1" applyProtection="0">
      <alignment vertical="bottom"/>
    </xf>
    <xf numFmtId="49" fontId="8" fillId="7" borderId="16" applyNumberFormat="1" applyFont="1" applyFill="1" applyBorder="1" applyAlignment="1" applyProtection="0">
      <alignment vertical="bottom"/>
    </xf>
    <xf numFmtId="49" fontId="7" fillId="8" borderId="10" applyNumberFormat="1" applyFont="1" applyFill="1" applyBorder="1" applyAlignment="1" applyProtection="0">
      <alignment horizontal="right" vertical="bottom"/>
    </xf>
    <xf numFmtId="0" fontId="0" borderId="17" applyNumberFormat="0" applyFont="1" applyFill="0" applyBorder="1" applyAlignment="1" applyProtection="0">
      <alignment vertical="bottom"/>
    </xf>
    <xf numFmtId="0" fontId="7" fillId="5" borderId="18" applyNumberFormat="0" applyFont="1" applyFill="1" applyBorder="1" applyAlignment="1" applyProtection="0">
      <alignment vertical="bottom"/>
    </xf>
    <xf numFmtId="59" fontId="7" fillId="8" borderId="10" applyNumberFormat="1" applyFont="1" applyFill="1" applyBorder="1" applyAlignment="1" applyProtection="0">
      <alignment horizontal="center" vertical="center"/>
    </xf>
    <xf numFmtId="59" fontId="7" fillId="9" borderId="10" applyNumberFormat="1" applyFont="1" applyFill="1" applyBorder="1" applyAlignment="1" applyProtection="0">
      <alignment horizontal="right" vertical="center"/>
    </xf>
    <xf numFmtId="1" fontId="7" fillId="8" borderId="10" applyNumberFormat="1" applyFont="1" applyFill="1" applyBorder="1" applyAlignment="1" applyProtection="0">
      <alignment horizontal="right" vertical="center"/>
    </xf>
    <xf numFmtId="10" fontId="7" fillId="8" borderId="10" applyNumberFormat="1" applyFont="1" applyFill="1" applyBorder="1" applyAlignment="1" applyProtection="0">
      <alignment horizontal="right" vertical="center"/>
    </xf>
    <xf numFmtId="1" fontId="7" fillId="9" borderId="10" applyNumberFormat="1" applyFont="1" applyFill="1" applyBorder="1" applyAlignment="1" applyProtection="0">
      <alignment horizontal="right" vertical="center"/>
    </xf>
    <xf numFmtId="1" fontId="7" fillId="8" borderId="10" applyNumberFormat="1" applyFont="1" applyFill="1" applyBorder="1" applyAlignment="1" applyProtection="0">
      <alignment horizontal="right" vertical="bottom"/>
    </xf>
    <xf numFmtId="59" fontId="7" fillId="9" borderId="10" applyNumberFormat="1" applyFont="1" applyFill="1" applyBorder="1" applyAlignment="1" applyProtection="0">
      <alignment horizontal="center" vertical="center"/>
    </xf>
    <xf numFmtId="60" fontId="7" fillId="8" borderId="10" applyNumberFormat="1" applyFont="1" applyFill="1" applyBorder="1" applyAlignment="1" applyProtection="0">
      <alignment horizontal="right" vertical="center"/>
    </xf>
    <xf numFmtId="59" fontId="7" fillId="8" borderId="10" applyNumberFormat="1" applyFont="1" applyFill="1" applyBorder="1" applyAlignment="1" applyProtection="0">
      <alignment horizontal="right" vertical="center"/>
    </xf>
    <xf numFmtId="0" fontId="7" fillId="8" borderId="10" applyNumberFormat="0" applyFont="1" applyFill="1" applyBorder="1" applyAlignment="1" applyProtection="0">
      <alignment horizontal="right" vertical="center"/>
    </xf>
    <xf numFmtId="0" fontId="7" fillId="8" borderId="10" applyNumberFormat="1" applyFont="1" applyFill="1" applyBorder="1" applyAlignment="1" applyProtection="0">
      <alignment horizontal="right" vertical="bottom"/>
    </xf>
    <xf numFmtId="49" fontId="9" fillId="7" borderId="16" applyNumberFormat="1" applyFont="1" applyFill="1" applyBorder="1" applyAlignment="1" applyProtection="0">
      <alignment vertical="bottom"/>
    </xf>
    <xf numFmtId="59" fontId="8" fillId="10" borderId="10" applyNumberFormat="1" applyFont="1" applyFill="1" applyBorder="1" applyAlignment="1" applyProtection="0">
      <alignment horizontal="center" vertical="center"/>
    </xf>
    <xf numFmtId="0" fontId="7" fillId="5" borderId="19" applyNumberFormat="0" applyFont="1" applyFill="1" applyBorder="1" applyAlignment="1" applyProtection="0">
      <alignment vertical="bottom"/>
    </xf>
    <xf numFmtId="0" fontId="7" fillId="5" borderId="20" applyNumberFormat="0" applyFont="1" applyFill="1" applyBorder="1" applyAlignment="1" applyProtection="0">
      <alignment vertical="bottom"/>
    </xf>
    <xf numFmtId="0" fontId="7" fillId="5" borderId="20" applyNumberFormat="0" applyFont="1" applyFill="1" applyBorder="1" applyAlignment="1" applyProtection="0">
      <alignment horizontal="right" vertical="center"/>
    </xf>
    <xf numFmtId="0" fontId="7" fillId="5" borderId="17" applyNumberFormat="0" applyFont="1" applyFill="1" applyBorder="1" applyAlignment="1" applyProtection="0">
      <alignment vertical="bottom"/>
    </xf>
    <xf numFmtId="0" fontId="7" fillId="5" borderId="20" applyNumberFormat="0" applyFont="1" applyFill="1" applyBorder="1" applyAlignment="1" applyProtection="0">
      <alignment horizontal="center" vertical="center"/>
    </xf>
    <xf numFmtId="49" fontId="8" fillId="7" borderId="21" applyNumberFormat="1" applyFont="1" applyFill="1" applyBorder="1" applyAlignment="1" applyProtection="0">
      <alignment vertical="bottom"/>
    </xf>
    <xf numFmtId="59" fontId="7" fillId="9" borderId="10" applyNumberFormat="1" applyFont="1" applyFill="1" applyBorder="1" applyAlignment="1" applyProtection="0">
      <alignment horizontal="right" vertical="bottom"/>
    </xf>
    <xf numFmtId="0" fontId="7" fillId="8" borderId="22" applyNumberFormat="0" applyFont="1" applyFill="1" applyBorder="1" applyAlignment="1" applyProtection="0">
      <alignment horizontal="left" vertical="top" wrapText="1"/>
    </xf>
    <xf numFmtId="0" fontId="0" borderId="23" applyNumberFormat="0" applyFont="1" applyFill="0" applyBorder="1" applyAlignment="1" applyProtection="0">
      <alignment vertical="bottom"/>
    </xf>
    <xf numFmtId="0" fontId="0" borderId="24" applyNumberFormat="0" applyFont="1" applyFill="0" applyBorder="1" applyAlignment="1" applyProtection="0">
      <alignment vertical="bottom"/>
    </xf>
    <xf numFmtId="0" fontId="0" borderId="25" applyNumberFormat="0" applyFont="1" applyFill="0" applyBorder="1" applyAlignment="1" applyProtection="0">
      <alignment vertical="bottom"/>
    </xf>
    <xf numFmtId="0" fontId="0" borderId="26" applyNumberFormat="0" applyFont="1" applyFill="0" applyBorder="1" applyAlignment="1" applyProtection="0">
      <alignment vertical="bottom"/>
    </xf>
    <xf numFmtId="0" fontId="0" borderId="27" applyNumberFormat="0" applyFont="1" applyFill="0" applyBorder="1" applyAlignment="1" applyProtection="0">
      <alignment vertical="bottom"/>
    </xf>
    <xf numFmtId="0" fontId="0" borderId="28" applyNumberFormat="0" applyFont="1" applyFill="0" applyBorder="1" applyAlignment="1" applyProtection="0">
      <alignment vertical="bottom"/>
    </xf>
    <xf numFmtId="59" fontId="7" fillId="8" borderId="10" applyNumberFormat="1" applyFont="1" applyFill="1" applyBorder="1" applyAlignment="1" applyProtection="0">
      <alignment horizontal="right" vertical="bottom"/>
    </xf>
    <xf numFmtId="0" fontId="0" borderId="29" applyNumberFormat="0" applyFont="1" applyFill="0" applyBorder="1" applyAlignment="1" applyProtection="0">
      <alignment vertical="bottom"/>
    </xf>
    <xf numFmtId="10" fontId="7" fillId="8" borderId="10" applyNumberFormat="1" applyFont="1" applyFill="1" applyBorder="1" applyAlignment="1" applyProtection="0">
      <alignment horizontal="right" vertical="bottom"/>
    </xf>
    <xf numFmtId="59" fontId="8" fillId="9" borderId="10" applyNumberFormat="1" applyFont="1" applyFill="1" applyBorder="1" applyAlignment="1" applyProtection="0">
      <alignment horizontal="right" vertical="bottom"/>
    </xf>
    <xf numFmtId="10" fontId="7" fillId="9" borderId="10" applyNumberFormat="1" applyFont="1" applyFill="1" applyBorder="1" applyAlignment="1" applyProtection="0">
      <alignment horizontal="right" vertical="bottom"/>
    </xf>
    <xf numFmtId="59" fontId="10" fillId="11" borderId="10" applyNumberFormat="1" applyFont="1" applyFill="1" applyBorder="1" applyAlignment="1" applyProtection="0">
      <alignment horizontal="right" vertical="bottom"/>
    </xf>
    <xf numFmtId="9" fontId="10" fillId="11" borderId="10" applyNumberFormat="1" applyFont="1" applyFill="1" applyBorder="1" applyAlignment="1" applyProtection="0">
      <alignment horizontal="right" vertical="bottom"/>
    </xf>
    <xf numFmtId="59" fontId="7" fillId="9" borderId="22" applyNumberFormat="1" applyFont="1" applyFill="1" applyBorder="1" applyAlignment="1" applyProtection="0">
      <alignment horizontal="right" vertical="center"/>
    </xf>
    <xf numFmtId="0" fontId="0" borderId="30" applyNumberFormat="0" applyFont="1" applyFill="0" applyBorder="1" applyAlignment="1" applyProtection="0">
      <alignment vertical="bottom"/>
    </xf>
    <xf numFmtId="0" fontId="0" borderId="31" applyNumberFormat="0" applyFont="1" applyFill="0" applyBorder="1" applyAlignment="1" applyProtection="0">
      <alignment vertical="bottom"/>
    </xf>
    <xf numFmtId="0" fontId="0" fillId="5" borderId="32" applyNumberFormat="0" applyFont="1" applyFill="1" applyBorder="1" applyAlignment="1" applyProtection="0">
      <alignment vertical="bottom"/>
    </xf>
    <xf numFmtId="0" fontId="0" fillId="5" borderId="32" applyNumberFormat="0" applyFont="1" applyFill="1" applyBorder="1" applyAlignment="1" applyProtection="0">
      <alignment horizontal="right" vertical="center"/>
    </xf>
    <xf numFmtId="0" fontId="7" fillId="5" borderId="33" applyNumberFormat="0" applyFont="1" applyFill="1" applyBorder="1" applyAlignment="1" applyProtection="0">
      <alignment vertical="bottom"/>
    </xf>
    <xf numFmtId="0" fontId="7" fillId="5" borderId="32" applyNumberFormat="0" applyFont="1" applyFill="1" applyBorder="1" applyAlignment="1" applyProtection="0">
      <alignment vertical="bottom"/>
    </xf>
    <xf numFmtId="0" fontId="0" fillId="5" borderId="34" applyNumberFormat="0" applyFont="1" applyFill="1" applyBorder="1" applyAlignment="1" applyProtection="0">
      <alignment vertical="bottom"/>
    </xf>
    <xf numFmtId="0" fontId="0" fillId="5" borderId="34" applyNumberFormat="0" applyFont="1" applyFill="1" applyBorder="1" applyAlignment="1" applyProtection="0">
      <alignment horizontal="right" vertical="center"/>
    </xf>
    <xf numFmtId="0" fontId="0" fillId="5" borderId="33" applyNumberFormat="0" applyFont="1" applyFill="1" applyBorder="1" applyAlignment="1" applyProtection="0">
      <alignment vertical="bottom"/>
    </xf>
    <xf numFmtId="0" fontId="7" fillId="5" borderId="34" applyNumberFormat="0" applyFont="1" applyFill="1" applyBorder="1" applyAlignment="1" applyProtection="0">
      <alignment vertical="bottom"/>
    </xf>
    <xf numFmtId="0" fontId="7" fillId="9" borderId="22" applyNumberFormat="0" applyFont="1" applyFill="1" applyBorder="1" applyAlignment="1" applyProtection="0">
      <alignment horizontal="right" vertical="center"/>
    </xf>
    <xf numFmtId="0" fontId="0" borderId="35" applyNumberFormat="0" applyFont="1" applyFill="0" applyBorder="1" applyAlignment="1" applyProtection="0">
      <alignment vertical="bottom"/>
    </xf>
    <xf numFmtId="0" fontId="0" borderId="36" applyNumberFormat="0" applyFont="1" applyFill="0" applyBorder="1" applyAlignment="1" applyProtection="0">
      <alignment vertical="bottom"/>
    </xf>
    <xf numFmtId="0" fontId="0" borderId="37" applyNumberFormat="0" applyFont="1" applyFill="0" applyBorder="1" applyAlignment="1" applyProtection="0">
      <alignment vertical="bottom"/>
    </xf>
    <xf numFmtId="0" fontId="0" fillId="5" borderId="18" applyNumberFormat="0" applyFont="1" applyFill="1" applyBorder="1" applyAlignment="1" applyProtection="0">
      <alignment vertical="bottom"/>
    </xf>
    <xf numFmtId="59" fontId="8" fillId="9" borderId="10" applyNumberFormat="1" applyFont="1" applyFill="1" applyBorder="1" applyAlignment="1" applyProtection="0">
      <alignment horizontal="center" vertical="bottom"/>
    </xf>
    <xf numFmtId="0" fontId="7" fillId="5" borderId="38" applyNumberFormat="0" applyFont="1" applyFill="1" applyBorder="1" applyAlignment="1" applyProtection="0">
      <alignment vertical="bottom"/>
    </xf>
    <xf numFmtId="0" fontId="7" fillId="5" borderId="39" applyNumberFormat="0" applyFont="1" applyFill="1" applyBorder="1" applyAlignment="1" applyProtection="0">
      <alignment vertical="bottom"/>
    </xf>
    <xf numFmtId="59" fontId="7" fillId="5" borderId="32" applyNumberFormat="1" applyFont="1" applyFill="1" applyBorder="1" applyAlignment="1" applyProtection="0">
      <alignment horizontal="right" vertical="center"/>
    </xf>
    <xf numFmtId="0" fontId="0" borderId="40" applyNumberFormat="0" applyFont="1" applyFill="0" applyBorder="1" applyAlignment="1" applyProtection="0">
      <alignment vertical="bottom"/>
    </xf>
    <xf numFmtId="0" fontId="7" fillId="5" borderId="9" applyNumberFormat="0" applyFont="1" applyFill="1" applyBorder="1" applyAlignment="1" applyProtection="0">
      <alignment vertical="bottom"/>
    </xf>
    <xf numFmtId="0" fontId="0" borderId="41" applyNumberFormat="0" applyFont="1" applyFill="0" applyBorder="1" applyAlignment="1" applyProtection="0">
      <alignment vertical="bottom"/>
    </xf>
    <xf numFmtId="61" fontId="7" borderId="41" applyNumberFormat="1" applyFont="1" applyFill="0" applyBorder="1" applyAlignment="1" applyProtection="0">
      <alignment vertical="bottom"/>
    </xf>
    <xf numFmtId="10" fontId="7" borderId="27" applyNumberFormat="1" applyFont="1" applyFill="0" applyBorder="1" applyAlignment="1" applyProtection="0">
      <alignment vertical="bottom"/>
    </xf>
    <xf numFmtId="0" fontId="0" applyNumberFormat="1" applyFont="1" applyFill="0" applyBorder="0" applyAlignment="1" applyProtection="0">
      <alignment vertical="bottom"/>
    </xf>
    <xf numFmtId="0" fontId="7" fillId="5" borderId="42" applyNumberFormat="0" applyFont="1" applyFill="1" applyBorder="1" applyAlignment="1" applyProtection="0">
      <alignment vertical="bottom"/>
    </xf>
    <xf numFmtId="0" fontId="7" fillId="5" borderId="43" applyNumberFormat="0" applyFont="1" applyFill="1" applyBorder="1" applyAlignment="1" applyProtection="0">
      <alignment vertical="bottom"/>
    </xf>
    <xf numFmtId="0" fontId="7" fillId="5" borderId="44" applyNumberFormat="0" applyFont="1" applyFill="1" applyBorder="1" applyAlignment="1" applyProtection="0">
      <alignment vertical="bottom"/>
    </xf>
    <xf numFmtId="49" fontId="8" fillId="7" borderId="16" applyNumberFormat="1" applyFont="1" applyFill="1" applyBorder="1" applyAlignment="1" applyProtection="0">
      <alignment horizontal="center" vertical="center"/>
    </xf>
    <xf numFmtId="0" fontId="7" fillId="5" borderId="45" applyNumberFormat="0" applyFont="1" applyFill="1" applyBorder="1" applyAlignment="1" applyProtection="0">
      <alignment vertical="bottom"/>
    </xf>
    <xf numFmtId="0" fontId="7" fillId="5" borderId="46" applyNumberFormat="0" applyFont="1" applyFill="1" applyBorder="1" applyAlignment="1" applyProtection="0">
      <alignment vertical="bottom"/>
    </xf>
    <xf numFmtId="49" fontId="8" fillId="7" borderId="22" applyNumberFormat="1" applyFont="1" applyFill="1" applyBorder="1" applyAlignment="1" applyProtection="0">
      <alignment horizontal="left" vertical="center"/>
    </xf>
    <xf numFmtId="62" fontId="7" fillId="5" borderId="47" applyNumberFormat="1" applyFont="1" applyFill="1" applyBorder="1" applyAlignment="1" applyProtection="0">
      <alignment vertical="bottom"/>
    </xf>
    <xf numFmtId="62" fontId="7" fillId="8" borderId="16" applyNumberFormat="1" applyFont="1" applyFill="1" applyBorder="1" applyAlignment="1" applyProtection="0">
      <alignment vertical="bottom"/>
    </xf>
    <xf numFmtId="49" fontId="8" fillId="7" borderId="19" applyNumberFormat="1" applyFont="1" applyFill="1" applyBorder="1" applyAlignment="1" applyProtection="0">
      <alignment horizontal="left" vertical="center"/>
    </xf>
    <xf numFmtId="0" fontId="0" borderId="48" applyNumberFormat="0" applyFont="1" applyFill="0" applyBorder="1" applyAlignment="1" applyProtection="0">
      <alignment vertical="bottom"/>
    </xf>
    <xf numFmtId="62" fontId="7" fillId="5" borderId="14" applyNumberFormat="1" applyFont="1" applyFill="1" applyBorder="1" applyAlignment="1" applyProtection="0">
      <alignment vertical="bottom"/>
    </xf>
    <xf numFmtId="49" fontId="8" fillId="7" borderId="49" applyNumberFormat="1" applyFont="1" applyFill="1" applyBorder="1" applyAlignment="1" applyProtection="0">
      <alignment horizontal="left" vertical="center"/>
    </xf>
    <xf numFmtId="0" fontId="0" borderId="50" applyNumberFormat="0" applyFont="1" applyFill="0" applyBorder="1" applyAlignment="1" applyProtection="0">
      <alignment vertical="bottom"/>
    </xf>
    <xf numFmtId="0" fontId="7" fillId="5" borderId="51" applyNumberFormat="0" applyFont="1" applyFill="1" applyBorder="1" applyAlignment="1" applyProtection="0">
      <alignment vertical="bottom"/>
    </xf>
    <xf numFmtId="0" fontId="7" fillId="5" borderId="49" applyNumberFormat="0" applyFont="1" applyFill="1" applyBorder="1" applyAlignment="1" applyProtection="0">
      <alignment vertical="bottom"/>
    </xf>
    <xf numFmtId="0" fontId="7" fillId="5" borderId="52" applyNumberFormat="0" applyFont="1" applyFill="1" applyBorder="1" applyAlignment="1" applyProtection="0">
      <alignment vertical="bottom"/>
    </xf>
    <xf numFmtId="0" fontId="7" fillId="6" borderId="10" applyNumberFormat="0" applyFont="1" applyFill="1" applyBorder="1" applyAlignment="1" applyProtection="0">
      <alignment horizontal="left" vertical="center"/>
    </xf>
    <xf numFmtId="0" fontId="7" fillId="6" borderId="20" applyNumberFormat="0" applyFont="1" applyFill="1" applyBorder="1" applyAlignment="1" applyProtection="0">
      <alignment vertical="bottom"/>
    </xf>
    <xf numFmtId="0" fontId="7" fillId="6" borderId="21" applyNumberFormat="0" applyFont="1" applyFill="1" applyBorder="1" applyAlignment="1" applyProtection="0">
      <alignment vertical="bottom"/>
    </xf>
    <xf numFmtId="49" fontId="6" fillId="6" borderId="10" applyNumberFormat="1" applyFont="1" applyFill="1" applyBorder="1" applyAlignment="1" applyProtection="0">
      <alignment horizontal="center" vertical="center"/>
    </xf>
    <xf numFmtId="0" fontId="0" borderId="21" applyNumberFormat="0" applyFont="1" applyFill="0" applyBorder="1" applyAlignment="1" applyProtection="0">
      <alignment vertical="bottom"/>
    </xf>
    <xf numFmtId="59" fontId="7" fillId="9" borderId="47" applyNumberFormat="1" applyFont="1" applyFill="1" applyBorder="1" applyAlignment="1" applyProtection="0">
      <alignment vertical="bottom"/>
    </xf>
    <xf numFmtId="49" fontId="8" fillId="7" borderId="47" applyNumberFormat="1" applyFont="1" applyFill="1" applyBorder="1" applyAlignment="1" applyProtection="0">
      <alignment vertical="bottom"/>
    </xf>
    <xf numFmtId="59" fontId="10" fillId="9" borderId="47" applyNumberFormat="1" applyFont="1" applyFill="1" applyBorder="1" applyAlignment="1" applyProtection="0">
      <alignment vertical="bottom"/>
    </xf>
    <xf numFmtId="59" fontId="7" fillId="9" borderId="14" applyNumberFormat="1" applyFont="1" applyFill="1" applyBorder="1" applyAlignment="1" applyProtection="0">
      <alignment vertical="bottom"/>
    </xf>
    <xf numFmtId="49" fontId="8" fillId="7" borderId="14" applyNumberFormat="1" applyFont="1" applyFill="1" applyBorder="1" applyAlignment="1" applyProtection="0">
      <alignment vertical="bottom"/>
    </xf>
    <xf numFmtId="59" fontId="10" fillId="9" borderId="14" applyNumberFormat="1" applyFont="1" applyFill="1" applyBorder="1" applyAlignment="1" applyProtection="0">
      <alignment vertical="bottom"/>
    </xf>
    <xf numFmtId="59" fontId="7" fillId="9" borderId="51" applyNumberFormat="1" applyFont="1" applyFill="1" applyBorder="1" applyAlignment="1" applyProtection="0">
      <alignment vertical="bottom"/>
    </xf>
    <xf numFmtId="49" fontId="8" fillId="7" borderId="51" applyNumberFormat="1" applyFont="1" applyFill="1" applyBorder="1" applyAlignment="1" applyProtection="0">
      <alignment vertical="bottom"/>
    </xf>
    <xf numFmtId="59" fontId="10" fillId="9" borderId="51" applyNumberFormat="1" applyFont="1" applyFill="1" applyBorder="1" applyAlignment="1" applyProtection="0">
      <alignment vertical="bottom"/>
    </xf>
    <xf numFmtId="0" fontId="8" fillId="6" borderId="20" applyNumberFormat="0" applyFont="1" applyFill="1" applyBorder="1" applyAlignment="1" applyProtection="0">
      <alignment vertical="bottom"/>
    </xf>
    <xf numFmtId="0" fontId="10" fillId="6" borderId="21" applyNumberFormat="0" applyFont="1" applyFill="1" applyBorder="1" applyAlignment="1" applyProtection="0">
      <alignment vertical="bottom"/>
    </xf>
    <xf numFmtId="59" fontId="10" fillId="11" borderId="16" applyNumberFormat="1" applyFont="1" applyFill="1" applyBorder="1" applyAlignment="1" applyProtection="0">
      <alignment vertical="bottom"/>
    </xf>
    <xf numFmtId="62" fontId="10" fillId="11" borderId="14" applyNumberFormat="1" applyFont="1" applyFill="1" applyBorder="1" applyAlignment="1" applyProtection="0">
      <alignment vertical="bottom"/>
    </xf>
    <xf numFmtId="0" fontId="8" fillId="7" borderId="16" applyNumberFormat="0" applyFont="1" applyFill="1" applyBorder="1" applyAlignment="1" applyProtection="0">
      <alignment vertical="bottom"/>
    </xf>
    <xf numFmtId="9" fontId="10" fillId="11" borderId="16" applyNumberFormat="1" applyFont="1" applyFill="1" applyBorder="1" applyAlignment="1" applyProtection="0">
      <alignment vertical="bottom"/>
    </xf>
    <xf numFmtId="59" fontId="10" fillId="12" borderId="14" applyNumberFormat="1" applyFont="1" applyFill="1" applyBorder="1" applyAlignment="1" applyProtection="0">
      <alignment vertical="bottom"/>
    </xf>
    <xf numFmtId="59" fontId="10" fillId="12" borderId="51" applyNumberFormat="1" applyFont="1" applyFill="1" applyBorder="1" applyAlignment="1" applyProtection="0">
      <alignment vertical="bottom"/>
    </xf>
    <xf numFmtId="49" fontId="10" fillId="7" borderId="47" applyNumberFormat="1" applyFont="1" applyFill="1" applyBorder="1" applyAlignment="1" applyProtection="0">
      <alignment horizontal="center" vertical="center" wrapText="1"/>
    </xf>
    <xf numFmtId="59" fontId="11" fillId="11" borderId="47" applyNumberFormat="1" applyFont="1" applyFill="1" applyBorder="1" applyAlignment="1" applyProtection="0">
      <alignment horizontal="center" vertical="center"/>
    </xf>
    <xf numFmtId="0" fontId="7" fillId="5" borderId="38" applyNumberFormat="0" applyFont="1" applyFill="1" applyBorder="1" applyAlignment="1" applyProtection="0">
      <alignment horizontal="left" vertical="center"/>
    </xf>
    <xf numFmtId="0" fontId="7" fillId="5" borderId="53" applyNumberFormat="0" applyFont="1" applyFill="1" applyBorder="1" applyAlignment="1" applyProtection="0">
      <alignment vertical="bottom"/>
    </xf>
    <xf numFmtId="0" fontId="0" borderId="54" applyNumberFormat="0" applyFont="1" applyFill="0" applyBorder="1" applyAlignment="1" applyProtection="0">
      <alignment vertical="bottom"/>
    </xf>
    <xf numFmtId="0" fontId="7" fillId="5" borderId="39" applyNumberFormat="0" applyFont="1" applyFill="1" applyBorder="1" applyAlignment="1" applyProtection="0">
      <alignment horizontal="left" vertical="center"/>
    </xf>
    <xf numFmtId="0" fontId="0" borderId="46" applyNumberFormat="0" applyFont="1" applyFill="0" applyBorder="1" applyAlignment="1" applyProtection="0">
      <alignment vertical="bottom"/>
    </xf>
    <xf numFmtId="0" fontId="0" borderId="55" applyNumberFormat="0" applyFont="1" applyFill="0" applyBorder="1" applyAlignment="1" applyProtection="0">
      <alignment vertical="bottom"/>
    </xf>
    <xf numFmtId="0" fontId="0" borderId="56" applyNumberFormat="0" applyFont="1" applyFill="0" applyBorder="1" applyAlignment="1" applyProtection="0">
      <alignment vertical="bottom"/>
    </xf>
    <xf numFmtId="49" fontId="6" fillId="6" borderId="33" applyNumberFormat="1" applyFont="1" applyFill="1" applyBorder="1" applyAlignment="1" applyProtection="0">
      <alignment horizontal="center" vertical="bottom"/>
    </xf>
    <xf numFmtId="0" fontId="6" fillId="6" borderId="33" applyNumberFormat="0" applyFont="1" applyFill="1" applyBorder="1" applyAlignment="1" applyProtection="0">
      <alignment horizontal="center" vertical="bottom"/>
    </xf>
    <xf numFmtId="0" fontId="6" fillId="6" borderId="18" applyNumberFormat="0" applyFont="1" applyFill="1" applyBorder="1" applyAlignment="1" applyProtection="0">
      <alignment horizontal="center" vertical="bottom"/>
    </xf>
    <xf numFmtId="49" fontId="11" fillId="7" borderId="47" applyNumberFormat="1" applyFont="1" applyFill="1" applyBorder="1" applyAlignment="1" applyProtection="0">
      <alignment horizontal="center" vertical="center" wrapText="1"/>
    </xf>
    <xf numFmtId="9" fontId="12" fillId="11" borderId="47" applyNumberFormat="1" applyFont="1" applyFill="1" applyBorder="1" applyAlignment="1" applyProtection="0">
      <alignment horizontal="center" vertical="center"/>
    </xf>
    <xf numFmtId="49" fontId="8" fillId="7" borderId="33" applyNumberFormat="1" applyFont="1" applyFill="1" applyBorder="1" applyAlignment="1" applyProtection="0">
      <alignment horizontal="left" vertical="center"/>
    </xf>
    <xf numFmtId="0" fontId="8" fillId="7" borderId="33" applyNumberFormat="0" applyFont="1" applyFill="1" applyBorder="1" applyAlignment="1" applyProtection="0">
      <alignment horizontal="left" vertical="center"/>
    </xf>
    <xf numFmtId="59" fontId="7" fillId="9" borderId="33" applyNumberFormat="1" applyFont="1" applyFill="1" applyBorder="1" applyAlignment="1" applyProtection="0">
      <alignment vertical="bottom"/>
    </xf>
    <xf numFmtId="59" fontId="7" fillId="9" borderId="18" applyNumberFormat="1" applyFont="1" applyFill="1" applyBorder="1" applyAlignment="1" applyProtection="0">
      <alignment vertical="bottom"/>
    </xf>
    <xf numFmtId="60" fontId="7" fillId="9" borderId="33" applyNumberFormat="1" applyFont="1" applyFill="1" applyBorder="1" applyAlignment="1" applyProtection="0">
      <alignment vertical="bottom"/>
    </xf>
    <xf numFmtId="60" fontId="7" fillId="9" borderId="18" applyNumberFormat="1" applyFont="1" applyFill="1" applyBorder="1" applyAlignment="1" applyProtection="0">
      <alignment vertical="bottom"/>
    </xf>
    <xf numFmtId="63" fontId="7" fillId="9" borderId="33" applyNumberFormat="1" applyFont="1" applyFill="1" applyBorder="1" applyAlignment="1" applyProtection="0">
      <alignment vertical="bottom"/>
    </xf>
    <xf numFmtId="63" fontId="7" fillId="9" borderId="18" applyNumberFormat="1" applyFont="1" applyFill="1" applyBorder="1" applyAlignment="1" applyProtection="0">
      <alignment vertical="bottom"/>
    </xf>
    <xf numFmtId="0" fontId="0" borderId="33" applyNumberFormat="0" applyFont="1" applyFill="0" applyBorder="1" applyAlignment="1" applyProtection="0">
      <alignment vertical="bottom"/>
    </xf>
    <xf numFmtId="0" fontId="7" fillId="5" borderId="30" applyNumberFormat="0" applyFont="1" applyFill="1" applyBorder="1" applyAlignment="1" applyProtection="0">
      <alignment vertical="bottom"/>
    </xf>
    <xf numFmtId="0" fontId="7" fillId="5" borderId="57" applyNumberFormat="0" applyFont="1" applyFill="1" applyBorder="1" applyAlignment="1" applyProtection="0">
      <alignment vertical="bottom"/>
    </xf>
    <xf numFmtId="0" fontId="7" fillId="5" borderId="58" applyNumberFormat="0" applyFont="1" applyFill="1" applyBorder="1" applyAlignment="1" applyProtection="0">
      <alignment vertical="bottom"/>
    </xf>
    <xf numFmtId="0" fontId="7" fillId="5" borderId="59" applyNumberFormat="0" applyFont="1" applyFill="1" applyBorder="1" applyAlignment="1" applyProtection="0">
      <alignment vertical="bottom"/>
    </xf>
  </cellXfs>
  <cellStyles count="1">
    <cellStyle name="Normal" xfId="0" builtinId="0"/>
  </cellStyles>
  <dxfs count="1">
    <dxf>
      <font>
        <color rgb="ffff0000"/>
      </font>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4472c4"/>
      <rgbColor rgb="ffaaaaaa"/>
      <rgbColor rgb="ff44546a"/>
      <rgbColor rgb="ffa5a5a5"/>
      <rgbColor rgb="ffffe598"/>
      <rgbColor rgb="ff5b9bd5"/>
      <rgbColor rgb="ffbdd6ee"/>
      <rgbColor rgb="ff70ad47"/>
      <rgbColor rgb="ffffff00"/>
      <rgbColor rgb="ffff00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28"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71</v>
      </c>
      <c r="C11" s="3"/>
      <c r="D11" s="3"/>
    </row>
    <row r="12">
      <c r="B12" s="4"/>
      <c r="C12" t="s" s="4">
        <v>5</v>
      </c>
      <c r="D12" t="s" s="5">
        <v>71</v>
      </c>
    </row>
  </sheetData>
  <mergeCells count="1">
    <mergeCell ref="B3:D3"/>
  </mergeCells>
  <hyperlinks>
    <hyperlink ref="D10" location="'Analysis'!R1C1" tooltip="" display="Analysis"/>
    <hyperlink ref="D12" location="'5 Year Projected'!R1C1" tooltip="" display="5 Year Projected"/>
  </hyperlinks>
</worksheet>
</file>

<file path=xl/worksheets/sheet2.xml><?xml version="1.0" encoding="utf-8"?>
<worksheet xmlns:r="http://schemas.openxmlformats.org/officeDocument/2006/relationships" xmlns="http://schemas.openxmlformats.org/spreadsheetml/2006/main">
  <dimension ref="A1:O34"/>
  <sheetViews>
    <sheetView workbookViewId="0" showGridLines="0" defaultGridColor="1"/>
  </sheetViews>
  <sheetFormatPr defaultColWidth="11.2857" defaultRowHeight="15" customHeight="1" outlineLevelRow="0" outlineLevelCol="0"/>
  <cols>
    <col min="1" max="1" width="21.7344" style="6" customWidth="1"/>
    <col min="2" max="4" width="10.8672" style="6" customWidth="1"/>
    <col min="5" max="5" width="3.86719" style="6" customWidth="1"/>
    <col min="6" max="6" width="25" style="6" customWidth="1"/>
    <col min="7" max="9" width="10.8672" style="6" customWidth="1"/>
    <col min="10" max="10" width="3.86719" style="6" customWidth="1"/>
    <col min="11" max="11" width="35.8672" style="6" customWidth="1"/>
    <col min="12" max="14" width="10.8672" style="6" customWidth="1"/>
    <col min="15" max="15" width="2.28906" style="6" customWidth="1"/>
    <col min="16" max="16384" width="11.2891" style="6" customWidth="1"/>
  </cols>
  <sheetData>
    <row r="1" ht="48" customHeight="1">
      <c r="A1" t="s" s="7">
        <v>6</v>
      </c>
      <c r="B1" s="8"/>
      <c r="C1" s="9"/>
      <c r="D1" s="9"/>
      <c r="E1" s="9"/>
      <c r="F1" s="9"/>
      <c r="G1" s="9"/>
      <c r="H1" s="9"/>
      <c r="I1" s="9"/>
      <c r="J1" s="9"/>
      <c r="K1" s="9"/>
      <c r="L1" s="9"/>
      <c r="M1" s="9"/>
      <c r="N1" s="10"/>
      <c r="O1" s="11"/>
    </row>
    <row r="2" ht="15.75" customHeight="1">
      <c r="A2" s="12"/>
      <c r="B2" s="13"/>
      <c r="C2" s="13"/>
      <c r="D2" s="13"/>
      <c r="E2" s="14"/>
      <c r="F2" s="13"/>
      <c r="G2" s="13"/>
      <c r="H2" s="13"/>
      <c r="I2" s="13"/>
      <c r="J2" s="14"/>
      <c r="K2" s="13"/>
      <c r="L2" s="13"/>
      <c r="M2" s="13"/>
      <c r="N2" s="13"/>
      <c r="O2" s="15"/>
    </row>
    <row r="3" ht="15.75" customHeight="1">
      <c r="A3" t="s" s="16">
        <v>7</v>
      </c>
      <c r="B3" s="17"/>
      <c r="C3" s="18"/>
      <c r="D3" s="19"/>
      <c r="E3" s="20"/>
      <c r="F3" t="s" s="21">
        <v>8</v>
      </c>
      <c r="G3" s="17"/>
      <c r="H3" s="18"/>
      <c r="I3" s="19"/>
      <c r="J3" s="20"/>
      <c r="K3" t="s" s="22">
        <v>9</v>
      </c>
      <c r="L3" s="17"/>
      <c r="M3" s="18"/>
      <c r="N3" s="19"/>
      <c r="O3" s="23"/>
    </row>
    <row r="4" ht="15.75" customHeight="1">
      <c r="A4" t="s" s="24">
        <v>10</v>
      </c>
      <c r="B4" t="s" s="25">
        <v>11</v>
      </c>
      <c r="C4" s="17"/>
      <c r="D4" s="26"/>
      <c r="E4" s="27"/>
      <c r="F4" t="s" s="24">
        <v>12</v>
      </c>
      <c r="G4" s="28">
        <v>825000</v>
      </c>
      <c r="H4" s="17"/>
      <c r="I4" s="19"/>
      <c r="J4" s="20"/>
      <c r="K4" t="s" s="24">
        <v>13</v>
      </c>
      <c r="L4" s="29">
        <f>G5-G7</f>
        <v>639200</v>
      </c>
      <c r="M4" s="17"/>
      <c r="N4" s="19"/>
      <c r="O4" s="23"/>
    </row>
    <row r="5" ht="15.75" customHeight="1">
      <c r="A5" t="s" s="24">
        <v>14</v>
      </c>
      <c r="B5" t="s" s="25">
        <v>15</v>
      </c>
      <c r="C5" s="17"/>
      <c r="D5" s="19"/>
      <c r="E5" s="20"/>
      <c r="F5" t="s" s="24">
        <v>16</v>
      </c>
      <c r="G5" s="28">
        <v>799000</v>
      </c>
      <c r="H5" s="17"/>
      <c r="I5" s="19"/>
      <c r="J5" s="20"/>
      <c r="K5" t="s" s="24">
        <v>17</v>
      </c>
      <c r="L5" s="30">
        <v>30</v>
      </c>
      <c r="M5" s="17"/>
      <c r="N5" s="19"/>
      <c r="O5" s="23"/>
    </row>
    <row r="6" ht="15.75" customHeight="1">
      <c r="A6" t="s" s="24">
        <v>18</v>
      </c>
      <c r="B6" t="s" s="25">
        <v>19</v>
      </c>
      <c r="C6" s="17"/>
      <c r="D6" s="19"/>
      <c r="E6" s="20"/>
      <c r="F6" t="s" s="24">
        <v>20</v>
      </c>
      <c r="G6" s="31">
        <v>0.2</v>
      </c>
      <c r="H6" s="17"/>
      <c r="I6" s="19"/>
      <c r="J6" s="20"/>
      <c r="K6" t="s" s="24">
        <v>21</v>
      </c>
      <c r="L6" s="32">
        <f>L5*12</f>
        <v>360</v>
      </c>
      <c r="M6" s="17"/>
      <c r="N6" s="19"/>
      <c r="O6" s="23"/>
    </row>
    <row r="7" ht="15.75" customHeight="1">
      <c r="A7" t="s" s="24">
        <v>22</v>
      </c>
      <c r="B7" s="33">
        <v>92252</v>
      </c>
      <c r="C7" s="17"/>
      <c r="D7" s="19"/>
      <c r="E7" s="20"/>
      <c r="F7" t="s" s="24">
        <v>23</v>
      </c>
      <c r="G7" s="34">
        <f>G6*G5</f>
        <v>159800</v>
      </c>
      <c r="H7" s="17"/>
      <c r="I7" s="19"/>
      <c r="J7" s="20"/>
      <c r="K7" t="s" s="24">
        <v>24</v>
      </c>
      <c r="L7" s="35">
        <v>0.065</v>
      </c>
      <c r="M7" s="17"/>
      <c r="N7" s="19"/>
      <c r="O7" s="23"/>
    </row>
    <row r="8" ht="15.75" customHeight="1">
      <c r="A8" t="s" s="24">
        <v>25</v>
      </c>
      <c r="B8" t="s" s="25">
        <v>26</v>
      </c>
      <c r="C8" s="17"/>
      <c r="D8" s="19"/>
      <c r="E8" s="20"/>
      <c r="F8" t="s" s="24">
        <v>27</v>
      </c>
      <c r="G8" s="31">
        <v>0.03</v>
      </c>
      <c r="H8" s="17"/>
      <c r="I8" s="19"/>
      <c r="J8" s="20"/>
      <c r="K8" t="s" s="24">
        <v>28</v>
      </c>
      <c r="L8" s="29">
        <f>PMT(L7/12,L6,L4)*-1</f>
        <v>4040.178806167030</v>
      </c>
      <c r="M8" s="17"/>
      <c r="N8" s="19"/>
      <c r="O8" s="23"/>
    </row>
    <row r="9" ht="15.75" customHeight="1">
      <c r="A9" t="s" s="24">
        <v>29</v>
      </c>
      <c r="B9" s="33">
        <v>1</v>
      </c>
      <c r="C9" s="17"/>
      <c r="D9" s="19"/>
      <c r="E9" s="20"/>
      <c r="F9" t="s" s="24">
        <v>30</v>
      </c>
      <c r="G9" s="34">
        <f>G8*G5</f>
        <v>23970</v>
      </c>
      <c r="H9" s="17"/>
      <c r="I9" s="19"/>
      <c r="J9" s="20"/>
      <c r="K9" t="s" s="24">
        <v>31</v>
      </c>
      <c r="L9" s="29">
        <f>L10*12</f>
        <v>9588</v>
      </c>
      <c r="M9" s="17"/>
      <c r="N9" s="19"/>
      <c r="O9" s="23"/>
    </row>
    <row r="10" ht="15.75" customHeight="1">
      <c r="A10" t="s" s="24">
        <v>32</v>
      </c>
      <c r="B10" s="33">
        <v>391</v>
      </c>
      <c r="C10" s="17"/>
      <c r="D10" s="19"/>
      <c r="E10" s="20"/>
      <c r="F10" t="s" s="24">
        <v>33</v>
      </c>
      <c r="G10" s="28">
        <v>0</v>
      </c>
      <c r="H10" s="17"/>
      <c r="I10" s="19"/>
      <c r="J10" s="20"/>
      <c r="K10" t="s" s="24">
        <v>34</v>
      </c>
      <c r="L10" s="36">
        <v>799</v>
      </c>
      <c r="M10" s="17"/>
      <c r="N10" s="19"/>
      <c r="O10" s="23"/>
    </row>
    <row r="11" ht="15.75" customHeight="1">
      <c r="A11" t="s" s="24">
        <v>35</v>
      </c>
      <c r="B11" s="37"/>
      <c r="C11" s="17"/>
      <c r="D11" s="19"/>
      <c r="E11" s="20"/>
      <c r="F11" t="s" s="24">
        <v>36</v>
      </c>
      <c r="G11" s="36">
        <v>45000</v>
      </c>
      <c r="H11" s="17"/>
      <c r="I11" s="19"/>
      <c r="J11" s="20"/>
      <c r="K11" t="s" s="24">
        <v>37</v>
      </c>
      <c r="L11" s="29">
        <f>L12*12</f>
        <v>3360</v>
      </c>
      <c r="M11" s="17"/>
      <c r="N11" s="19"/>
      <c r="O11" s="23"/>
    </row>
    <row r="12" ht="15.75" customHeight="1">
      <c r="A12" t="s" s="24">
        <v>38</v>
      </c>
      <c r="B12" s="38">
        <v>2021</v>
      </c>
      <c r="C12" s="17"/>
      <c r="D12" s="19"/>
      <c r="E12" s="20"/>
      <c r="F12" t="s" s="39">
        <v>39</v>
      </c>
      <c r="G12" s="40">
        <f>G10+G9+G7+G11</f>
        <v>228770</v>
      </c>
      <c r="H12" s="17"/>
      <c r="I12" s="19"/>
      <c r="J12" s="20"/>
      <c r="K12" t="s" s="24">
        <v>40</v>
      </c>
      <c r="L12" s="36">
        <v>280</v>
      </c>
      <c r="M12" s="17"/>
      <c r="N12" s="19"/>
      <c r="O12" s="23"/>
    </row>
    <row r="13" ht="15.75" customHeight="1">
      <c r="A13" t="s" s="24">
        <v>41</v>
      </c>
      <c r="B13" s="37"/>
      <c r="C13" s="17"/>
      <c r="D13" s="19"/>
      <c r="E13" s="41"/>
      <c r="F13" s="42"/>
      <c r="G13" s="43"/>
      <c r="H13" s="17"/>
      <c r="I13" s="26"/>
      <c r="J13" s="27"/>
      <c r="K13" t="s" s="24">
        <v>42</v>
      </c>
      <c r="L13" s="29">
        <f>L14*12</f>
        <v>0</v>
      </c>
      <c r="M13" s="17"/>
      <c r="N13" s="19"/>
      <c r="O13" s="23"/>
    </row>
    <row r="14" ht="15.75" customHeight="1">
      <c r="A14" s="44"/>
      <c r="B14" s="45"/>
      <c r="C14" s="17"/>
      <c r="D14" s="26"/>
      <c r="E14" s="27"/>
      <c r="F14" t="s" s="21">
        <v>43</v>
      </c>
      <c r="G14" s="17"/>
      <c r="H14" s="18"/>
      <c r="I14" s="19"/>
      <c r="J14" s="20"/>
      <c r="K14" t="s" s="24">
        <v>44</v>
      </c>
      <c r="L14" s="36">
        <v>0</v>
      </c>
      <c r="M14" s="17"/>
      <c r="N14" s="19"/>
      <c r="O14" s="23"/>
    </row>
    <row r="15" ht="15.75" customHeight="1">
      <c r="A15" t="s" s="16">
        <v>45</v>
      </c>
      <c r="B15" s="17"/>
      <c r="C15" s="18"/>
      <c r="D15" s="19"/>
      <c r="E15" s="41"/>
      <c r="F15" t="s" s="46">
        <v>46</v>
      </c>
      <c r="G15" s="47">
        <f>G16*12</f>
        <v>117912.9</v>
      </c>
      <c r="H15" s="17"/>
      <c r="I15" s="19"/>
      <c r="J15" s="20"/>
      <c r="K15" t="s" s="24">
        <v>47</v>
      </c>
      <c r="L15" s="36">
        <v>0</v>
      </c>
      <c r="M15" s="17"/>
      <c r="N15" s="19"/>
      <c r="O15" s="23"/>
    </row>
    <row r="16" ht="15.75" customHeight="1">
      <c r="A16" s="48"/>
      <c r="B16" s="49"/>
      <c r="C16" s="50"/>
      <c r="D16" s="51"/>
      <c r="E16" s="20"/>
      <c r="F16" t="s" s="24">
        <v>48</v>
      </c>
      <c r="G16" s="47">
        <f>((G17*365)/12*G18)+G19</f>
        <v>9826.075000000001</v>
      </c>
      <c r="H16" s="17"/>
      <c r="I16" s="19"/>
      <c r="J16" s="20"/>
      <c r="K16" t="s" s="24">
        <v>49</v>
      </c>
      <c r="L16" s="36">
        <v>450</v>
      </c>
      <c r="M16" s="17"/>
      <c r="N16" s="19"/>
      <c r="O16" s="23"/>
    </row>
    <row r="17" ht="15.75" customHeight="1">
      <c r="A17" s="52"/>
      <c r="B17" s="53"/>
      <c r="C17" s="53"/>
      <c r="D17" s="54"/>
      <c r="E17" s="20"/>
      <c r="F17" t="s" s="24">
        <v>50</v>
      </c>
      <c r="G17" s="55">
        <v>438</v>
      </c>
      <c r="H17" s="17"/>
      <c r="I17" s="19"/>
      <c r="J17" s="20"/>
      <c r="K17" t="s" s="24">
        <v>51</v>
      </c>
      <c r="L17" s="29">
        <f>L18*12</f>
        <v>3537.387</v>
      </c>
      <c r="M17" s="17"/>
      <c r="N17" s="19"/>
      <c r="O17" s="23"/>
    </row>
    <row r="18" ht="15.75" customHeight="1">
      <c r="A18" s="56"/>
      <c r="B18" s="53"/>
      <c r="C18" s="53"/>
      <c r="D18" s="54"/>
      <c r="E18" s="20"/>
      <c r="F18" t="s" s="24">
        <v>52</v>
      </c>
      <c r="G18" s="57">
        <v>0.67</v>
      </c>
      <c r="H18" s="17"/>
      <c r="I18" s="19"/>
      <c r="J18" s="20"/>
      <c r="K18" t="s" s="24">
        <v>53</v>
      </c>
      <c r="L18" s="29">
        <f>G16*0.03</f>
        <v>294.78225</v>
      </c>
      <c r="M18" s="17"/>
      <c r="N18" s="19"/>
      <c r="O18" s="23"/>
    </row>
    <row r="19" ht="15.75" customHeight="1">
      <c r="A19" s="56"/>
      <c r="B19" s="53"/>
      <c r="C19" s="53"/>
      <c r="D19" s="54"/>
      <c r="E19" s="20"/>
      <c r="F19" t="s" s="24">
        <v>54</v>
      </c>
      <c r="G19" s="55">
        <v>900</v>
      </c>
      <c r="H19" s="17"/>
      <c r="I19" s="19"/>
      <c r="J19" s="20"/>
      <c r="K19" t="s" s="24">
        <v>54</v>
      </c>
      <c r="L19" s="36">
        <v>900</v>
      </c>
      <c r="M19" s="17"/>
      <c r="N19" s="19"/>
      <c r="O19" s="23"/>
    </row>
    <row r="20" ht="15.75" customHeight="1">
      <c r="A20" s="56"/>
      <c r="B20" s="53"/>
      <c r="C20" s="53"/>
      <c r="D20" s="54"/>
      <c r="E20" s="20"/>
      <c r="F20" t="s" s="24">
        <v>55</v>
      </c>
      <c r="G20" s="58">
        <f>G15-L28</f>
        <v>75458.481</v>
      </c>
      <c r="H20" s="17"/>
      <c r="I20" s="19"/>
      <c r="J20" s="20"/>
      <c r="K20" t="s" s="24">
        <v>56</v>
      </c>
      <c r="L20" s="36">
        <v>100</v>
      </c>
      <c r="M20" s="17"/>
      <c r="N20" s="19"/>
      <c r="O20" s="23"/>
    </row>
    <row r="21" ht="15.75" customHeight="1">
      <c r="A21" s="56"/>
      <c r="B21" s="53"/>
      <c r="C21" s="53"/>
      <c r="D21" s="54"/>
      <c r="E21" s="20"/>
      <c r="F21" t="s" s="24">
        <v>57</v>
      </c>
      <c r="G21" s="59">
        <f>G20/G5</f>
        <v>0.0944411526908636</v>
      </c>
      <c r="H21" s="17"/>
      <c r="I21" s="19"/>
      <c r="J21" s="20"/>
      <c r="K21" t="s" s="24">
        <v>58</v>
      </c>
      <c r="L21" s="31">
        <v>0.05</v>
      </c>
      <c r="M21" s="17"/>
      <c r="N21" s="19"/>
      <c r="O21" s="23"/>
    </row>
    <row r="22" ht="15.75" customHeight="1">
      <c r="A22" s="56"/>
      <c r="B22" s="53"/>
      <c r="C22" s="53"/>
      <c r="D22" s="54"/>
      <c r="E22" s="20"/>
      <c r="F22" t="s" s="24">
        <v>59</v>
      </c>
      <c r="G22" s="60">
        <f>G23*12</f>
        <v>26976.3353259956</v>
      </c>
      <c r="H22" s="17"/>
      <c r="I22" s="19"/>
      <c r="J22" s="20"/>
      <c r="K22" t="s" s="24">
        <v>60</v>
      </c>
      <c r="L22" s="29">
        <f>((G17*365)/12*G18)*L21</f>
        <v>446.30375</v>
      </c>
      <c r="M22" s="17"/>
      <c r="N22" s="19"/>
      <c r="O22" s="23"/>
    </row>
    <row r="23" ht="15.75" customHeight="1">
      <c r="A23" s="56"/>
      <c r="B23" s="53"/>
      <c r="C23" s="53"/>
      <c r="D23" s="54"/>
      <c r="E23" s="20"/>
      <c r="F23" t="s" s="24">
        <v>61</v>
      </c>
      <c r="G23" s="60">
        <f>(G16-L31)</f>
        <v>2248.027943832970</v>
      </c>
      <c r="H23" s="17"/>
      <c r="I23" s="19"/>
      <c r="J23" s="20"/>
      <c r="K23" t="s" s="24">
        <v>62</v>
      </c>
      <c r="L23" s="31">
        <v>0.03</v>
      </c>
      <c r="M23" s="17"/>
      <c r="N23" s="19"/>
      <c r="O23" s="23"/>
    </row>
    <row r="24" ht="15.75" customHeight="1">
      <c r="A24" s="56"/>
      <c r="B24" s="53"/>
      <c r="C24" s="53"/>
      <c r="D24" s="54"/>
      <c r="E24" s="20"/>
      <c r="F24" t="s" s="24">
        <v>63</v>
      </c>
      <c r="G24" s="61">
        <f>(G22)/(G12)</f>
        <v>0.11791902489835</v>
      </c>
      <c r="H24" s="17"/>
      <c r="I24" s="19"/>
      <c r="J24" s="20"/>
      <c r="K24" t="s" s="24">
        <v>64</v>
      </c>
      <c r="L24" s="62">
        <f>((G17*365)/12*G18)*L23</f>
        <v>267.78225</v>
      </c>
      <c r="M24" s="63"/>
      <c r="N24" s="64"/>
      <c r="O24" s="23"/>
    </row>
    <row r="25" ht="15.75" customHeight="1">
      <c r="A25" s="56"/>
      <c r="B25" s="53"/>
      <c r="C25" s="53"/>
      <c r="D25" s="54"/>
      <c r="E25" s="41"/>
      <c r="F25" s="65"/>
      <c r="G25" s="66"/>
      <c r="H25" s="66"/>
      <c r="I25" s="66"/>
      <c r="J25" s="67"/>
      <c r="K25" s="68"/>
      <c r="L25" s="67"/>
      <c r="M25" s="67"/>
      <c r="N25" s="67"/>
      <c r="O25" s="15"/>
    </row>
    <row r="26" ht="15.75" customHeight="1">
      <c r="A26" s="56"/>
      <c r="B26" s="53"/>
      <c r="C26" s="53"/>
      <c r="D26" s="54"/>
      <c r="E26" s="41"/>
      <c r="F26" s="69"/>
      <c r="G26" s="70"/>
      <c r="H26" s="70"/>
      <c r="I26" s="70"/>
      <c r="J26" s="71"/>
      <c r="K26" s="67"/>
      <c r="L26" s="67"/>
      <c r="M26" s="67"/>
      <c r="N26" s="67"/>
      <c r="O26" s="15"/>
    </row>
    <row r="27" ht="15.75" customHeight="1">
      <c r="A27" s="56"/>
      <c r="B27" s="53"/>
      <c r="C27" s="53"/>
      <c r="D27" s="54"/>
      <c r="E27" s="20"/>
      <c r="F27" t="s" s="39">
        <v>65</v>
      </c>
      <c r="G27" s="37"/>
      <c r="H27" s="17"/>
      <c r="I27" s="19"/>
      <c r="J27" s="41"/>
      <c r="K27" s="72"/>
      <c r="L27" s="72"/>
      <c r="M27" s="72"/>
      <c r="N27" s="72"/>
      <c r="O27" s="15"/>
    </row>
    <row r="28" ht="15.75" customHeight="1">
      <c r="A28" s="56"/>
      <c r="B28" s="53"/>
      <c r="C28" s="53"/>
      <c r="D28" s="54"/>
      <c r="E28" s="20"/>
      <c r="F28" t="s" s="39">
        <v>66</v>
      </c>
      <c r="G28" s="73"/>
      <c r="H28" s="63"/>
      <c r="I28" s="64"/>
      <c r="J28" s="20"/>
      <c r="K28" t="s" s="24">
        <v>67</v>
      </c>
      <c r="L28" s="29">
        <f>L29*12</f>
        <v>42454.419</v>
      </c>
      <c r="M28" s="17"/>
      <c r="N28" s="19"/>
      <c r="O28" s="23"/>
    </row>
    <row r="29" ht="15.75" customHeight="1">
      <c r="A29" s="56"/>
      <c r="B29" s="53"/>
      <c r="C29" s="53"/>
      <c r="D29" s="54"/>
      <c r="E29" s="41"/>
      <c r="F29" s="65"/>
      <c r="G29" s="71"/>
      <c r="H29" s="71"/>
      <c r="I29" s="71"/>
      <c r="J29" s="27"/>
      <c r="K29" t="s" s="24">
        <v>68</v>
      </c>
      <c r="L29" s="34">
        <f>L10+L12+L14+L15+L16+L18+L19+L20+L22+L24</f>
        <v>3537.86825</v>
      </c>
      <c r="M29" s="17"/>
      <c r="N29" s="19"/>
      <c r="O29" s="23"/>
    </row>
    <row r="30" ht="15.75" customHeight="1">
      <c r="A30" s="74"/>
      <c r="B30" s="75"/>
      <c r="C30" s="75"/>
      <c r="D30" s="76"/>
      <c r="E30" s="41"/>
      <c r="F30" s="71"/>
      <c r="G30" s="71"/>
      <c r="H30" s="71"/>
      <c r="I30" s="71"/>
      <c r="J30" s="77"/>
      <c r="K30" t="s" s="24">
        <v>69</v>
      </c>
      <c r="L30" s="78">
        <f>L31*12</f>
        <v>90936.5646740044</v>
      </c>
      <c r="M30" s="17"/>
      <c r="N30" s="19"/>
      <c r="O30" s="23"/>
    </row>
    <row r="31" ht="15.75" customHeight="1">
      <c r="A31" s="79"/>
      <c r="B31" s="68"/>
      <c r="C31" s="68"/>
      <c r="D31" s="68"/>
      <c r="E31" s="67"/>
      <c r="F31" s="67"/>
      <c r="G31" s="67"/>
      <c r="H31" s="67"/>
      <c r="I31" s="67"/>
      <c r="J31" s="77"/>
      <c r="K31" t="s" s="24">
        <v>70</v>
      </c>
      <c r="L31" s="34">
        <f>L29+L8</f>
        <v>7578.047056167030</v>
      </c>
      <c r="M31" s="17"/>
      <c r="N31" s="19"/>
      <c r="O31" s="23"/>
    </row>
    <row r="32" ht="15.75" customHeight="1">
      <c r="A32" s="80"/>
      <c r="B32" s="67"/>
      <c r="C32" s="67"/>
      <c r="D32" s="67"/>
      <c r="E32" s="67"/>
      <c r="F32" s="67"/>
      <c r="G32" s="71"/>
      <c r="H32" s="71"/>
      <c r="I32" s="71"/>
      <c r="J32" s="71"/>
      <c r="K32" s="68"/>
      <c r="L32" s="81"/>
      <c r="M32" s="49"/>
      <c r="N32" s="82"/>
      <c r="O32" s="83"/>
    </row>
    <row r="33" ht="15.75" customHeight="1">
      <c r="A33" s="84"/>
      <c r="B33" s="84"/>
      <c r="C33" s="84"/>
      <c r="D33" s="84"/>
      <c r="E33" s="84"/>
      <c r="F33" s="84"/>
      <c r="G33" s="85"/>
      <c r="H33" s="84"/>
      <c r="I33" s="84"/>
      <c r="J33" s="84"/>
      <c r="K33" s="84"/>
      <c r="L33" s="84"/>
      <c r="M33" s="53"/>
      <c r="N33" s="53"/>
      <c r="O33" s="84"/>
    </row>
    <row r="34" ht="15.75" customHeight="1">
      <c r="A34" s="53"/>
      <c r="B34" s="53"/>
      <c r="C34" s="53"/>
      <c r="D34" s="53"/>
      <c r="E34" s="53"/>
      <c r="F34" s="53"/>
      <c r="G34" s="86"/>
      <c r="H34" s="53"/>
      <c r="I34" s="53"/>
      <c r="J34" s="53"/>
      <c r="K34" s="53"/>
      <c r="L34" s="53"/>
      <c r="M34" s="53"/>
      <c r="N34" s="53"/>
      <c r="O34" s="53"/>
    </row>
  </sheetData>
  <mergeCells count="68">
    <mergeCell ref="L20:N20"/>
    <mergeCell ref="L21:N21"/>
    <mergeCell ref="L13:N13"/>
    <mergeCell ref="L14:N14"/>
    <mergeCell ref="L15:N15"/>
    <mergeCell ref="L16:N16"/>
    <mergeCell ref="L17:N17"/>
    <mergeCell ref="L18:N18"/>
    <mergeCell ref="L19:N19"/>
    <mergeCell ref="G18:I18"/>
    <mergeCell ref="G19:I19"/>
    <mergeCell ref="G20:I20"/>
    <mergeCell ref="G21:I21"/>
    <mergeCell ref="L22:N22"/>
    <mergeCell ref="L23:N23"/>
    <mergeCell ref="G23:I23"/>
    <mergeCell ref="G22:I22"/>
    <mergeCell ref="L24:N24"/>
    <mergeCell ref="L28:N28"/>
    <mergeCell ref="L29:N29"/>
    <mergeCell ref="L30:N30"/>
    <mergeCell ref="L31:N31"/>
    <mergeCell ref="G34:I34"/>
    <mergeCell ref="G33:I33"/>
    <mergeCell ref="G24:I24"/>
    <mergeCell ref="G4:I4"/>
    <mergeCell ref="G5:I5"/>
    <mergeCell ref="G6:I6"/>
    <mergeCell ref="G7:I7"/>
    <mergeCell ref="G8:I8"/>
    <mergeCell ref="G9:I9"/>
    <mergeCell ref="G10:I10"/>
    <mergeCell ref="G11:I11"/>
    <mergeCell ref="G12:I12"/>
    <mergeCell ref="G13:I13"/>
    <mergeCell ref="F14:I14"/>
    <mergeCell ref="G15:I15"/>
    <mergeCell ref="G16:I16"/>
    <mergeCell ref="G17:I17"/>
    <mergeCell ref="A1:N1"/>
    <mergeCell ref="A3:D3"/>
    <mergeCell ref="F3:I3"/>
    <mergeCell ref="K3:N3"/>
    <mergeCell ref="B4:D4"/>
    <mergeCell ref="L4:N4"/>
    <mergeCell ref="L5:N5"/>
    <mergeCell ref="B12:D12"/>
    <mergeCell ref="B13:D13"/>
    <mergeCell ref="B14:D14"/>
    <mergeCell ref="A15:D15"/>
    <mergeCell ref="A16:D30"/>
    <mergeCell ref="B5:D5"/>
    <mergeCell ref="B6:D6"/>
    <mergeCell ref="B7:D7"/>
    <mergeCell ref="B8:D8"/>
    <mergeCell ref="B9:D9"/>
    <mergeCell ref="B10:D10"/>
    <mergeCell ref="B11:D11"/>
    <mergeCell ref="L6:N6"/>
    <mergeCell ref="L7:N7"/>
    <mergeCell ref="L8:N8"/>
    <mergeCell ref="L9:N9"/>
    <mergeCell ref="L10:N10"/>
    <mergeCell ref="L11:N11"/>
    <mergeCell ref="L12:N12"/>
    <mergeCell ref="L32:N32"/>
    <mergeCell ref="G27:I27"/>
    <mergeCell ref="G28:I28"/>
  </mergeCells>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J25"/>
  <sheetViews>
    <sheetView workbookViewId="0" showGridLines="0" defaultGridColor="1"/>
  </sheetViews>
  <sheetFormatPr defaultColWidth="11.2857" defaultRowHeight="15" customHeight="1" outlineLevelRow="0" outlineLevelCol="0"/>
  <cols>
    <col min="1" max="8" width="15.8672" style="87" customWidth="1"/>
    <col min="9" max="9" width="23.8672" style="87" customWidth="1"/>
    <col min="10" max="10" width="15.8672" style="87" customWidth="1"/>
    <col min="11" max="16384" width="11.2891" style="87" customWidth="1"/>
  </cols>
  <sheetData>
    <row r="1" ht="15.75" customHeight="1">
      <c r="A1" s="88"/>
      <c r="B1" s="89"/>
      <c r="C1" s="90"/>
      <c r="D1" t="s" s="91">
        <v>72</v>
      </c>
      <c r="E1" t="s" s="91">
        <v>73</v>
      </c>
      <c r="F1" t="s" s="91">
        <v>74</v>
      </c>
      <c r="G1" t="s" s="91">
        <v>75</v>
      </c>
      <c r="H1" t="s" s="91">
        <v>76</v>
      </c>
      <c r="I1" s="92"/>
      <c r="J1" s="93"/>
    </row>
    <row r="2" ht="15.75" customHeight="1">
      <c r="A2" t="s" s="94">
        <v>77</v>
      </c>
      <c r="B2" s="49"/>
      <c r="C2" s="51"/>
      <c r="D2" s="95"/>
      <c r="E2" s="96">
        <v>0.02</v>
      </c>
      <c r="F2" s="96">
        <v>0.02</v>
      </c>
      <c r="G2" s="96">
        <v>0.02</v>
      </c>
      <c r="H2" s="96">
        <v>0.02</v>
      </c>
      <c r="I2" s="41"/>
      <c r="J2" s="83"/>
    </row>
    <row r="3" ht="15.75" customHeight="1">
      <c r="A3" t="s" s="97">
        <v>78</v>
      </c>
      <c r="B3" s="98"/>
      <c r="C3" s="54"/>
      <c r="D3" s="99"/>
      <c r="E3" s="96">
        <v>0.03</v>
      </c>
      <c r="F3" s="96">
        <v>0.03</v>
      </c>
      <c r="G3" s="96">
        <v>0.03</v>
      </c>
      <c r="H3" s="96">
        <v>0.03</v>
      </c>
      <c r="I3" s="41"/>
      <c r="J3" s="83"/>
    </row>
    <row r="4" ht="15.75" customHeight="1">
      <c r="A4" t="s" s="100">
        <v>79</v>
      </c>
      <c r="B4" s="101"/>
      <c r="C4" s="76"/>
      <c r="D4" s="102"/>
      <c r="E4" s="96">
        <v>0.03</v>
      </c>
      <c r="F4" s="96">
        <v>0.03</v>
      </c>
      <c r="G4" s="96">
        <v>0.03</v>
      </c>
      <c r="H4" s="96">
        <v>0.03</v>
      </c>
      <c r="I4" s="103"/>
      <c r="J4" s="104"/>
    </row>
    <row r="5" ht="15.75" customHeight="1">
      <c r="A5" s="105"/>
      <c r="B5" s="17"/>
      <c r="C5" s="26"/>
      <c r="D5" s="106"/>
      <c r="E5" s="106"/>
      <c r="F5" s="106"/>
      <c r="G5" s="106"/>
      <c r="H5" s="107"/>
      <c r="I5" t="s" s="108">
        <v>80</v>
      </c>
      <c r="J5" s="109"/>
    </row>
    <row r="6" ht="15.75" customHeight="1">
      <c r="A6" t="s" s="94">
        <v>81</v>
      </c>
      <c r="B6" s="49"/>
      <c r="C6" s="51"/>
      <c r="D6" s="110">
        <f>'Analysis'!G15</f>
        <v>117912.9</v>
      </c>
      <c r="E6" s="110">
        <f>D6+(D6*E2)</f>
        <v>120271.158</v>
      </c>
      <c r="F6" s="110">
        <f>E6+(E6*F2)</f>
        <v>122676.58116</v>
      </c>
      <c r="G6" s="110">
        <f>F6+(F6*G2)</f>
        <v>125130.1127832</v>
      </c>
      <c r="H6" s="110">
        <f>G6+(G6*H2)</f>
        <v>127632.715038864</v>
      </c>
      <c r="I6" t="s" s="111">
        <v>82</v>
      </c>
      <c r="J6" s="112">
        <f>SUM(D6:H6)</f>
        <v>613623.466982064</v>
      </c>
    </row>
    <row r="7" ht="15.75" customHeight="1">
      <c r="A7" t="s" s="97">
        <v>83</v>
      </c>
      <c r="B7" s="98"/>
      <c r="C7" s="54"/>
      <c r="D7" s="113">
        <f>'Analysis'!L28</f>
        <v>42454.419</v>
      </c>
      <c r="E7" s="113">
        <f>D7+(D7*E3)</f>
        <v>43728.05157</v>
      </c>
      <c r="F7" s="113">
        <f>E7+(E7*F3)</f>
        <v>45039.8931171</v>
      </c>
      <c r="G7" s="113">
        <f>F7+(F7*G3)</f>
        <v>46391.089910613</v>
      </c>
      <c r="H7" s="113">
        <f>G7+(G7*H3)</f>
        <v>47782.8226079314</v>
      </c>
      <c r="I7" t="s" s="114">
        <v>84</v>
      </c>
      <c r="J7" s="115">
        <f>SUM(D7:H7)</f>
        <v>225396.276205644</v>
      </c>
    </row>
    <row r="8" ht="15.75" customHeight="1">
      <c r="A8" t="s" s="100">
        <v>85</v>
      </c>
      <c r="B8" s="101"/>
      <c r="C8" s="76"/>
      <c r="D8" s="116">
        <f>'Analysis'!$L$8*12</f>
        <v>48482.1456740044</v>
      </c>
      <c r="E8" s="116">
        <f>'Analysis'!$L$8*12</f>
        <v>48482.1456740044</v>
      </c>
      <c r="F8" s="116">
        <f>'Analysis'!$L$8*12</f>
        <v>48482.1456740044</v>
      </c>
      <c r="G8" s="116">
        <f>'Analysis'!$L$8*12</f>
        <v>48482.1456740044</v>
      </c>
      <c r="H8" s="116">
        <f>'Analysis'!$L$8*12</f>
        <v>48482.1456740044</v>
      </c>
      <c r="I8" t="s" s="117">
        <v>86</v>
      </c>
      <c r="J8" s="118">
        <f>SUM(D8:H8)</f>
        <v>242410.728370022</v>
      </c>
    </row>
    <row r="9" ht="15.75" customHeight="1">
      <c r="A9" s="105"/>
      <c r="B9" s="17"/>
      <c r="C9" s="26"/>
      <c r="D9" s="106"/>
      <c r="E9" s="106"/>
      <c r="F9" s="106"/>
      <c r="G9" s="106"/>
      <c r="H9" s="106"/>
      <c r="I9" s="119"/>
      <c r="J9" s="120"/>
    </row>
    <row r="10" ht="15.75" customHeight="1">
      <c r="A10" t="s" s="94">
        <v>87</v>
      </c>
      <c r="B10" s="49"/>
      <c r="C10" s="51"/>
      <c r="D10" s="110">
        <f>D6-D7-D8</f>
        <v>26976.3353259956</v>
      </c>
      <c r="E10" s="110">
        <f>E6-E7-E8</f>
        <v>28060.9607559956</v>
      </c>
      <c r="F10" s="110">
        <f>F6-F7-F8</f>
        <v>29154.5423688956</v>
      </c>
      <c r="G10" s="110">
        <f>G6-G7-G8</f>
        <v>30256.8771985826</v>
      </c>
      <c r="H10" s="110">
        <f>H6-H7-H8</f>
        <v>31367.7467569282</v>
      </c>
      <c r="I10" t="s" s="24">
        <v>88</v>
      </c>
      <c r="J10" s="121">
        <f>SUM(D10:H10)</f>
        <v>145816.462406398</v>
      </c>
    </row>
    <row r="11" ht="15.75" customHeight="1">
      <c r="A11" t="s" s="97">
        <v>89</v>
      </c>
      <c r="B11" s="98"/>
      <c r="C11" s="54"/>
      <c r="D11" s="113">
        <f>D10/12</f>
        <v>2248.027943832970</v>
      </c>
      <c r="E11" s="113">
        <f>E10/12</f>
        <v>2338.413396332970</v>
      </c>
      <c r="F11" s="113">
        <f>F10/12</f>
        <v>2429.545197407970</v>
      </c>
      <c r="G11" s="113">
        <f>G10/12</f>
        <v>2521.406433215220</v>
      </c>
      <c r="H11" s="113">
        <f>H10/12</f>
        <v>2613.978896410680</v>
      </c>
      <c r="I11" t="s" s="24">
        <v>90</v>
      </c>
      <c r="J11" s="121">
        <f>SUM(D11:H11)/5</f>
        <v>2430.274373439960</v>
      </c>
    </row>
    <row r="12" ht="15.75" customHeight="1">
      <c r="A12" t="s" s="97">
        <v>91</v>
      </c>
      <c r="B12" s="98"/>
      <c r="C12" s="54"/>
      <c r="D12" s="122">
        <f>D10/'Analysis'!$G$12</f>
        <v>0.11791902489835</v>
      </c>
      <c r="E12" s="122">
        <f>E10/'Analysis'!$G$12</f>
        <v>0.12266014230885</v>
      </c>
      <c r="F12" s="122">
        <f>F10/'Analysis'!$G$12</f>
        <v>0.127440409008592</v>
      </c>
      <c r="G12" s="122">
        <f>G10/'Analysis'!$G$12</f>
        <v>0.132258937791592</v>
      </c>
      <c r="H12" s="122">
        <f>H10/'Analysis'!$G$12</f>
        <v>0.137114773601994</v>
      </c>
      <c r="I12" s="123"/>
      <c r="J12" s="124"/>
    </row>
    <row r="13" ht="15.75" customHeight="1">
      <c r="A13" t="s" s="97">
        <v>92</v>
      </c>
      <c r="B13" s="98"/>
      <c r="C13" s="54"/>
      <c r="D13" s="113">
        <f>'Analysis'!G5</f>
        <v>799000</v>
      </c>
      <c r="E13" s="113">
        <f>D13+(D13*E4)</f>
        <v>822970</v>
      </c>
      <c r="F13" s="113">
        <f>E13+(E13*F4)</f>
        <v>847659.1</v>
      </c>
      <c r="G13" s="113">
        <f>F13+(F13*G4)</f>
        <v>873088.873</v>
      </c>
      <c r="H13" s="125">
        <f>G13+(G13*H4)</f>
        <v>899281.53919</v>
      </c>
      <c r="I13" t="s" s="24">
        <v>93</v>
      </c>
      <c r="J13" s="121">
        <f>H13-D13</f>
        <v>100281.53919</v>
      </c>
    </row>
    <row r="14" ht="15.75" customHeight="1">
      <c r="A14" t="s" s="97">
        <v>94</v>
      </c>
      <c r="B14" s="98"/>
      <c r="C14" s="54"/>
      <c r="D14" s="113">
        <f>D23</f>
        <v>632265.854325996</v>
      </c>
      <c r="E14" s="113">
        <f>E23</f>
        <v>624880.989183181</v>
      </c>
      <c r="F14" s="113">
        <f>F23</f>
        <v>617016.107806083</v>
      </c>
      <c r="G14" s="113">
        <f>G23</f>
        <v>608640.009139474</v>
      </c>
      <c r="H14" s="113">
        <f>H23</f>
        <v>599719.4640595349</v>
      </c>
      <c r="I14" t="s" s="24">
        <v>95</v>
      </c>
      <c r="J14" s="121">
        <f>H14-D14</f>
        <v>-32546.390266461</v>
      </c>
    </row>
    <row r="15" ht="15.75" customHeight="1">
      <c r="A15" t="s" s="100">
        <v>96</v>
      </c>
      <c r="B15" s="101"/>
      <c r="C15" s="76"/>
      <c r="D15" s="116">
        <f>SUM(D13-D14)</f>
        <v>166734.145674004</v>
      </c>
      <c r="E15" s="116">
        <f>SUM(E13-E14)</f>
        <v>198089.010816819</v>
      </c>
      <c r="F15" s="116">
        <f>SUM(F13-F14)</f>
        <v>230642.992193917</v>
      </c>
      <c r="G15" s="116">
        <f>SUM(G13-G14)</f>
        <v>264448.863860526</v>
      </c>
      <c r="H15" s="126">
        <f>SUM(H13-H14)</f>
        <v>299562.075130465</v>
      </c>
      <c r="I15" t="s" s="127">
        <v>97</v>
      </c>
      <c r="J15" s="128">
        <f>J13+J10</f>
        <v>246098.001596398</v>
      </c>
    </row>
    <row r="16" ht="15.75" customHeight="1">
      <c r="A16" s="129"/>
      <c r="B16" s="49"/>
      <c r="C16" s="82"/>
      <c r="D16" s="68"/>
      <c r="E16" s="68"/>
      <c r="F16" s="68"/>
      <c r="G16" s="68"/>
      <c r="H16" s="130"/>
      <c r="I16" s="131"/>
      <c r="J16" s="131"/>
    </row>
    <row r="17" ht="15.75" customHeight="1">
      <c r="A17" s="132"/>
      <c r="B17" s="133"/>
      <c r="C17" s="134"/>
      <c r="D17" s="67"/>
      <c r="E17" s="67"/>
      <c r="F17" s="67"/>
      <c r="G17" s="67"/>
      <c r="H17" s="27"/>
      <c r="I17" s="135"/>
      <c r="J17" s="135"/>
    </row>
    <row r="18" ht="15.75" customHeight="1">
      <c r="A18" s="80"/>
      <c r="B18" t="s" s="136">
        <v>98</v>
      </c>
      <c r="C18" s="137"/>
      <c r="D18" s="137"/>
      <c r="E18" s="137"/>
      <c r="F18" s="137"/>
      <c r="G18" s="137"/>
      <c r="H18" s="138"/>
      <c r="I18" t="s" s="139">
        <v>99</v>
      </c>
      <c r="J18" s="140">
        <f>J15/'Analysis'!G12</f>
        <v>1.07574420420684</v>
      </c>
    </row>
    <row r="19" ht="15.75" customHeight="1">
      <c r="A19" s="80"/>
      <c r="B19" t="s" s="141">
        <v>13</v>
      </c>
      <c r="C19" s="142"/>
      <c r="D19" s="143">
        <f>'Analysis'!$L$4</f>
        <v>639200</v>
      </c>
      <c r="E19" s="143">
        <f>D23</f>
        <v>632265.854325996</v>
      </c>
      <c r="F19" s="143">
        <f>E23</f>
        <v>624880.989183181</v>
      </c>
      <c r="G19" s="143">
        <f>F23</f>
        <v>617016.107806083</v>
      </c>
      <c r="H19" s="144">
        <f>G23</f>
        <v>608640.009139474</v>
      </c>
      <c r="I19" s="131"/>
      <c r="J19" s="131"/>
    </row>
    <row r="20" ht="15.75" customHeight="1">
      <c r="A20" s="80"/>
      <c r="B20" t="s" s="141">
        <v>100</v>
      </c>
      <c r="C20" s="142"/>
      <c r="D20" s="145">
        <f>'Analysis'!$L$7/12</f>
        <v>0.00541666666666667</v>
      </c>
      <c r="E20" s="145">
        <f>'Analysis'!$L$7/12</f>
        <v>0.00541666666666667</v>
      </c>
      <c r="F20" s="145">
        <f>'Analysis'!$L$7/12</f>
        <v>0.00541666666666667</v>
      </c>
      <c r="G20" s="145">
        <f>'Analysis'!$L$7/12</f>
        <v>0.00541666666666667</v>
      </c>
      <c r="H20" s="146">
        <f>'Analysis'!$L$7/12</f>
        <v>0.00541666666666667</v>
      </c>
      <c r="I20" s="135"/>
      <c r="J20" s="135"/>
    </row>
    <row r="21" ht="15.75" customHeight="1">
      <c r="A21" s="80"/>
      <c r="B21" t="s" s="141">
        <v>101</v>
      </c>
      <c r="C21" s="142"/>
      <c r="D21" s="147">
        <f>PMT(D20,'Analysis'!$L$6,-$D$19,0)*12</f>
        <v>48482.1456740044</v>
      </c>
      <c r="E21" s="147">
        <f>PMT(E20,'Analysis'!$L$6,-$D$19,0)*12</f>
        <v>48482.1456740044</v>
      </c>
      <c r="F21" s="147">
        <f>PMT(F20,'Analysis'!$L$6,-$D$19,0)*12</f>
        <v>48482.1456740044</v>
      </c>
      <c r="G21" s="147">
        <f>PMT(G20,'Analysis'!$L$6,-$D$19,0)*12</f>
        <v>48482.1456740044</v>
      </c>
      <c r="H21" s="148">
        <f>PMT(H20,'Analysis'!$L$6,-$D$19,0)*12</f>
        <v>48482.1456740044</v>
      </c>
      <c r="I21" t="s" s="127">
        <v>102</v>
      </c>
      <c r="J21" s="128">
        <f>H13-(H13*0.04)-H14</f>
        <v>263590.813562865</v>
      </c>
    </row>
    <row r="22" ht="15.75" customHeight="1">
      <c r="A22" s="80"/>
      <c r="B22" t="s" s="141">
        <v>103</v>
      </c>
      <c r="C22" s="142"/>
      <c r="D22" s="143">
        <f>D19*D20*12</f>
        <v>41548</v>
      </c>
      <c r="E22" s="143">
        <f>E19*E20*12</f>
        <v>41097.2805311898</v>
      </c>
      <c r="F22" s="143">
        <f>F19*F20*12</f>
        <v>40617.2642969068</v>
      </c>
      <c r="G22" s="143">
        <f>G19*G20*12</f>
        <v>40106.0470073954</v>
      </c>
      <c r="H22" s="144">
        <f>H19*H20*12</f>
        <v>39561.6005940658</v>
      </c>
      <c r="I22" s="131"/>
      <c r="J22" s="131"/>
    </row>
    <row r="23" ht="15.75" customHeight="1">
      <c r="A23" s="80"/>
      <c r="B23" t="s" s="141">
        <v>104</v>
      </c>
      <c r="C23" s="149"/>
      <c r="D23" s="143">
        <f>D19-D21+D22</f>
        <v>632265.854325996</v>
      </c>
      <c r="E23" s="143">
        <f>E19-E21+E22</f>
        <v>624880.989183181</v>
      </c>
      <c r="F23" s="143">
        <f>F19-F21+F22</f>
        <v>617016.107806083</v>
      </c>
      <c r="G23" s="143">
        <f>G19-G21+G22</f>
        <v>608640.009139474</v>
      </c>
      <c r="H23" s="144">
        <f>H19-H21+H22</f>
        <v>599719.4640595349</v>
      </c>
      <c r="I23" s="135"/>
      <c r="J23" s="135"/>
    </row>
    <row r="24" ht="15.75" customHeight="1">
      <c r="A24" s="80"/>
      <c r="B24" s="67"/>
      <c r="C24" s="67"/>
      <c r="D24" s="67"/>
      <c r="E24" s="67"/>
      <c r="F24" s="67"/>
      <c r="G24" s="67"/>
      <c r="H24" s="67"/>
      <c r="I24" s="68"/>
      <c r="J24" s="150"/>
    </row>
    <row r="25" ht="15.75" customHeight="1">
      <c r="A25" s="151"/>
      <c r="B25" s="152"/>
      <c r="C25" s="152"/>
      <c r="D25" s="152"/>
      <c r="E25" s="152"/>
      <c r="F25" s="152"/>
      <c r="G25" s="152"/>
      <c r="H25" s="152"/>
      <c r="I25" s="152"/>
      <c r="J25" s="153"/>
    </row>
  </sheetData>
  <mergeCells count="24">
    <mergeCell ref="A2:C2"/>
    <mergeCell ref="A3:C3"/>
    <mergeCell ref="A4:C4"/>
    <mergeCell ref="A5:C5"/>
    <mergeCell ref="I5:J5"/>
    <mergeCell ref="A6:C6"/>
    <mergeCell ref="A7:C7"/>
    <mergeCell ref="A8:C8"/>
    <mergeCell ref="A9:C9"/>
    <mergeCell ref="A10:C10"/>
    <mergeCell ref="A11:C11"/>
    <mergeCell ref="A12:C12"/>
    <mergeCell ref="A13:C13"/>
    <mergeCell ref="A14:C14"/>
    <mergeCell ref="I21:I23"/>
    <mergeCell ref="J21:J23"/>
    <mergeCell ref="B23:C23"/>
    <mergeCell ref="A15:C15"/>
    <mergeCell ref="I15:I17"/>
    <mergeCell ref="J15:J17"/>
    <mergeCell ref="A16:C16"/>
    <mergeCell ref="A17:C17"/>
    <mergeCell ref="I18:I20"/>
    <mergeCell ref="J18:J20"/>
  </mergeCells>
  <conditionalFormatting sqref="D21:H21">
    <cfRule type="cellIs" dxfId="0" priority="1" operator="lessThan" stopIfTrue="1">
      <formula>0</formula>
    </cfRule>
  </conditionalFormatting>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