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art Here" sheetId="1" r:id="rId4"/>
    <sheet state="visible" name="Deal Analysis" sheetId="2" r:id="rId5"/>
    <sheet state="visible" name="Long Term Outlook" sheetId="3" r:id="rId6"/>
    <sheet state="visible" name="Amortization Schedules" sheetId="4" r:id="rId7"/>
    <sheet state="visible" name="Bugs and Fixes" sheetId="5"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5">
      <text>
        <t xml:space="preserve">Enter the price this house would sell at if repaired and updated to modern standards.</t>
      </text>
    </comment>
    <comment authorId="0" ref="B7">
      <text>
        <t xml:space="preserve">For conventional deals, closing costs are typically 2.5-3% of the purchase price.
For seller finance, subto, or other creative deals where a bank is not involved, closing costs are typically $3-5k</t>
      </text>
    </comment>
    <comment authorId="0" ref="O7">
      <text>
        <t xml:space="preserve">Note this is the "effective" tax bracket. In other words, not the highest tax bracket you qualify for. 
Due to a variety of complex factors, this is only a rough estimate and should be considered an accurate tax refund. Please consult with a qualified CPA to accurately determine your tax situation.</t>
      </text>
    </comment>
    <comment authorId="0" ref="B8">
      <text>
        <t xml:space="preserve">When working with wholesalers, there is almost always a "wholesale" or assignment fee to compensate the wholesaler for getting the deal under contract.</t>
      </text>
    </comment>
    <comment authorId="0" ref="O8">
      <text>
        <t xml:space="preserve">This is used for calculating deprecation. Default is 20% of purchase price. Look up most recent tax assessor records on the county website for more accurate value. </t>
      </text>
    </comment>
    <comment authorId="0" ref="B9">
      <text>
        <t xml:space="preserve">In creative deals, the buyer often agrees to pay the agent commissions. While 3% is common in a conventional transaction, it is negotiable.</t>
      </text>
    </comment>
    <comment authorId="0" ref="B10">
      <text>
        <t xml:space="preserve">Typically in foreclosures, a seller may owe back taxes, unpaid mortgage balance and/or legal fees. Use this line item to capture these data.</t>
      </text>
    </comment>
    <comment authorId="0" ref="B11">
      <text>
        <t xml:space="preserve">In creative deals, it is recommended to hire a transaction coordinator (TC) to help coordinate the deal with all parties. TCs can cost ~$500-$1500</t>
      </text>
    </comment>
    <comment authorId="0" ref="F11">
      <text>
        <t xml:space="preserve">Use Rentometer.com to get estimate of long-term rents</t>
      </text>
    </comment>
    <comment authorId="0" ref="B16">
      <text>
        <t xml:space="preserve">This is for all costs associated with set-up including:
- Inspections
- Travel expenses
- Meals
- Labor
- Deep Clean
- Furniture assembly
- Photographer
- Interior Designer</t>
      </text>
    </comment>
    <comment authorId="0" ref="B17">
      <text>
        <t xml:space="preserve">Essential furniture only. Does not include hot tub or other major purchases.
Also includes initial supplies to get started.</t>
      </text>
    </comment>
    <comment authorId="0" ref="F18">
      <text>
        <t xml:space="preserve">Be sure to use the sales price to estimate taxes, not previously assessed value.</t>
      </text>
    </comment>
    <comment authorId="0" ref="F19">
      <text>
        <t xml:space="preserve">Be sure to acquire insurance intended for short-term rentals. A good estimate is $3-4k annual.
Standard homeowners or landlord's insurance will generally not cover short-term rental related claims. Speak to an insurance broker for more details.</t>
      </text>
    </comment>
    <comment authorId="0" ref="K24">
      <text>
        <t xml:space="preserve">Simple measure of annual cashflow divided by total cash invested</t>
      </text>
    </comment>
    <comment authorId="0" ref="K25">
      <text>
        <t xml:space="preserve">Simple measure of annual cashflow divided by total cash invested</t>
      </text>
    </comment>
    <comment authorId="0" ref="F28">
      <text>
        <t xml:space="preserve">3% for AirBNB
8% for VRBO
If assume 80% AirBNB, 20% VRBO, weighted average is 4%</t>
      </text>
    </comment>
    <comment authorId="0" ref="F29">
      <text>
        <t xml:space="preserve">$150/mo or 3-5% of revenue is a good estimate for routine repairs and maintenance. </t>
      </text>
    </comment>
    <comment authorId="0" ref="F30">
      <text>
        <t xml:space="preserve">This "expense" is designed to cover major expenses including roof, HVAC, foundation, plumbing or electrical. If brand new, this is less important. But if buying a property 10+ years, set aside 1%/purchase price per year</t>
      </text>
    </comment>
    <comment authorId="0" ref="F31">
      <text>
        <t xml:space="preserve">Supplies vary based on a variety of factors including your amenities, how generous you are with guests, and local costs. But $75/room is a good ballpark estimate. Enter the number of rooms in your rental</t>
      </text>
    </comment>
    <comment authorId="0" ref="F32">
      <text>
        <t xml:space="preserve">Mistakes happen and you may find yourself covering a guest's dinner or you could be gifting an exceptional guest something special. $100/mo will usually cover that.</t>
      </text>
    </comment>
    <comment authorId="0" ref="K32">
      <text>
        <t xml:space="preserve">Simple measure of annual cashflow divided by total cash invested</t>
      </text>
    </comment>
    <comment authorId="0" ref="F33">
      <text>
        <t xml:space="preserve">Varies on your location and the weather. $300/mo is a good initial estimate.
Be sure to consider:
- electricity
- gas
- garbage
- water</t>
      </text>
    </comment>
    <comment authorId="0" ref="K33">
      <text>
        <t xml:space="preserve">Simple measure of annual cashflow divided by total cash invested</t>
      </text>
    </comment>
    <comment authorId="0" ref="F34">
      <text>
        <t xml:space="preserve">Lawnmowing, edging, landscaping trimming, pressure washing, leaf removal, snow removal, etc.</t>
      </text>
    </comment>
    <comment authorId="0" ref="F35">
      <text>
        <t xml:space="preserve">Different for each market.
~$40-$100</t>
      </text>
    </comment>
    <comment authorId="0" ref="F36">
      <text>
        <t xml:space="preserve">~$250 per water feature. Double this if have pool &amp; hot tub.
May be less or more depending on location</t>
      </text>
    </comment>
    <comment authorId="0" ref="F37">
      <text>
        <t xml:space="preserve">Click the "+" icon on the left to open cleaning estimate details.
Only input cleaning fees if revenue includes revenue from cleaning fees. 
For example, AirDNA reports nightly rate &amp; cleaning fee revenue together.
If revenue does not include cleaning fees, assume cleaning fees are a pass through (income = expense) or adjust expenses based on difference between cleaning fee and expense (paid to cleaner - paid by guest)</t>
      </text>
    </comment>
    <comment authorId="0" ref="F38">
      <text>
        <t xml:space="preserve">Roughly equals days in month divided by average duration of stay multiplied by occupancy rate.
Example
2.5 average stay (30/2.5 = 12 stays)
100% = 12
80% = 10
60% = 7</t>
      </text>
    </comment>
    <comment authorId="0" ref="F39">
      <text>
        <t xml:space="preserve">Dependent on size of home and area. Use Turno.com to attract bids to gain an estimate</t>
      </text>
    </comment>
    <comment authorId="0" ref="K39">
      <text>
        <t xml:space="preserve">Simple measure of annual cashflow divided by total cash invested</t>
      </text>
    </comment>
    <comment authorId="0" ref="F40">
      <text>
        <t xml:space="preserve">Varies on PMS you choose and how many properties you operate.
Starting price for Guesty for Hosts is $49/mo
Starting price for PriceLabs is $20/mo</t>
      </text>
    </comment>
    <comment authorId="0" ref="K40">
      <text>
        <t xml:space="preserve">Simple measure of annual cashflow divided by total cash invested</t>
      </text>
    </comment>
    <comment authorId="0" ref="F41">
      <text>
        <t xml:space="preserve">Pay yourself first. 10% is a good low rate if paying yourself. Most STR operators charge up to 25%</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9">
      <text>
        <t xml:space="preserve">Please consult with a tax professional to confirm your qualifying tax deductions. 
For primary homes, only loan interest and property taxes generally qualify. 
If house hacking, only the portion of the home used for business purposes can be depreciated.</t>
      </text>
    </comment>
    <comment authorId="0" ref="B20">
      <text>
        <t xml:space="preserve">Includes furnishings, initial supplies, travel, and other setup related fees. Remodel/construction is typically not included because it is considered a capital expense and depreciated over time.</t>
      </text>
    </comment>
    <comment authorId="0" ref="B21">
      <text>
        <t xml:space="preserve">Assumption: Property value = 80% of total purchase price
Depreciation is the sum of the property value, closing costs and any invested capital expenditures divided by 39 years for commercial/STR. 
Look into cost segregation study to accelerate this depreciation</t>
      </text>
    </comment>
  </commentList>
</comments>
</file>

<file path=xl/sharedStrings.xml><?xml version="1.0" encoding="utf-8"?>
<sst xmlns="http://schemas.openxmlformats.org/spreadsheetml/2006/main" count="296" uniqueCount="214">
  <si>
    <r>
      <rPr>
        <rFont val="Roboto"/>
        <b/>
        <color rgb="FFF1C232"/>
        <sz val="16.0"/>
      </rPr>
      <t xml:space="preserve">PLEASE DO NOT REQUEST ACCESS. SAVE A COPY TO YOUR OWN DRIVE. 
CLICK FILE </t>
    </r>
    <r>
      <rPr>
        <rFont val="Roboto"/>
        <b val="0"/>
        <color rgb="FFF1C232"/>
        <sz val="16.0"/>
      </rPr>
      <t>→</t>
    </r>
    <r>
      <rPr>
        <rFont val="Roboto"/>
        <b/>
        <color rgb="FFF1C232"/>
        <sz val="16.0"/>
      </rPr>
      <t xml:space="preserve"> MAKE A COPY</t>
    </r>
  </si>
  <si>
    <t>Tutorials</t>
  </si>
  <si>
    <t>Comparables</t>
  </si>
  <si>
    <t>Listing Name</t>
  </si>
  <si>
    <t>Link to Listing</t>
  </si>
  <si>
    <t>Beds</t>
  </si>
  <si>
    <t>Baths</t>
  </si>
  <si>
    <t>Est. Annual Revenue</t>
  </si>
  <si>
    <t>Amenities</t>
  </si>
  <si>
    <t>Other Notes</t>
  </si>
  <si>
    <t>PROPERTY DETAILS</t>
  </si>
  <si>
    <t>Address</t>
  </si>
  <si>
    <t>123 Burrito Way, Gatlinburg, TN</t>
  </si>
  <si>
    <t>Link to Listing/Photos</t>
  </si>
  <si>
    <t>insert link</t>
  </si>
  <si>
    <t>*Sqft  (required for calc)</t>
  </si>
  <si>
    <t>Year Built</t>
  </si>
  <si>
    <t>Lot Size</t>
  </si>
  <si>
    <t>1 acre</t>
  </si>
  <si>
    <t>Notes</t>
  </si>
  <si>
    <t>INSERT IMAGE</t>
  </si>
  <si>
    <t>DEAL ANALYSIS</t>
  </si>
  <si>
    <t>PURCHASE DETAILS</t>
  </si>
  <si>
    <t>REVENUE</t>
  </si>
  <si>
    <t>QUICK ANALYSIS</t>
  </si>
  <si>
    <t>ASSUMPTIONS</t>
  </si>
  <si>
    <t>Purchase Price</t>
  </si>
  <si>
    <t>Monthly</t>
  </si>
  <si>
    <t>Annual</t>
  </si>
  <si>
    <t>Annual Income Increase</t>
  </si>
  <si>
    <t>After Repair Value (ARV)</t>
  </si>
  <si>
    <t>Short-Term Rental</t>
  </si>
  <si>
    <t>STR Gross Revenue</t>
  </si>
  <si>
    <t>Annual Expense Increase</t>
  </si>
  <si>
    <t>Down Payment</t>
  </si>
  <si>
    <t>Average Daily Rate</t>
  </si>
  <si>
    <t>Annual Appreciation</t>
  </si>
  <si>
    <t>Property IRR Table</t>
  </si>
  <si>
    <t>Closing Cost</t>
  </si>
  <si>
    <t>Occupancy</t>
  </si>
  <si>
    <t>PITI</t>
  </si>
  <si>
    <t>Effective Tax Bracket</t>
  </si>
  <si>
    <t>Description</t>
  </si>
  <si>
    <t>Month</t>
  </si>
  <si>
    <t>Property Cashflow</t>
  </si>
  <si>
    <t>LP Cashflow</t>
  </si>
  <si>
    <t>Investor Cashflow</t>
  </si>
  <si>
    <t>Wholesaler/Assignment Fee</t>
  </si>
  <si>
    <t>Active Days</t>
  </si>
  <si>
    <t>Operating Expense</t>
  </si>
  <si>
    <t>Land Value</t>
  </si>
  <si>
    <t>Initial investment</t>
  </si>
  <si>
    <t>Agent Commissions</t>
  </si>
  <si>
    <t>REHAB PHASE
PRE-RENTAL</t>
  </si>
  <si>
    <t>Reinstatement/Legal Fees</t>
  </si>
  <si>
    <t>Long-Term Rental</t>
  </si>
  <si>
    <t>Total Expenses</t>
  </si>
  <si>
    <t>YEAR X FINANCIAL SUMMARY</t>
  </si>
  <si>
    <t>Transaction Coordinator</t>
  </si>
  <si>
    <t>LTR Gross Rents</t>
  </si>
  <si>
    <t>Select Year</t>
  </si>
  <si>
    <t>Total Cash to Close</t>
  </si>
  <si>
    <t>Vacancy Rate</t>
  </si>
  <si>
    <t>Cashflow</t>
  </si>
  <si>
    <t>Gross Revenue</t>
  </si>
  <si>
    <t>LTR Net Revenue</t>
  </si>
  <si>
    <t>Total Cash Needed</t>
  </si>
  <si>
    <t>Operating Expenses</t>
  </si>
  <si>
    <t>REHAB &amp; SETUP</t>
  </si>
  <si>
    <t>TOTAL GROSS REVENUE</t>
  </si>
  <si>
    <t>Year 1 CoC Return</t>
  </si>
  <si>
    <t>Net Operating Income</t>
  </si>
  <si>
    <t>Rehab</t>
  </si>
  <si>
    <t>Loan Payments</t>
  </si>
  <si>
    <t>Set-up expenses</t>
  </si>
  <si>
    <t>FIXED EXPENSES</t>
  </si>
  <si>
    <t>INVESTOR TARGETS</t>
  </si>
  <si>
    <t>Pre-Tax Profit</t>
  </si>
  <si>
    <t>Furnishings ($/sqft)</t>
  </si>
  <si>
    <t>Net Cashflow</t>
  </si>
  <si>
    <t>Legal</t>
  </si>
  <si>
    <t>Property Taxes</t>
  </si>
  <si>
    <t>DEDUCTIONS</t>
  </si>
  <si>
    <t>Total Set Up Costs</t>
  </si>
  <si>
    <t>Insurance</t>
  </si>
  <si>
    <t>Deductible Startup Expenses</t>
  </si>
  <si>
    <t>HOA</t>
  </si>
  <si>
    <t>PROPERTY ANALYSIS</t>
  </si>
  <si>
    <t>Depreciation</t>
  </si>
  <si>
    <t>CONVENTIONAL FINANCING</t>
  </si>
  <si>
    <t>Conventional Financing</t>
  </si>
  <si>
    <t>Total Deductions</t>
  </si>
  <si>
    <t>Select "Yes" if included</t>
  </si>
  <si>
    <t>Yes</t>
  </si>
  <si>
    <t>Alternative (Seller Carry, HELOC, PML, etc.)</t>
  </si>
  <si>
    <t>Post-Tax Profit</t>
  </si>
  <si>
    <t>Loan Amount</t>
  </si>
  <si>
    <t>Subto</t>
  </si>
  <si>
    <t>Savings from Depreciation</t>
  </si>
  <si>
    <t>Interest Rate</t>
  </si>
  <si>
    <t>Fixed Expenses</t>
  </si>
  <si>
    <t>Post-Tax Cash Flow After Depreciation</t>
  </si>
  <si>
    <t>Term (Years)</t>
  </si>
  <si>
    <t>Year 1 CoC Return (after taxes)</t>
  </si>
  <si>
    <t>Interest Only?</t>
  </si>
  <si>
    <t>No</t>
  </si>
  <si>
    <t>VARIABLE OPERATING EXPENSES</t>
  </si>
  <si>
    <t>Initial Equity</t>
  </si>
  <si>
    <t>EQUITY</t>
  </si>
  <si>
    <t>Payment</t>
  </si>
  <si>
    <t>Property Value</t>
  </si>
  <si>
    <t>PMI %</t>
  </si>
  <si>
    <t>OTA Service Fees</t>
  </si>
  <si>
    <t>PARTNER 1 SCORECARD</t>
  </si>
  <si>
    <t>Loan Balance</t>
  </si>
  <si>
    <t>PMI</t>
  </si>
  <si>
    <t>Maintenance (~$150/mo)</t>
  </si>
  <si>
    <t>Invested Capital</t>
  </si>
  <si>
    <t>Net Equity</t>
  </si>
  <si>
    <t>Loan Payment</t>
  </si>
  <si>
    <t>CAPEX Reserves (~1% purchase price)</t>
  </si>
  <si>
    <t>Equity</t>
  </si>
  <si>
    <t>Supplies (~$75/room @ 100% occupancy)</t>
  </si>
  <si>
    <t>SALE ANALYSIS</t>
  </si>
  <si>
    <t>ALT FINANCING (Seller Finance, HELOC, PML, etc.)</t>
  </si>
  <si>
    <t>Refunds &amp; Guest Gifts (~$100/mo)</t>
  </si>
  <si>
    <t>Selling Costs</t>
  </si>
  <si>
    <t xml:space="preserve">Utilities </t>
  </si>
  <si>
    <t>Sale Proceeds</t>
  </si>
  <si>
    <t>Landscaping/Snow (~$100/mo)</t>
  </si>
  <si>
    <t>Cumulative Cashflow</t>
  </si>
  <si>
    <t>Internet (~$100/mo)</t>
  </si>
  <si>
    <t>PARTNER 2 SCORECARD</t>
  </si>
  <si>
    <t>Total Cash Invested</t>
  </si>
  <si>
    <t>Hot Tub / Pool Maintenance</t>
  </si>
  <si>
    <t>Net Profit from Sale</t>
  </si>
  <si>
    <t>Balloon Payment (year)</t>
  </si>
  <si>
    <t>Cleaning</t>
  </si>
  <si>
    <t>Turnovers (cleans) per month</t>
  </si>
  <si>
    <t>INVESTMENT METRICS</t>
  </si>
  <si>
    <t>Cleaning Fee</t>
  </si>
  <si>
    <t>Cap Rate</t>
  </si>
  <si>
    <t>PMS &amp; Dynamic Pricing Software</t>
  </si>
  <si>
    <t>Return on Equity</t>
  </si>
  <si>
    <t>SUBJECT TO FINANCING</t>
  </si>
  <si>
    <t>Management Fee</t>
  </si>
  <si>
    <t>Pre-Tax Cash on Cash Return</t>
  </si>
  <si>
    <t>Post-Tax Cash on Cash Return</t>
  </si>
  <si>
    <t>TOTAL EXPENSES</t>
  </si>
  <si>
    <t>Pre-Tax IRR</t>
  </si>
  <si>
    <t>PRE-TAX PROFIT</t>
  </si>
  <si>
    <t>Post-Tax IRR w/ Depreciation</t>
  </si>
  <si>
    <t>Initial Term (Years)</t>
  </si>
  <si>
    <t>Remaining Term (Years)</t>
  </si>
  <si>
    <t>Cash Invested / Refinanced</t>
  </si>
  <si>
    <t>Year 1</t>
  </si>
  <si>
    <t>Year 2</t>
  </si>
  <si>
    <t>Year 3</t>
  </si>
  <si>
    <t>Year 4</t>
  </si>
  <si>
    <t>Year 5</t>
  </si>
  <si>
    <t>Year 6</t>
  </si>
  <si>
    <t>Year 7</t>
  </si>
  <si>
    <t>Year 8</t>
  </si>
  <si>
    <t>Year 9</t>
  </si>
  <si>
    <t>Year 10</t>
  </si>
  <si>
    <t>Year</t>
  </si>
  <si>
    <t>INCOME</t>
  </si>
  <si>
    <t>Revenue Growth</t>
  </si>
  <si>
    <t>EXPENSES</t>
  </si>
  <si>
    <t>Expense Growth</t>
  </si>
  <si>
    <t>CASH FLOW</t>
  </si>
  <si>
    <t>Balloon Payments</t>
  </si>
  <si>
    <t>Pre-Tax Cashflow</t>
  </si>
  <si>
    <t>Cumulative Pre-Tax Income</t>
  </si>
  <si>
    <t>Taxes Owed Before Depreciation</t>
  </si>
  <si>
    <t>TAX DEDUCTIONS</t>
  </si>
  <si>
    <t>Taxes Owed After Depreciation</t>
  </si>
  <si>
    <t>CASH FLOW AFTER DEPRECIATION</t>
  </si>
  <si>
    <t>Post-Tax Cash Flow Before Depreciation</t>
  </si>
  <si>
    <t>Appreciation</t>
  </si>
  <si>
    <t>Cumulative Post-Tax Cashflow</t>
  </si>
  <si>
    <t>Net Profit from Sale w/ Depreciation</t>
  </si>
  <si>
    <t>INVESTMENT RETURNS</t>
  </si>
  <si>
    <t>Alternative Financing (Seller Finance, HELOC, PML, etc.)</t>
  </si>
  <si>
    <t>Subject To Financing</t>
  </si>
  <si>
    <t>Period</t>
  </si>
  <si>
    <t>Interest</t>
  </si>
  <si>
    <t>Principle</t>
  </si>
  <si>
    <t>Balance</t>
  </si>
  <si>
    <t>Bug Fixes</t>
  </si>
  <si>
    <t>Features on Roadmap</t>
  </si>
  <si>
    <t>Date Fixed</t>
  </si>
  <si>
    <t>Date Added</t>
  </si>
  <si>
    <t>Operating Expenses on Long-term Outlook (C8) was double reporting loan expenses</t>
  </si>
  <si>
    <t>BRRR Calculations</t>
  </si>
  <si>
    <t xml:space="preserve">Corrected loan balance calculation in Long-term outlook for subto loans (C31:L31) </t>
  </si>
  <si>
    <t>Added balloon calculation to loan balance payoff (C14:L14)</t>
  </si>
  <si>
    <t>Rehab Calculator</t>
  </si>
  <si>
    <t>Fixed amortization schedule to also show schedule if interest only selected</t>
  </si>
  <si>
    <t>Add capability to add bonus depreciation</t>
  </si>
  <si>
    <t>Made D37 fixed for calculation of balloon payment</t>
  </si>
  <si>
    <t>Add additional loan for second PML</t>
  </si>
  <si>
    <t>Fixed calculation of loan balance to account for balloon payment</t>
  </si>
  <si>
    <t>Add quick calculation feature for calculating cashflow</t>
  </si>
  <si>
    <t>Fixed calculation of loan payments to account for balloon payment</t>
  </si>
  <si>
    <t>Fixed I32 cell not multipyling guest refund to annual amount</t>
  </si>
  <si>
    <t>Fixed I39 &amp; I40 not calculating annual amount correctly</t>
  </si>
  <si>
    <t>PMI not included in the loan payments</t>
  </si>
  <si>
    <t>Cells M12, M20, and M27 CoC after taxes fixed to year 1 (no longer dynamic)</t>
  </si>
  <si>
    <t>Updated Supplies calculation to consider occupancy</t>
  </si>
  <si>
    <t>Loan balance not factoring in balloon payment correctly</t>
  </si>
  <si>
    <t>Fix IRR Calculation</t>
  </si>
  <si>
    <t>Fixed Cumulative Tax Savings (Long-Term Outlook Line 25)</t>
  </si>
  <si>
    <t>Removed Operating Expenses &amp; Loan Interest from Tax Deductions Calculations</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</si>
</sst>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_(&quot;$&quot;* #,##0.00_);_(&quot;$&quot;* \(#,##0.00\);_(&quot;$&quot;* &quot;-&quot;??_);_(@_)"/>
    <numFmt numFmtId="165" formatCode="_(&quot;$&quot;* #,##0_);_(&quot;$&quot;* \(#,##0\);_(&quot;$&quot;* &quot;-&quot;??_);_(@_)"/>
    <numFmt numFmtId="166" formatCode="&quot;$&quot;#,##0"/>
    <numFmt numFmtId="167" formatCode="0.0%"/>
    <numFmt numFmtId="168" formatCode="&quot;$&quot;#,##0.00_);[Red]\(&quot;$&quot;#,##0.00\)"/>
    <numFmt numFmtId="169" formatCode="m/d/yyyy"/>
    <numFmt numFmtId="170" formatCode="m/d/yy"/>
  </numFmts>
  <fonts count="16">
    <font>
      <sz val="10.0"/>
      <color rgb="FF000000"/>
      <name val="Arial"/>
      <scheme val="minor"/>
    </font>
    <font>
      <sz val="12.0"/>
      <color theme="1"/>
      <name val="Calibri"/>
    </font>
    <font>
      <b/>
      <sz val="16.0"/>
      <color rgb="FFF1C232"/>
      <name val="Roboto"/>
    </font>
    <font>
      <b/>
      <sz val="12.0"/>
      <color theme="1"/>
      <name val="Roboto"/>
    </font>
    <font>
      <u/>
      <sz val="12.0"/>
      <color rgb="FF0563C1"/>
      <name val="Roboto"/>
    </font>
    <font>
      <b/>
      <color theme="1"/>
      <name val="Roboto"/>
    </font>
    <font>
      <b/>
      <sz val="9.0"/>
      <color rgb="FFFFFFFF"/>
      <name val="Roboto"/>
    </font>
    <font/>
    <font>
      <b/>
      <sz val="9.0"/>
      <color theme="1"/>
      <name val="Roboto"/>
    </font>
    <font>
      <sz val="9.0"/>
      <color theme="1"/>
      <name val="Roboto"/>
    </font>
    <font>
      <i/>
      <sz val="9.0"/>
      <color theme="1"/>
      <name val="Roboto"/>
    </font>
    <font>
      <b/>
      <i/>
      <sz val="9.0"/>
      <color theme="1"/>
      <name val="Roboto"/>
    </font>
    <font>
      <sz val="12.0"/>
      <color theme="1"/>
      <name val="Roboto"/>
    </font>
    <font>
      <b/>
      <sz val="18.0"/>
      <color rgb="FFF1C232"/>
      <name val="Roboto"/>
    </font>
    <font>
      <b/>
      <sz val="12.0"/>
      <color rgb="FFFFFFFF"/>
      <name val="Roboto"/>
    </font>
    <font>
      <b/>
      <sz val="12.0"/>
      <color theme="1"/>
      <name val="Calibri"/>
    </font>
  </fonts>
  <fills count="21">
    <fill>
      <patternFill patternType="none"/>
    </fill>
    <fill>
      <patternFill patternType="lightGray"/>
    </fill>
    <fill>
      <patternFill patternType="solid">
        <fgColor rgb="FF0B5394"/>
        <bgColor rgb="FF0B5394"/>
      </patternFill>
    </fill>
    <fill>
      <patternFill patternType="solid">
        <fgColor rgb="FF6AA84F"/>
        <bgColor rgb="FF6AA84F"/>
      </patternFill>
    </fill>
    <fill>
      <patternFill patternType="solid">
        <fgColor rgb="FF000000"/>
        <bgColor rgb="FF000000"/>
      </patternFill>
    </fill>
    <fill>
      <patternFill patternType="solid">
        <fgColor rgb="FFC9DAF8"/>
        <bgColor rgb="FFC9DAF8"/>
      </patternFill>
    </fill>
    <fill>
      <patternFill patternType="solid">
        <fgColor rgb="FFFFF2CC"/>
        <bgColor rgb="FFFFF2CC"/>
      </patternFill>
    </fill>
    <fill>
      <patternFill patternType="solid">
        <fgColor rgb="FFB4C6E7"/>
        <bgColor rgb="FFB4C6E7"/>
      </patternFill>
    </fill>
    <fill>
      <patternFill patternType="solid">
        <fgColor rgb="FFD9EAD3"/>
        <bgColor rgb="FFD9EAD3"/>
      </patternFill>
    </fill>
    <fill>
      <patternFill patternType="solid">
        <fgColor rgb="FF93C47D"/>
        <bgColor rgb="FF93C47D"/>
      </patternFill>
    </fill>
    <fill>
      <patternFill patternType="solid">
        <fgColor rgb="FFFFE599"/>
        <bgColor rgb="FFFFE599"/>
      </patternFill>
    </fill>
    <fill>
      <patternFill patternType="solid">
        <fgColor rgb="FFF4CCCC"/>
        <bgColor rgb="FFF4CCCC"/>
      </patternFill>
    </fill>
    <fill>
      <patternFill patternType="solid">
        <fgColor rgb="FFEA9999"/>
        <bgColor rgb="FFEA9999"/>
      </patternFill>
    </fill>
    <fill>
      <patternFill patternType="solid">
        <fgColor rgb="FFB6D7A8"/>
        <bgColor rgb="FFB6D7A8"/>
      </patternFill>
    </fill>
    <fill>
      <patternFill patternType="solid">
        <fgColor rgb="FFFFFFFF"/>
        <bgColor rgb="FFFFFFFF"/>
      </patternFill>
    </fill>
    <fill>
      <patternFill patternType="solid">
        <fgColor rgb="FFA6E3B7"/>
        <bgColor rgb="FFA6E3B7"/>
      </patternFill>
    </fill>
    <fill>
      <patternFill patternType="solid">
        <fgColor rgb="FF6D9EEB"/>
        <bgColor rgb="FF6D9EEB"/>
      </patternFill>
    </fill>
    <fill>
      <patternFill patternType="solid">
        <fgColor rgb="FFFFE598"/>
        <bgColor rgb="FFFFE598"/>
      </patternFill>
    </fill>
    <fill>
      <patternFill patternType="solid">
        <fgColor rgb="FFB7D7A8"/>
        <bgColor rgb="FFB7D7A8"/>
      </patternFill>
    </fill>
    <fill>
      <patternFill patternType="solid">
        <fgColor rgb="FFBBB5FF"/>
        <bgColor rgb="FFBBB5FF"/>
      </patternFill>
    </fill>
    <fill>
      <patternFill patternType="solid">
        <fgColor rgb="FF8FD7DD"/>
        <bgColor rgb="FF8FD7DD"/>
      </patternFill>
    </fill>
  </fills>
  <borders count="10">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top/>
      <bottom/>
    </border>
  </borders>
  <cellStyleXfs count="1">
    <xf borderId="0" fillId="0" fontId="0" numFmtId="0" applyAlignment="1" applyFont="1"/>
  </cellStyleXfs>
  <cellXfs count="207">
    <xf borderId="0" fillId="0" fontId="0" numFmtId="0" xfId="0" applyAlignment="1" applyFont="1">
      <alignment readingOrder="0" shrinkToFit="0" vertical="bottom" wrapText="0"/>
    </xf>
    <xf borderId="0" fillId="0" fontId="1" numFmtId="0" xfId="0" applyAlignment="1" applyFont="1">
      <alignment vertical="bottom"/>
    </xf>
    <xf borderId="0" fillId="2" fontId="2" numFmtId="0" xfId="0" applyAlignment="1" applyFill="1" applyFont="1">
      <alignment horizontal="center" shrinkToFit="0" wrapText="1"/>
    </xf>
    <xf borderId="0" fillId="0" fontId="1" numFmtId="0" xfId="0" applyFont="1"/>
    <xf borderId="0" fillId="3" fontId="3" numFmtId="0" xfId="0" applyAlignment="1" applyFill="1" applyFont="1">
      <alignment horizontal="center"/>
    </xf>
    <xf borderId="0" fillId="0" fontId="4" numFmtId="0" xfId="0" applyAlignment="1" applyFont="1">
      <alignment horizontal="center"/>
    </xf>
    <xf borderId="0" fillId="0" fontId="5" numFmtId="0" xfId="0" applyAlignment="1" applyFont="1">
      <alignment horizontal="center"/>
    </xf>
    <xf borderId="0" fillId="0" fontId="5" numFmtId="0" xfId="0" applyAlignment="1" applyFont="1">
      <alignment horizontal="center" shrinkToFit="0" wrapText="1"/>
    </xf>
    <xf borderId="0" fillId="0" fontId="1" numFmtId="164" xfId="0" applyAlignment="1" applyFont="1" applyNumberFormat="1">
      <alignment vertical="bottom"/>
    </xf>
    <xf borderId="1" fillId="4" fontId="6" numFmtId="0" xfId="0" applyAlignment="1" applyBorder="1" applyFill="1" applyFont="1">
      <alignment horizontal="center" vertical="bottom"/>
    </xf>
    <xf borderId="2" fillId="0" fontId="7" numFmtId="0" xfId="0" applyBorder="1" applyFont="1"/>
    <xf borderId="3" fillId="0" fontId="7" numFmtId="0" xfId="0" applyBorder="1" applyFont="1"/>
    <xf borderId="4" fillId="0" fontId="8" numFmtId="0" xfId="0" applyAlignment="1" applyBorder="1" applyFont="1">
      <alignment vertical="bottom"/>
    </xf>
    <xf borderId="0" fillId="5" fontId="9" numFmtId="0" xfId="0" applyAlignment="1" applyFill="1" applyFont="1">
      <alignment horizontal="center" vertical="bottom"/>
    </xf>
    <xf borderId="5" fillId="0" fontId="7" numFmtId="0" xfId="0" applyBorder="1" applyFont="1"/>
    <xf borderId="0" fillId="5" fontId="10" numFmtId="0" xfId="0" applyAlignment="1" applyFont="1">
      <alignment horizontal="center" vertical="bottom"/>
    </xf>
    <xf borderId="4" fillId="0" fontId="11" numFmtId="0" xfId="0" applyAlignment="1" applyBorder="1" applyFont="1">
      <alignment vertical="bottom"/>
    </xf>
    <xf borderId="0" fillId="5" fontId="9" numFmtId="3" xfId="0" applyAlignment="1" applyFont="1" applyNumberFormat="1">
      <alignment horizontal="center" vertical="bottom"/>
    </xf>
    <xf borderId="0" fillId="5" fontId="1" numFmtId="0" xfId="0" applyAlignment="1" applyFont="1">
      <alignment vertical="bottom"/>
    </xf>
    <xf borderId="4" fillId="5" fontId="1" numFmtId="0" xfId="0" applyAlignment="1" applyBorder="1" applyFont="1">
      <alignment vertical="bottom"/>
    </xf>
    <xf borderId="6" fillId="0" fontId="7" numFmtId="0" xfId="0" applyBorder="1" applyFont="1"/>
    <xf borderId="7" fillId="0" fontId="7" numFmtId="0" xfId="0" applyBorder="1" applyFont="1"/>
    <xf borderId="8" fillId="0" fontId="7" numFmtId="0" xfId="0" applyBorder="1" applyFont="1"/>
    <xf borderId="0" fillId="0" fontId="12" numFmtId="0" xfId="0" applyAlignment="1" applyFont="1">
      <alignment horizontal="center"/>
    </xf>
    <xf borderId="0" fillId="2" fontId="13" numFmtId="0" xfId="0" applyAlignment="1" applyFont="1">
      <alignment horizontal="center" readingOrder="0"/>
    </xf>
    <xf borderId="1" fillId="4" fontId="6" numFmtId="0" xfId="0" applyAlignment="1" applyBorder="1" applyFont="1">
      <alignment horizontal="center"/>
    </xf>
    <xf borderId="4" fillId="0" fontId="9" numFmtId="0" xfId="0" applyAlignment="1" applyBorder="1" applyFont="1">
      <alignment vertical="bottom"/>
    </xf>
    <xf borderId="5" fillId="5" fontId="9" numFmtId="165" xfId="0" applyAlignment="1" applyBorder="1" applyFont="1" applyNumberFormat="1">
      <alignment horizontal="right" vertical="bottom"/>
    </xf>
    <xf borderId="4" fillId="0" fontId="1" numFmtId="0" xfId="0" applyAlignment="1" applyBorder="1" applyFont="1">
      <alignment vertical="bottom"/>
    </xf>
    <xf borderId="0" fillId="0" fontId="8" numFmtId="0" xfId="0" applyAlignment="1" applyFont="1">
      <alignment vertical="bottom"/>
    </xf>
    <xf borderId="5" fillId="0" fontId="8" numFmtId="0" xfId="0" applyAlignment="1" applyBorder="1" applyFont="1">
      <alignment vertical="bottom"/>
    </xf>
    <xf borderId="4" fillId="6" fontId="1" numFmtId="0" xfId="0" applyAlignment="1" applyBorder="1" applyFill="1" applyFont="1">
      <alignment vertical="bottom"/>
    </xf>
    <xf borderId="0" fillId="6" fontId="8" numFmtId="0" xfId="0" applyAlignment="1" applyFont="1">
      <alignment vertical="bottom"/>
    </xf>
    <xf borderId="5" fillId="6" fontId="8" numFmtId="0" xfId="0" applyAlignment="1" applyBorder="1" applyFont="1">
      <alignment vertical="bottom"/>
    </xf>
    <xf borderId="5" fillId="5" fontId="9" numFmtId="9" xfId="0" applyAlignment="1" applyBorder="1" applyFont="1" applyNumberFormat="1">
      <alignment horizontal="right" vertical="bottom"/>
    </xf>
    <xf borderId="4" fillId="0" fontId="8" numFmtId="0" xfId="0" applyAlignment="1" applyBorder="1" applyFont="1">
      <alignment horizontal="center" vertical="bottom"/>
    </xf>
    <xf borderId="4" fillId="6" fontId="8" numFmtId="0" xfId="0" applyAlignment="1" applyBorder="1" applyFont="1">
      <alignment vertical="bottom"/>
    </xf>
    <xf borderId="0" fillId="6" fontId="9" numFmtId="165" xfId="0" applyAlignment="1" applyFont="1" applyNumberFormat="1">
      <alignment horizontal="right" vertical="bottom"/>
    </xf>
    <xf borderId="5" fillId="7" fontId="9" numFmtId="165" xfId="0" applyAlignment="1" applyBorder="1" applyFill="1" applyFont="1" applyNumberFormat="1">
      <alignment horizontal="right" vertical="bottom"/>
    </xf>
    <xf borderId="0" fillId="5" fontId="9" numFmtId="9" xfId="0" applyAlignment="1" applyFont="1" applyNumberFormat="1">
      <alignment horizontal="right" vertical="bottom"/>
    </xf>
    <xf borderId="5" fillId="0" fontId="9" numFmtId="165" xfId="0" applyAlignment="1" applyBorder="1" applyFont="1" applyNumberFormat="1">
      <alignment horizontal="right" vertical="bottom"/>
    </xf>
    <xf borderId="5" fillId="5" fontId="9" numFmtId="165" xfId="0" applyAlignment="1" applyBorder="1" applyFont="1" applyNumberFormat="1">
      <alignment horizontal="right" vertical="bottom"/>
    </xf>
    <xf borderId="0" fillId="6" fontId="1" numFmtId="165" xfId="0" applyAlignment="1" applyFont="1" applyNumberFormat="1">
      <alignment vertical="bottom"/>
    </xf>
    <xf borderId="5" fillId="6" fontId="1" numFmtId="165" xfId="0" applyAlignment="1" applyBorder="1" applyFont="1" applyNumberFormat="1">
      <alignment vertical="bottom"/>
    </xf>
    <xf borderId="0" fillId="0" fontId="8" numFmtId="0" xfId="0" applyAlignment="1" applyFont="1">
      <alignment horizontal="center"/>
    </xf>
    <xf borderId="0" fillId="5" fontId="9" numFmtId="10" xfId="0" applyAlignment="1" applyFont="1" applyNumberFormat="1">
      <alignment horizontal="right" vertical="bottom"/>
    </xf>
    <xf borderId="0" fillId="7" fontId="9" numFmtId="165" xfId="0" applyAlignment="1" applyFont="1" applyNumberFormat="1">
      <alignment horizontal="right" vertical="bottom"/>
    </xf>
    <xf borderId="5" fillId="6" fontId="9" numFmtId="165" xfId="0" applyAlignment="1" applyBorder="1" applyFont="1" applyNumberFormat="1">
      <alignment horizontal="right" vertical="bottom"/>
    </xf>
    <xf borderId="5" fillId="5" fontId="9" numFmtId="3" xfId="0" applyAlignment="1" applyBorder="1" applyFont="1" applyNumberFormat="1">
      <alignment horizontal="right" vertical="bottom"/>
    </xf>
    <xf borderId="6" fillId="0" fontId="8" numFmtId="0" xfId="0" applyAlignment="1" applyBorder="1" applyFont="1">
      <alignment vertical="bottom"/>
    </xf>
    <xf borderId="8" fillId="5" fontId="9" numFmtId="166" xfId="0" applyAlignment="1" applyBorder="1" applyFont="1" applyNumberFormat="1">
      <alignment horizontal="right" vertical="bottom"/>
    </xf>
    <xf borderId="0" fillId="0" fontId="8" numFmtId="164" xfId="0" applyAlignment="1" applyFont="1" applyNumberFormat="1">
      <alignment vertical="bottom"/>
    </xf>
    <xf borderId="0" fillId="0" fontId="8" numFmtId="0" xfId="0" applyAlignment="1" applyFont="1">
      <alignment horizontal="right" vertical="bottom"/>
    </xf>
    <xf borderId="0" fillId="0" fontId="9" numFmtId="164" xfId="0" applyAlignment="1" applyFont="1" applyNumberFormat="1">
      <alignment horizontal="right" vertical="bottom"/>
    </xf>
    <xf borderId="0" fillId="0" fontId="9" numFmtId="164" xfId="0" applyAlignment="1" applyFont="1" applyNumberFormat="1">
      <alignment horizontal="center" vertical="bottom"/>
    </xf>
    <xf borderId="4" fillId="8" fontId="8" numFmtId="0" xfId="0" applyAlignment="1" applyBorder="1" applyFill="1" applyFont="1">
      <alignment vertical="bottom"/>
    </xf>
    <xf borderId="0" fillId="8" fontId="8" numFmtId="165" xfId="0" applyAlignment="1" applyFont="1" applyNumberFormat="1">
      <alignment horizontal="right" vertical="bottom"/>
    </xf>
    <xf borderId="5" fillId="8" fontId="8" numFmtId="165" xfId="0" applyAlignment="1" applyBorder="1" applyFont="1" applyNumberFormat="1">
      <alignment horizontal="right" vertical="bottom"/>
    </xf>
    <xf borderId="4" fillId="7" fontId="9" numFmtId="9" xfId="0" applyAlignment="1" applyBorder="1" applyFont="1" applyNumberFormat="1">
      <alignment horizontal="center" vertical="bottom"/>
    </xf>
    <xf borderId="0" fillId="0" fontId="8" numFmtId="164" xfId="0" applyAlignment="1" applyFont="1" applyNumberFormat="1">
      <alignment horizontal="center"/>
    </xf>
    <xf borderId="0" fillId="0" fontId="1" numFmtId="164" xfId="0" applyFont="1" applyNumberFormat="1"/>
    <xf borderId="0" fillId="6" fontId="8" numFmtId="165" xfId="0" applyAlignment="1" applyFont="1" applyNumberFormat="1">
      <alignment horizontal="right" vertical="bottom"/>
    </xf>
    <xf borderId="5" fillId="6" fontId="8" numFmtId="165" xfId="0" applyAlignment="1" applyBorder="1" applyFont="1" applyNumberFormat="1">
      <alignment horizontal="right" vertical="bottom"/>
    </xf>
    <xf borderId="0" fillId="7" fontId="9" numFmtId="0" xfId="0" applyAlignment="1" applyFont="1">
      <alignment horizontal="center" vertical="bottom"/>
    </xf>
    <xf borderId="8" fillId="0" fontId="8" numFmtId="165" xfId="0" applyAlignment="1" applyBorder="1" applyFont="1" applyNumberFormat="1">
      <alignment horizontal="right" vertical="bottom"/>
    </xf>
    <xf borderId="0" fillId="0" fontId="9" numFmtId="165" xfId="0" applyAlignment="1" applyFont="1" applyNumberFormat="1">
      <alignment horizontal="right" vertical="bottom"/>
    </xf>
    <xf borderId="0" fillId="6" fontId="1" numFmtId="0" xfId="0" applyAlignment="1" applyFont="1">
      <alignment vertical="bottom"/>
    </xf>
    <xf borderId="6" fillId="9" fontId="8" numFmtId="0" xfId="0" applyAlignment="1" applyBorder="1" applyFill="1" applyFont="1">
      <alignment vertical="bottom"/>
    </xf>
    <xf borderId="7" fillId="9" fontId="1" numFmtId="0" xfId="0" applyAlignment="1" applyBorder="1" applyFont="1">
      <alignment vertical="bottom"/>
    </xf>
    <xf borderId="7" fillId="9" fontId="8" numFmtId="165" xfId="0" applyAlignment="1" applyBorder="1" applyFont="1" applyNumberFormat="1">
      <alignment horizontal="right" vertical="bottom"/>
    </xf>
    <xf borderId="8" fillId="9" fontId="8" numFmtId="165" xfId="0" applyAlignment="1" applyBorder="1" applyFont="1" applyNumberFormat="1">
      <alignment horizontal="right" vertical="bottom"/>
    </xf>
    <xf borderId="6" fillId="6" fontId="8" numFmtId="0" xfId="0" applyAlignment="1" applyBorder="1" applyFont="1">
      <alignment vertical="bottom"/>
    </xf>
    <xf borderId="7" fillId="6" fontId="1" numFmtId="0" xfId="0" applyAlignment="1" applyBorder="1" applyFont="1">
      <alignment vertical="bottom"/>
    </xf>
    <xf borderId="8" fillId="6" fontId="9" numFmtId="167" xfId="0" applyAlignment="1" applyBorder="1" applyFont="1" applyNumberFormat="1">
      <alignment horizontal="right" vertical="bottom"/>
    </xf>
    <xf borderId="5" fillId="5" fontId="9" numFmtId="165" xfId="0" applyAlignment="1" applyBorder="1" applyFont="1" applyNumberFormat="1">
      <alignment horizontal="center" vertical="bottom"/>
    </xf>
    <xf borderId="6" fillId="0" fontId="9" numFmtId="0" xfId="0" applyAlignment="1" applyBorder="1" applyFont="1">
      <alignment vertical="bottom"/>
    </xf>
    <xf borderId="7" fillId="0" fontId="9" numFmtId="165" xfId="0" applyAlignment="1" applyBorder="1" applyFont="1" applyNumberFormat="1">
      <alignment horizontal="center" vertical="bottom"/>
    </xf>
    <xf borderId="8" fillId="0" fontId="9" numFmtId="0" xfId="0" applyAlignment="1" applyBorder="1" applyFont="1">
      <alignment horizontal="center" vertical="bottom"/>
    </xf>
    <xf borderId="0" fillId="5" fontId="9" numFmtId="165" xfId="0" applyAlignment="1" applyFont="1" applyNumberFormat="1">
      <alignment horizontal="right" vertical="bottom"/>
    </xf>
    <xf borderId="0" fillId="0" fontId="1" numFmtId="49" xfId="0" applyAlignment="1" applyFont="1" applyNumberFormat="1">
      <alignment vertical="bottom"/>
    </xf>
    <xf borderId="0" fillId="0" fontId="1" numFmtId="165" xfId="0" applyAlignment="1" applyFont="1" applyNumberFormat="1">
      <alignment vertical="bottom"/>
    </xf>
    <xf borderId="8" fillId="0" fontId="9" numFmtId="9" xfId="0" applyAlignment="1" applyBorder="1" applyFont="1" applyNumberFormat="1">
      <alignment horizontal="right" vertical="bottom"/>
    </xf>
    <xf borderId="8" fillId="0" fontId="8" numFmtId="165" xfId="0" applyAlignment="1" applyBorder="1" applyFont="1" applyNumberFormat="1">
      <alignment horizontal="center" vertical="bottom"/>
    </xf>
    <xf borderId="9" fillId="0" fontId="1" numFmtId="0" xfId="0" applyAlignment="1" applyBorder="1" applyFont="1">
      <alignment vertical="bottom"/>
    </xf>
    <xf borderId="4" fillId="10" fontId="8" numFmtId="0" xfId="0" applyAlignment="1" applyBorder="1" applyFill="1" applyFont="1">
      <alignment vertical="bottom"/>
    </xf>
    <xf borderId="5" fillId="10" fontId="8" numFmtId="165" xfId="0" applyAlignment="1" applyBorder="1" applyFont="1" applyNumberFormat="1">
      <alignment horizontal="right" vertical="bottom"/>
    </xf>
    <xf borderId="5" fillId="0" fontId="9" numFmtId="0" xfId="0" applyAlignment="1" applyBorder="1" applyFont="1">
      <alignment vertical="bottom"/>
    </xf>
    <xf borderId="9" fillId="0" fontId="1" numFmtId="49" xfId="0" applyAlignment="1" applyBorder="1" applyFont="1" applyNumberFormat="1">
      <alignment vertical="bottom"/>
    </xf>
    <xf borderId="0" fillId="10" fontId="8" numFmtId="165" xfId="0" applyAlignment="1" applyFont="1" applyNumberFormat="1">
      <alignment horizontal="right" vertical="bottom"/>
    </xf>
    <xf borderId="5" fillId="5" fontId="9" numFmtId="10" xfId="0" applyAlignment="1" applyBorder="1" applyFont="1" applyNumberFormat="1">
      <alignment horizontal="right" vertical="bottom"/>
    </xf>
    <xf borderId="6" fillId="11" fontId="8" numFmtId="0" xfId="0" applyAlignment="1" applyBorder="1" applyFill="1" applyFont="1">
      <alignment vertical="bottom"/>
    </xf>
    <xf borderId="7" fillId="11" fontId="8" numFmtId="165" xfId="0" applyAlignment="1" applyBorder="1" applyFont="1" applyNumberFormat="1">
      <alignment horizontal="right" vertical="bottom"/>
    </xf>
    <xf borderId="8" fillId="11" fontId="8" numFmtId="165" xfId="0" applyAlignment="1" applyBorder="1" applyFont="1" applyNumberFormat="1">
      <alignment horizontal="right" vertical="bottom"/>
    </xf>
    <xf borderId="5" fillId="12" fontId="9" numFmtId="167" xfId="0" applyAlignment="1" applyBorder="1" applyFill="1" applyFont="1" applyNumberFormat="1">
      <alignment horizontal="right" vertical="bottom"/>
    </xf>
    <xf borderId="6" fillId="13" fontId="8" numFmtId="165" xfId="0" applyAlignment="1" applyBorder="1" applyFill="1" applyFont="1" applyNumberFormat="1">
      <alignment vertical="bottom"/>
    </xf>
    <xf borderId="8" fillId="13" fontId="8" numFmtId="165" xfId="0" applyAlignment="1" applyBorder="1" applyFont="1" applyNumberFormat="1">
      <alignment horizontal="right" vertical="bottom"/>
    </xf>
    <xf borderId="5" fillId="5" fontId="9" numFmtId="0" xfId="0" applyAlignment="1" applyBorder="1" applyFont="1">
      <alignment horizontal="right" vertical="bottom"/>
    </xf>
    <xf borderId="5" fillId="0" fontId="9" numFmtId="167" xfId="0" applyAlignment="1" applyBorder="1" applyFont="1" applyNumberFormat="1">
      <alignment horizontal="right" vertical="bottom"/>
    </xf>
    <xf borderId="5" fillId="0" fontId="9" numFmtId="164" xfId="0" applyAlignment="1" applyBorder="1" applyFont="1" applyNumberFormat="1">
      <alignment horizontal="right" vertical="bottom"/>
    </xf>
    <xf borderId="8" fillId="0" fontId="9" numFmtId="165" xfId="0" applyAlignment="1" applyBorder="1" applyFont="1" applyNumberFormat="1">
      <alignment horizontal="right" vertical="bottom"/>
    </xf>
    <xf borderId="0" fillId="7" fontId="9" numFmtId="9" xfId="0" applyAlignment="1" applyFont="1" applyNumberFormat="1">
      <alignment horizontal="right" vertical="bottom"/>
    </xf>
    <xf borderId="5" fillId="0" fontId="9" numFmtId="165" xfId="0" applyAlignment="1" applyBorder="1" applyFont="1" applyNumberFormat="1">
      <alignment horizontal="right" readingOrder="0" vertical="bottom"/>
    </xf>
    <xf borderId="8" fillId="0" fontId="9" numFmtId="165" xfId="0" applyAlignment="1" applyBorder="1" applyFont="1" applyNumberFormat="1">
      <alignment horizontal="right" vertical="bottom"/>
    </xf>
    <xf borderId="8" fillId="0" fontId="8" numFmtId="164" xfId="0" applyAlignment="1" applyBorder="1" applyFont="1" applyNumberFormat="1">
      <alignment horizontal="right" vertical="bottom"/>
    </xf>
    <xf borderId="0" fillId="0" fontId="1" numFmtId="9" xfId="0" applyAlignment="1" applyFont="1" applyNumberFormat="1">
      <alignment vertical="bottom"/>
    </xf>
    <xf borderId="0" fillId="5" fontId="9" numFmtId="167" xfId="0" applyAlignment="1" applyFont="1" applyNumberFormat="1">
      <alignment horizontal="right" vertical="bottom"/>
    </xf>
    <xf borderId="0" fillId="5" fontId="9" numFmtId="3" xfId="0" applyAlignment="1" applyFont="1" applyNumberFormat="1">
      <alignment horizontal="right" vertical="bottom"/>
    </xf>
    <xf borderId="5" fillId="10" fontId="9" numFmtId="165" xfId="0" applyAlignment="1" applyBorder="1" applyFont="1" applyNumberFormat="1">
      <alignment horizontal="right" vertical="bottom"/>
    </xf>
    <xf borderId="5" fillId="0" fontId="9" numFmtId="167" xfId="0" applyAlignment="1" applyBorder="1" applyFont="1" applyNumberFormat="1">
      <alignment horizontal="center" vertical="bottom"/>
    </xf>
    <xf borderId="8" fillId="0" fontId="9" numFmtId="167" xfId="0" applyAlignment="1" applyBorder="1" applyFont="1" applyNumberFormat="1">
      <alignment horizontal="center" vertical="bottom"/>
    </xf>
    <xf borderId="5" fillId="0" fontId="9" numFmtId="0" xfId="0" applyAlignment="1" applyBorder="1" applyFont="1">
      <alignment horizontal="center" vertical="bottom"/>
    </xf>
    <xf borderId="6" fillId="13" fontId="8" numFmtId="0" xfId="0" applyAlignment="1" applyBorder="1" applyFont="1">
      <alignment vertical="bottom"/>
    </xf>
    <xf borderId="8" fillId="13" fontId="8" numFmtId="0" xfId="0" applyAlignment="1" applyBorder="1" applyFont="1">
      <alignment horizontal="center" vertical="bottom"/>
    </xf>
    <xf borderId="0" fillId="0" fontId="8" numFmtId="165" xfId="0" applyAlignment="1" applyFont="1" applyNumberFormat="1">
      <alignment horizontal="right" vertical="bottom"/>
    </xf>
    <xf borderId="5" fillId="0" fontId="8" numFmtId="165" xfId="0" applyAlignment="1" applyBorder="1" applyFont="1" applyNumberFormat="1">
      <alignment horizontal="right" vertical="bottom"/>
    </xf>
    <xf borderId="4" fillId="0" fontId="9" numFmtId="49" xfId="0" applyAlignment="1" applyBorder="1" applyFont="1" applyNumberFormat="1">
      <alignment vertical="bottom"/>
    </xf>
    <xf borderId="0" fillId="5" fontId="9" numFmtId="0" xfId="0" applyAlignment="1" applyFont="1">
      <alignment horizontal="right" vertical="bottom"/>
    </xf>
    <xf borderId="5" fillId="0" fontId="9" numFmtId="0" xfId="0" applyAlignment="1" applyBorder="1" applyFont="1">
      <alignment horizontal="right" vertical="bottom"/>
    </xf>
    <xf borderId="8" fillId="0" fontId="9" numFmtId="164" xfId="0" applyAlignment="1" applyBorder="1" applyFont="1" applyNumberFormat="1">
      <alignment horizontal="right" vertical="bottom"/>
    </xf>
    <xf borderId="0" fillId="0" fontId="1" numFmtId="2" xfId="0" applyAlignment="1" applyFont="1" applyNumberFormat="1">
      <alignment vertical="bottom"/>
    </xf>
    <xf borderId="8" fillId="0" fontId="9" numFmtId="167" xfId="0" applyAlignment="1" applyBorder="1" applyFont="1" applyNumberFormat="1">
      <alignment horizontal="right" vertical="bottom"/>
    </xf>
    <xf borderId="4" fillId="11" fontId="8" numFmtId="0" xfId="0" applyAlignment="1" applyBorder="1" applyFont="1">
      <alignment vertical="bottom"/>
    </xf>
    <xf borderId="0" fillId="11" fontId="8" numFmtId="9" xfId="0" applyAlignment="1" applyFont="1" applyNumberFormat="1">
      <alignment horizontal="center" vertical="bottom"/>
    </xf>
    <xf borderId="0" fillId="11" fontId="8" numFmtId="165" xfId="0" applyAlignment="1" applyFont="1" applyNumberFormat="1">
      <alignment horizontal="right" vertical="bottom"/>
    </xf>
    <xf borderId="5" fillId="11" fontId="8" numFmtId="165" xfId="0" applyAlignment="1" applyBorder="1" applyFont="1" applyNumberFormat="1">
      <alignment horizontal="right" vertical="bottom"/>
    </xf>
    <xf borderId="6" fillId="12" fontId="8" numFmtId="0" xfId="0" applyAlignment="1" applyBorder="1" applyFont="1">
      <alignment vertical="bottom"/>
    </xf>
    <xf borderId="7" fillId="12" fontId="8" numFmtId="165" xfId="0" applyAlignment="1" applyBorder="1" applyFont="1" applyNumberFormat="1">
      <alignment horizontal="right" vertical="bottom"/>
    </xf>
    <xf borderId="8" fillId="12" fontId="8" numFmtId="165" xfId="0" applyAlignment="1" applyBorder="1" applyFont="1" applyNumberFormat="1">
      <alignment horizontal="right" vertical="bottom"/>
    </xf>
    <xf borderId="0" fillId="4" fontId="6" numFmtId="0" xfId="0" applyAlignment="1" applyFont="1">
      <alignment vertical="bottom"/>
    </xf>
    <xf borderId="0" fillId="4" fontId="6" numFmtId="165" xfId="0" applyAlignment="1" applyFont="1" applyNumberFormat="1">
      <alignment horizontal="right" vertical="bottom"/>
    </xf>
    <xf borderId="0" fillId="0" fontId="1" numFmtId="168" xfId="0" applyAlignment="1" applyFont="1" applyNumberFormat="1">
      <alignment vertical="bottom"/>
    </xf>
    <xf borderId="0" fillId="0" fontId="8" numFmtId="164" xfId="0" applyAlignment="1" applyFont="1" applyNumberFormat="1">
      <alignment horizontal="center" shrinkToFit="0" wrapText="1"/>
    </xf>
    <xf borderId="0" fillId="14" fontId="1" numFmtId="0" xfId="0" applyAlignment="1" applyFill="1" applyFont="1">
      <alignment vertical="bottom"/>
    </xf>
    <xf borderId="0" fillId="0" fontId="1" numFmtId="167" xfId="0" applyAlignment="1" applyFont="1" applyNumberFormat="1">
      <alignment vertical="bottom"/>
    </xf>
    <xf borderId="0" fillId="0" fontId="1" numFmtId="9" xfId="0" applyAlignment="1" applyFont="1" applyNumberFormat="1">
      <alignment vertical="bottom"/>
    </xf>
    <xf borderId="0" fillId="0" fontId="1" numFmtId="10" xfId="0" applyAlignment="1" applyFont="1" applyNumberFormat="1">
      <alignment vertical="bottom"/>
    </xf>
    <xf borderId="0" fillId="0" fontId="5" numFmtId="0" xfId="0" applyAlignment="1" applyFont="1">
      <alignment vertical="bottom"/>
    </xf>
    <xf borderId="0" fillId="0" fontId="5" numFmtId="0" xfId="0" applyAlignment="1" applyFont="1">
      <alignment horizontal="right" vertical="bottom"/>
    </xf>
    <xf borderId="1" fillId="15" fontId="8" numFmtId="0" xfId="0" applyAlignment="1" applyBorder="1" applyFill="1" applyFont="1">
      <alignment vertical="bottom"/>
    </xf>
    <xf borderId="2" fillId="15" fontId="1" numFmtId="0" xfId="0" applyAlignment="1" applyBorder="1" applyFont="1">
      <alignment vertical="bottom"/>
    </xf>
    <xf borderId="3" fillId="15" fontId="1" numFmtId="0" xfId="0" applyAlignment="1" applyBorder="1" applyFont="1">
      <alignment vertical="bottom"/>
    </xf>
    <xf borderId="7" fillId="0" fontId="1" numFmtId="0" xfId="0" applyAlignment="1" applyBorder="1" applyFont="1">
      <alignment vertical="bottom"/>
    </xf>
    <xf borderId="7" fillId="0" fontId="9" numFmtId="9" xfId="0" applyAlignment="1" applyBorder="1" applyFont="1" applyNumberFormat="1">
      <alignment horizontal="right" vertical="bottom"/>
    </xf>
    <xf borderId="1" fillId="11" fontId="8" numFmtId="0" xfId="0" applyAlignment="1" applyBorder="1" applyFont="1">
      <alignment vertical="bottom"/>
    </xf>
    <xf borderId="2" fillId="11" fontId="1" numFmtId="0" xfId="0" applyAlignment="1" applyBorder="1" applyFont="1">
      <alignment vertical="bottom"/>
    </xf>
    <xf borderId="3" fillId="11" fontId="1" numFmtId="0" xfId="0" applyAlignment="1" applyBorder="1" applyFont="1">
      <alignment vertical="bottom"/>
    </xf>
    <xf borderId="1" fillId="7" fontId="8" numFmtId="0" xfId="0" applyAlignment="1" applyBorder="1" applyFont="1">
      <alignment vertical="bottom"/>
    </xf>
    <xf borderId="2" fillId="7" fontId="1" numFmtId="0" xfId="0" applyAlignment="1" applyBorder="1" applyFont="1">
      <alignment vertical="bottom"/>
    </xf>
    <xf borderId="3" fillId="7" fontId="1" numFmtId="0" xfId="0" applyAlignment="1" applyBorder="1" applyFont="1">
      <alignment vertical="bottom"/>
    </xf>
    <xf borderId="4" fillId="7" fontId="8" numFmtId="0" xfId="0" applyAlignment="1" applyBorder="1" applyFont="1">
      <alignment vertical="bottom"/>
    </xf>
    <xf borderId="0" fillId="7" fontId="8" numFmtId="165" xfId="0" applyAlignment="1" applyFont="1" applyNumberFormat="1">
      <alignment horizontal="right" vertical="bottom"/>
    </xf>
    <xf borderId="5" fillId="7" fontId="8" numFmtId="165" xfId="0" applyAlignment="1" applyBorder="1" applyFont="1" applyNumberFormat="1">
      <alignment horizontal="right" vertical="bottom"/>
    </xf>
    <xf borderId="6" fillId="16" fontId="8" numFmtId="0" xfId="0" applyAlignment="1" applyBorder="1" applyFill="1" applyFont="1">
      <alignment vertical="bottom"/>
    </xf>
    <xf borderId="7" fillId="16" fontId="8" numFmtId="165" xfId="0" applyAlignment="1" applyBorder="1" applyFont="1" applyNumberFormat="1">
      <alignment horizontal="right" vertical="bottom"/>
    </xf>
    <xf borderId="1" fillId="17" fontId="8" numFmtId="0" xfId="0" applyAlignment="1" applyBorder="1" applyFill="1" applyFont="1">
      <alignment vertical="bottom"/>
    </xf>
    <xf borderId="2" fillId="17" fontId="1" numFmtId="0" xfId="0" applyAlignment="1" applyBorder="1" applyFont="1">
      <alignment vertical="bottom"/>
    </xf>
    <xf borderId="3" fillId="17" fontId="1" numFmtId="0" xfId="0" applyAlignment="1" applyBorder="1" applyFont="1">
      <alignment vertical="bottom"/>
    </xf>
    <xf borderId="5" fillId="0" fontId="1" numFmtId="165" xfId="0" applyAlignment="1" applyBorder="1" applyFont="1" applyNumberFormat="1">
      <alignment vertical="bottom"/>
    </xf>
    <xf borderId="6" fillId="17" fontId="8" numFmtId="0" xfId="0" applyAlignment="1" applyBorder="1" applyFont="1">
      <alignment vertical="bottom"/>
    </xf>
    <xf borderId="7" fillId="17" fontId="8" numFmtId="165" xfId="0" applyAlignment="1" applyBorder="1" applyFont="1" applyNumberFormat="1">
      <alignment horizontal="right" vertical="bottom"/>
    </xf>
    <xf borderId="1" fillId="13" fontId="8" numFmtId="0" xfId="0" applyAlignment="1" applyBorder="1" applyFont="1">
      <alignment vertical="bottom"/>
    </xf>
    <xf borderId="2" fillId="13" fontId="1" numFmtId="0" xfId="0" applyAlignment="1" applyBorder="1" applyFont="1">
      <alignment vertical="bottom"/>
    </xf>
    <xf borderId="3" fillId="13" fontId="1" numFmtId="0" xfId="0" applyAlignment="1" applyBorder="1" applyFont="1">
      <alignment vertical="bottom"/>
    </xf>
    <xf borderId="6" fillId="18" fontId="8" numFmtId="0" xfId="0" applyAlignment="1" applyBorder="1" applyFill="1" applyFont="1">
      <alignment vertical="bottom"/>
    </xf>
    <xf borderId="7" fillId="18" fontId="8" numFmtId="165" xfId="0" applyAlignment="1" applyBorder="1" applyFont="1" applyNumberFormat="1">
      <alignment horizontal="right" vertical="bottom"/>
    </xf>
    <xf borderId="8" fillId="18" fontId="8" numFmtId="165" xfId="0" applyAlignment="1" applyBorder="1" applyFont="1" applyNumberFormat="1">
      <alignment horizontal="right" vertical="bottom"/>
    </xf>
    <xf borderId="1" fillId="19" fontId="8" numFmtId="0" xfId="0" applyAlignment="1" applyBorder="1" applyFill="1" applyFont="1">
      <alignment vertical="bottom"/>
    </xf>
    <xf borderId="2" fillId="19" fontId="1" numFmtId="0" xfId="0" applyAlignment="1" applyBorder="1" applyFont="1">
      <alignment vertical="bottom"/>
    </xf>
    <xf borderId="3" fillId="19" fontId="1" numFmtId="0" xfId="0" applyAlignment="1" applyBorder="1" applyFont="1">
      <alignment vertical="bottom"/>
    </xf>
    <xf borderId="0" fillId="0" fontId="9" numFmtId="9" xfId="0" applyAlignment="1" applyFont="1" applyNumberFormat="1">
      <alignment horizontal="right" vertical="bottom"/>
    </xf>
    <xf borderId="5" fillId="0" fontId="9" numFmtId="9" xfId="0" applyAlignment="1" applyBorder="1" applyFont="1" applyNumberFormat="1">
      <alignment horizontal="right" vertical="bottom"/>
    </xf>
    <xf borderId="4" fillId="0" fontId="9" numFmtId="168" xfId="0" applyAlignment="1" applyBorder="1" applyFont="1" applyNumberFormat="1">
      <alignment vertical="bottom"/>
    </xf>
    <xf borderId="6" fillId="19" fontId="8" numFmtId="0" xfId="0" applyAlignment="1" applyBorder="1" applyFont="1">
      <alignment vertical="bottom"/>
    </xf>
    <xf borderId="7" fillId="19" fontId="8" numFmtId="165" xfId="0" applyAlignment="1" applyBorder="1" applyFont="1" applyNumberFormat="1">
      <alignment horizontal="right" vertical="bottom"/>
    </xf>
    <xf borderId="8" fillId="19" fontId="8" numFmtId="165" xfId="0" applyAlignment="1" applyBorder="1" applyFont="1" applyNumberFormat="1">
      <alignment horizontal="right" vertical="bottom"/>
    </xf>
    <xf borderId="1" fillId="20" fontId="8" numFmtId="0" xfId="0" applyAlignment="1" applyBorder="1" applyFill="1" applyFont="1">
      <alignment vertical="bottom"/>
    </xf>
    <xf borderId="2" fillId="20" fontId="1" numFmtId="0" xfId="0" applyAlignment="1" applyBorder="1" applyFont="1">
      <alignment vertical="bottom"/>
    </xf>
    <xf borderId="3" fillId="20" fontId="1" numFmtId="0" xfId="0" applyAlignment="1" applyBorder="1" applyFont="1">
      <alignment vertical="bottom"/>
    </xf>
    <xf borderId="4" fillId="20" fontId="8" numFmtId="0" xfId="0" applyAlignment="1" applyBorder="1" applyFont="1">
      <alignment vertical="bottom"/>
    </xf>
    <xf borderId="0" fillId="20" fontId="8" numFmtId="165" xfId="0" applyAlignment="1" applyFont="1" applyNumberFormat="1">
      <alignment horizontal="right" vertical="bottom"/>
    </xf>
    <xf borderId="5" fillId="20" fontId="8" numFmtId="165" xfId="0" applyAlignment="1" applyBorder="1" applyFont="1" applyNumberFormat="1">
      <alignment horizontal="right" vertical="bottom"/>
    </xf>
    <xf borderId="6" fillId="20" fontId="8" numFmtId="0" xfId="0" applyAlignment="1" applyBorder="1" applyFont="1">
      <alignment vertical="bottom"/>
    </xf>
    <xf borderId="7" fillId="20" fontId="8" numFmtId="165" xfId="0" applyAlignment="1" applyBorder="1" applyFont="1" applyNumberFormat="1">
      <alignment horizontal="right" vertical="bottom"/>
    </xf>
    <xf borderId="8" fillId="20" fontId="8" numFmtId="165" xfId="0" applyAlignment="1" applyBorder="1" applyFont="1" applyNumberFormat="1">
      <alignment horizontal="right" vertical="bottom"/>
    </xf>
    <xf borderId="1" fillId="12" fontId="8" numFmtId="0" xfId="0" applyAlignment="1" applyBorder="1" applyFont="1">
      <alignment vertical="bottom"/>
    </xf>
    <xf borderId="2" fillId="12" fontId="1" numFmtId="0" xfId="0" applyAlignment="1" applyBorder="1" applyFont="1">
      <alignment vertical="bottom"/>
    </xf>
    <xf borderId="3" fillId="12" fontId="1" numFmtId="0" xfId="0" applyAlignment="1" applyBorder="1" applyFont="1">
      <alignment vertical="bottom"/>
    </xf>
    <xf borderId="0" fillId="0" fontId="9" numFmtId="167" xfId="0" applyAlignment="1" applyFont="1" applyNumberFormat="1">
      <alignment horizontal="right" vertical="bottom"/>
    </xf>
    <xf borderId="4" fillId="12" fontId="8" numFmtId="0" xfId="0" applyAlignment="1" applyBorder="1" applyFont="1">
      <alignment vertical="bottom"/>
    </xf>
    <xf borderId="0" fillId="12" fontId="8" numFmtId="167" xfId="0" applyAlignment="1" applyFont="1" applyNumberFormat="1">
      <alignment horizontal="right" vertical="bottom"/>
    </xf>
    <xf borderId="5" fillId="12" fontId="8" numFmtId="167" xfId="0" applyAlignment="1" applyBorder="1" applyFont="1" applyNumberFormat="1">
      <alignment horizontal="right" vertical="bottom"/>
    </xf>
    <xf borderId="0" fillId="0" fontId="9" numFmtId="167" xfId="0" applyAlignment="1" applyFont="1" applyNumberFormat="1">
      <alignment horizontal="center" vertical="bottom"/>
    </xf>
    <xf borderId="7" fillId="12" fontId="8" numFmtId="167" xfId="0" applyAlignment="1" applyBorder="1" applyFont="1" applyNumberFormat="1">
      <alignment horizontal="center" vertical="bottom"/>
    </xf>
    <xf borderId="7" fillId="12" fontId="8" numFmtId="167" xfId="0" applyAlignment="1" applyBorder="1" applyFont="1" applyNumberFormat="1">
      <alignment horizontal="right" vertical="bottom"/>
    </xf>
    <xf borderId="8" fillId="12" fontId="8" numFmtId="167" xfId="0" applyAlignment="1" applyBorder="1" applyFont="1" applyNumberFormat="1">
      <alignment horizontal="right" vertical="bottom"/>
    </xf>
    <xf borderId="0" fillId="0" fontId="1" numFmtId="169" xfId="0" applyAlignment="1" applyFont="1" applyNumberFormat="1">
      <alignment vertical="bottom"/>
    </xf>
    <xf borderId="0" fillId="0" fontId="1" numFmtId="170" xfId="0" applyAlignment="1" applyFont="1" applyNumberFormat="1">
      <alignment vertical="bottom"/>
    </xf>
    <xf borderId="0" fillId="4" fontId="14" numFmtId="0" xfId="0" applyAlignment="1" applyFont="1">
      <alignment horizontal="center" vertical="bottom"/>
    </xf>
    <xf borderId="0" fillId="0" fontId="3" numFmtId="0" xfId="0" applyAlignment="1" applyFont="1">
      <alignment vertical="bottom"/>
    </xf>
    <xf borderId="0" fillId="0" fontId="12" numFmtId="0" xfId="0" applyAlignment="1" applyFont="1">
      <alignment horizontal="right" vertical="bottom"/>
    </xf>
    <xf borderId="0" fillId="0" fontId="12" numFmtId="164" xfId="0" applyAlignment="1" applyFont="1" applyNumberFormat="1">
      <alignment horizontal="right" vertical="bottom"/>
    </xf>
    <xf borderId="0" fillId="0" fontId="15" numFmtId="0" xfId="0" applyAlignment="1" applyFont="1">
      <alignment horizontal="center" shrinkToFit="0" vertical="bottom" wrapText="1"/>
    </xf>
    <xf borderId="0" fillId="0" fontId="15" numFmtId="0" xfId="0" applyAlignment="1" applyFont="1">
      <alignment horizontal="center" vertical="bottom"/>
    </xf>
    <xf borderId="0" fillId="0" fontId="15" numFmtId="0" xfId="0" applyAlignment="1" applyFont="1">
      <alignment shrinkToFit="0" vertical="bottom" wrapText="1"/>
    </xf>
    <xf borderId="0" fillId="0" fontId="15" numFmtId="0" xfId="0" applyAlignment="1" applyFont="1">
      <alignment vertical="bottom"/>
    </xf>
    <xf borderId="0" fillId="0" fontId="1" numFmtId="0" xfId="0" applyAlignment="1" applyFont="1">
      <alignment shrinkToFit="0" vertical="bottom" wrapText="1"/>
    </xf>
    <xf borderId="0" fillId="0" fontId="1" numFmtId="170" xfId="0" applyAlignment="1" applyFont="1" applyNumberFormat="1">
      <alignment horizontal="righ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c r="B1" s="2" t="s">
        <v>0</v>
      </c>
      <c r="M1" s="3"/>
      <c r="N1" s="3"/>
      <c r="O1" s="3"/>
      <c r="P1" s="1"/>
      <c r="Q1" s="1"/>
      <c r="R1" s="1"/>
      <c r="S1" s="1"/>
      <c r="T1" s="1"/>
      <c r="U1" s="1"/>
      <c r="V1" s="1"/>
      <c r="W1" s="1"/>
      <c r="X1" s="1"/>
      <c r="Y1" s="1"/>
      <c r="Z1" s="1"/>
    </row>
    <row r="2">
      <c r="A2" s="1"/>
      <c r="B2" s="1"/>
      <c r="C2" s="3"/>
      <c r="D2" s="1"/>
      <c r="E2" s="3"/>
      <c r="F2" s="3"/>
      <c r="G2" s="3"/>
      <c r="H2" s="3"/>
      <c r="I2" s="3"/>
      <c r="J2" s="1"/>
      <c r="K2" s="1"/>
      <c r="L2" s="1"/>
      <c r="M2" s="1"/>
      <c r="N2" s="1"/>
      <c r="O2" s="1"/>
      <c r="P2" s="1"/>
      <c r="Q2" s="1"/>
      <c r="R2" s="1"/>
      <c r="S2" s="1"/>
      <c r="T2" s="1"/>
      <c r="U2" s="1"/>
      <c r="V2" s="1"/>
      <c r="W2" s="1"/>
      <c r="X2" s="1"/>
      <c r="Y2" s="1"/>
      <c r="Z2" s="1"/>
    </row>
    <row r="3">
      <c r="A3" s="1"/>
      <c r="B3" s="4" t="s">
        <v>1</v>
      </c>
      <c r="E3" s="1"/>
      <c r="F3" s="4" t="s">
        <v>2</v>
      </c>
      <c r="M3" s="1"/>
      <c r="N3" s="1"/>
      <c r="O3" s="1"/>
      <c r="P3" s="1"/>
      <c r="Q3" s="1"/>
      <c r="R3" s="1"/>
      <c r="S3" s="1"/>
      <c r="T3" s="1"/>
      <c r="U3" s="1"/>
      <c r="V3" s="1"/>
      <c r="W3" s="1"/>
      <c r="X3" s="1"/>
      <c r="Y3" s="1"/>
      <c r="Z3" s="1"/>
    </row>
    <row r="4">
      <c r="A4" s="1"/>
      <c r="B4" s="5"/>
      <c r="E4" s="1"/>
      <c r="F4" s="6" t="s">
        <v>3</v>
      </c>
      <c r="G4" s="6" t="s">
        <v>4</v>
      </c>
      <c r="H4" s="6" t="s">
        <v>5</v>
      </c>
      <c r="I4" s="6" t="s">
        <v>6</v>
      </c>
      <c r="J4" s="7" t="s">
        <v>7</v>
      </c>
      <c r="K4" s="6" t="s">
        <v>8</v>
      </c>
      <c r="L4" s="6" t="s">
        <v>9</v>
      </c>
      <c r="M4" s="1"/>
      <c r="N4" s="1"/>
      <c r="O4" s="1"/>
      <c r="P4" s="1"/>
      <c r="Q4" s="1"/>
      <c r="R4" s="1"/>
      <c r="S4" s="1"/>
      <c r="T4" s="1"/>
      <c r="U4" s="1"/>
      <c r="V4" s="1"/>
      <c r="W4" s="1"/>
      <c r="X4" s="1"/>
      <c r="Y4" s="1"/>
      <c r="Z4" s="1"/>
    </row>
    <row r="5">
      <c r="A5" s="1"/>
      <c r="B5" s="5"/>
      <c r="E5" s="1"/>
      <c r="F5" s="1"/>
      <c r="G5" s="1"/>
      <c r="H5" s="1"/>
      <c r="I5" s="1"/>
      <c r="J5" s="8"/>
      <c r="K5" s="1"/>
      <c r="L5" s="1"/>
      <c r="M5" s="1"/>
      <c r="N5" s="1"/>
      <c r="O5" s="1"/>
      <c r="P5" s="1"/>
      <c r="Q5" s="1"/>
      <c r="R5" s="1"/>
      <c r="S5" s="1"/>
      <c r="T5" s="1"/>
      <c r="U5" s="1"/>
      <c r="V5" s="1"/>
      <c r="W5" s="1"/>
      <c r="X5" s="1"/>
      <c r="Y5" s="1"/>
      <c r="Z5" s="1"/>
    </row>
    <row r="6">
      <c r="A6" s="1"/>
      <c r="B6" s="5"/>
      <c r="E6" s="1"/>
      <c r="F6" s="1"/>
      <c r="G6" s="1"/>
      <c r="H6" s="1"/>
      <c r="I6" s="1"/>
      <c r="J6" s="8"/>
      <c r="K6" s="1"/>
      <c r="L6" s="1"/>
      <c r="M6" s="1"/>
      <c r="N6" s="1"/>
      <c r="O6" s="1"/>
      <c r="P6" s="1"/>
      <c r="Q6" s="1"/>
      <c r="R6" s="1"/>
      <c r="S6" s="1"/>
      <c r="T6" s="1"/>
      <c r="U6" s="1"/>
      <c r="V6" s="1"/>
      <c r="W6" s="1"/>
      <c r="X6" s="1"/>
      <c r="Y6" s="1"/>
      <c r="Z6" s="1"/>
    </row>
    <row r="7">
      <c r="A7" s="1"/>
      <c r="B7" s="1"/>
      <c r="C7" s="1"/>
      <c r="D7" s="1"/>
      <c r="E7" s="1"/>
      <c r="F7" s="1"/>
      <c r="G7" s="1"/>
      <c r="H7" s="1"/>
      <c r="I7" s="1"/>
      <c r="J7" s="8"/>
      <c r="K7" s="1"/>
      <c r="L7" s="1"/>
      <c r="M7" s="1"/>
      <c r="N7" s="1"/>
      <c r="O7" s="1"/>
      <c r="P7" s="1"/>
      <c r="Q7" s="1"/>
      <c r="R7" s="1"/>
      <c r="S7" s="1"/>
      <c r="T7" s="1"/>
      <c r="U7" s="1"/>
      <c r="V7" s="1"/>
      <c r="W7" s="1"/>
      <c r="X7" s="1"/>
      <c r="Y7" s="1"/>
      <c r="Z7" s="1"/>
    </row>
    <row r="8">
      <c r="A8" s="1"/>
      <c r="B8" s="1"/>
      <c r="C8" s="1"/>
      <c r="D8" s="1"/>
      <c r="E8" s="1"/>
      <c r="F8" s="1"/>
      <c r="G8" s="1"/>
      <c r="H8" s="1"/>
      <c r="I8" s="1"/>
      <c r="J8" s="8"/>
      <c r="K8" s="1"/>
      <c r="L8" s="1"/>
      <c r="M8" s="1"/>
      <c r="N8" s="1"/>
      <c r="O8" s="1"/>
      <c r="P8" s="1"/>
      <c r="Q8" s="1"/>
      <c r="R8" s="1"/>
      <c r="S8" s="1"/>
      <c r="T8" s="1"/>
      <c r="U8" s="1"/>
      <c r="V8" s="1"/>
      <c r="W8" s="1"/>
      <c r="X8" s="1"/>
      <c r="Y8" s="1"/>
      <c r="Z8" s="1"/>
    </row>
    <row r="9">
      <c r="A9" s="1"/>
      <c r="B9" s="9" t="s">
        <v>10</v>
      </c>
      <c r="C9" s="10"/>
      <c r="D9" s="11"/>
      <c r="E9" s="1"/>
      <c r="F9" s="1"/>
      <c r="G9" s="1"/>
      <c r="H9" s="1"/>
      <c r="I9" s="1"/>
      <c r="J9" s="8"/>
      <c r="K9" s="1"/>
      <c r="L9" s="1"/>
      <c r="M9" s="1"/>
      <c r="N9" s="1"/>
      <c r="O9" s="1"/>
      <c r="P9" s="1"/>
      <c r="Q9" s="1"/>
      <c r="R9" s="1"/>
      <c r="S9" s="1"/>
      <c r="T9" s="1"/>
      <c r="U9" s="1"/>
      <c r="V9" s="1"/>
      <c r="W9" s="1"/>
      <c r="X9" s="1"/>
      <c r="Y9" s="1"/>
      <c r="Z9" s="1"/>
    </row>
    <row r="10">
      <c r="A10" s="1"/>
      <c r="B10" s="12" t="s">
        <v>11</v>
      </c>
      <c r="C10" s="13" t="s">
        <v>12</v>
      </c>
      <c r="D10" s="14"/>
      <c r="E10" s="1"/>
      <c r="F10" s="1"/>
      <c r="G10" s="1"/>
      <c r="H10" s="1"/>
      <c r="I10" s="1"/>
      <c r="J10" s="1"/>
      <c r="K10" s="1"/>
      <c r="L10" s="1"/>
      <c r="M10" s="1"/>
      <c r="N10" s="1"/>
      <c r="O10" s="1"/>
      <c r="P10" s="1"/>
      <c r="Q10" s="1"/>
      <c r="R10" s="1"/>
      <c r="S10" s="1"/>
      <c r="T10" s="1"/>
      <c r="U10" s="1"/>
      <c r="V10" s="1"/>
      <c r="W10" s="1"/>
      <c r="X10" s="1"/>
      <c r="Y10" s="1"/>
      <c r="Z10" s="1"/>
    </row>
    <row r="11">
      <c r="A11" s="1"/>
      <c r="B11" s="12" t="s">
        <v>13</v>
      </c>
      <c r="C11" s="15" t="s">
        <v>14</v>
      </c>
      <c r="D11" s="14"/>
      <c r="E11" s="1"/>
      <c r="F11" s="1"/>
      <c r="G11" s="1"/>
      <c r="H11" s="1"/>
      <c r="I11" s="1"/>
      <c r="J11" s="1"/>
      <c r="K11" s="1"/>
      <c r="L11" s="1"/>
      <c r="M11" s="1"/>
      <c r="N11" s="1"/>
      <c r="O11" s="1"/>
      <c r="P11" s="1"/>
      <c r="Q11" s="1"/>
      <c r="R11" s="1"/>
      <c r="S11" s="1"/>
      <c r="T11" s="1"/>
      <c r="U11" s="1"/>
      <c r="V11" s="1"/>
      <c r="W11" s="1"/>
      <c r="X11" s="1"/>
      <c r="Y11" s="1"/>
      <c r="Z11" s="1"/>
    </row>
    <row r="12">
      <c r="A12" s="1"/>
      <c r="B12" s="12" t="s">
        <v>5</v>
      </c>
      <c r="C12" s="13">
        <v>3.0</v>
      </c>
      <c r="D12" s="14"/>
      <c r="E12" s="1"/>
      <c r="F12" s="1"/>
      <c r="G12" s="1"/>
      <c r="H12" s="1"/>
      <c r="I12" s="1"/>
      <c r="J12" s="1"/>
      <c r="K12" s="1"/>
      <c r="L12" s="1"/>
      <c r="M12" s="1"/>
      <c r="N12" s="1"/>
      <c r="O12" s="1"/>
      <c r="P12" s="1"/>
      <c r="Q12" s="1"/>
      <c r="R12" s="1"/>
      <c r="S12" s="1"/>
      <c r="T12" s="1"/>
      <c r="U12" s="1"/>
      <c r="V12" s="1"/>
      <c r="W12" s="1"/>
      <c r="X12" s="1"/>
      <c r="Y12" s="1"/>
      <c r="Z12" s="1"/>
    </row>
    <row r="13">
      <c r="A13" s="1"/>
      <c r="B13" s="12" t="s">
        <v>6</v>
      </c>
      <c r="C13" s="13">
        <v>2.0</v>
      </c>
      <c r="D13" s="14"/>
      <c r="E13" s="1"/>
      <c r="F13" s="1"/>
      <c r="G13" s="1"/>
      <c r="H13" s="1"/>
      <c r="I13" s="1"/>
      <c r="J13" s="1"/>
      <c r="K13" s="1"/>
      <c r="L13" s="1"/>
      <c r="M13" s="1"/>
      <c r="N13" s="1"/>
      <c r="O13" s="1"/>
      <c r="P13" s="1"/>
      <c r="Q13" s="1"/>
      <c r="R13" s="1"/>
      <c r="S13" s="1"/>
      <c r="T13" s="1"/>
      <c r="U13" s="1"/>
      <c r="V13" s="1"/>
      <c r="W13" s="1"/>
      <c r="X13" s="1"/>
      <c r="Y13" s="1"/>
      <c r="Z13" s="1"/>
    </row>
    <row r="14">
      <c r="A14" s="1"/>
      <c r="B14" s="16" t="s">
        <v>15</v>
      </c>
      <c r="C14" s="17">
        <v>2303.0</v>
      </c>
      <c r="D14" s="14"/>
      <c r="E14" s="1"/>
      <c r="F14" s="1"/>
      <c r="G14" s="1"/>
      <c r="H14" s="1"/>
      <c r="I14" s="1"/>
      <c r="J14" s="1"/>
      <c r="K14" s="1"/>
      <c r="L14" s="1"/>
      <c r="M14" s="1"/>
      <c r="N14" s="1"/>
      <c r="O14" s="1"/>
      <c r="P14" s="1"/>
      <c r="Q14" s="1"/>
      <c r="R14" s="1"/>
      <c r="S14" s="1"/>
      <c r="T14" s="1"/>
      <c r="U14" s="1"/>
      <c r="V14" s="1"/>
      <c r="W14" s="1"/>
      <c r="X14" s="1"/>
      <c r="Y14" s="1"/>
      <c r="Z14" s="1"/>
    </row>
    <row r="15">
      <c r="A15" s="1"/>
      <c r="B15" s="12" t="s">
        <v>16</v>
      </c>
      <c r="C15" s="18"/>
      <c r="D15" s="14"/>
      <c r="E15" s="1"/>
      <c r="F15" s="1"/>
      <c r="G15" s="1"/>
      <c r="H15" s="1"/>
      <c r="I15" s="1"/>
      <c r="J15" s="1"/>
      <c r="K15" s="1"/>
      <c r="L15" s="1"/>
      <c r="M15" s="1"/>
      <c r="N15" s="1"/>
      <c r="O15" s="1"/>
      <c r="P15" s="1"/>
      <c r="Q15" s="1"/>
      <c r="R15" s="1"/>
      <c r="S15" s="1"/>
      <c r="T15" s="1"/>
      <c r="U15" s="1"/>
      <c r="V15" s="1"/>
      <c r="W15" s="1"/>
      <c r="X15" s="1"/>
      <c r="Y15" s="1"/>
      <c r="Z15" s="1"/>
    </row>
    <row r="16">
      <c r="A16" s="1"/>
      <c r="B16" s="12" t="s">
        <v>17</v>
      </c>
      <c r="C16" s="13" t="s">
        <v>18</v>
      </c>
      <c r="D16" s="14"/>
      <c r="E16" s="1"/>
      <c r="F16" s="1"/>
      <c r="G16" s="1"/>
      <c r="H16" s="1"/>
      <c r="I16" s="1"/>
      <c r="J16" s="1"/>
      <c r="K16" s="1"/>
      <c r="L16" s="1"/>
      <c r="M16" s="1"/>
      <c r="N16" s="1"/>
      <c r="O16" s="1"/>
      <c r="P16" s="1"/>
      <c r="Q16" s="1"/>
      <c r="R16" s="1"/>
      <c r="S16" s="1"/>
      <c r="T16" s="1"/>
      <c r="U16" s="1"/>
      <c r="V16" s="1"/>
      <c r="W16" s="1"/>
      <c r="X16" s="1"/>
      <c r="Y16" s="1"/>
      <c r="Z16" s="1"/>
    </row>
    <row r="17">
      <c r="A17" s="1"/>
      <c r="B17" s="12" t="s">
        <v>19</v>
      </c>
      <c r="D17" s="14"/>
      <c r="E17" s="1"/>
      <c r="F17" s="1"/>
      <c r="G17" s="1"/>
      <c r="H17" s="1"/>
      <c r="I17" s="1"/>
      <c r="J17" s="1"/>
      <c r="K17" s="1"/>
      <c r="L17" s="1"/>
      <c r="M17" s="1"/>
      <c r="N17" s="1"/>
      <c r="O17" s="1"/>
      <c r="P17" s="1"/>
      <c r="Q17" s="1"/>
      <c r="R17" s="1"/>
      <c r="S17" s="1"/>
      <c r="T17" s="1"/>
      <c r="U17" s="1"/>
      <c r="V17" s="1"/>
      <c r="W17" s="1"/>
      <c r="X17" s="1"/>
      <c r="Y17" s="1"/>
      <c r="Z17" s="1"/>
    </row>
    <row r="18">
      <c r="A18" s="1"/>
      <c r="B18" s="19"/>
      <c r="D18" s="14"/>
      <c r="E18" s="1"/>
      <c r="F18" s="1"/>
      <c r="G18" s="1"/>
      <c r="H18" s="1"/>
      <c r="I18" s="1"/>
      <c r="J18" s="1"/>
      <c r="K18" s="1"/>
      <c r="L18" s="1"/>
      <c r="M18" s="1"/>
      <c r="N18" s="1"/>
      <c r="O18" s="1"/>
      <c r="P18" s="1"/>
      <c r="Q18" s="1"/>
      <c r="R18" s="1"/>
      <c r="S18" s="1"/>
      <c r="T18" s="1"/>
      <c r="U18" s="1"/>
      <c r="V18" s="1"/>
      <c r="W18" s="1"/>
      <c r="X18" s="1"/>
      <c r="Y18" s="1"/>
      <c r="Z18" s="1"/>
    </row>
    <row r="19">
      <c r="A19" s="1"/>
      <c r="B19" s="20"/>
      <c r="C19" s="21"/>
      <c r="D19" s="22"/>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23" t="s">
        <v>20</v>
      </c>
      <c r="H21" s="1"/>
      <c r="I21" s="1"/>
      <c r="J21" s="1"/>
      <c r="K21" s="1"/>
      <c r="L21" s="1"/>
      <c r="M21" s="1"/>
      <c r="N21" s="1"/>
      <c r="O21" s="1"/>
      <c r="P21" s="1"/>
      <c r="Q21" s="1"/>
      <c r="R21" s="1"/>
      <c r="S21" s="1"/>
      <c r="T21" s="1"/>
      <c r="U21" s="1"/>
      <c r="V21" s="1"/>
      <c r="W21" s="1"/>
      <c r="X21" s="1"/>
      <c r="Y21" s="1"/>
      <c r="Z21" s="1"/>
    </row>
    <row r="22">
      <c r="A22" s="1"/>
      <c r="H22" s="1"/>
      <c r="I22" s="1"/>
      <c r="J22" s="1"/>
      <c r="K22" s="1"/>
      <c r="L22" s="1"/>
      <c r="M22" s="1"/>
      <c r="N22" s="1"/>
      <c r="O22" s="1"/>
      <c r="P22" s="1"/>
      <c r="Q22" s="1"/>
      <c r="R22" s="1"/>
      <c r="S22" s="1"/>
      <c r="T22" s="1"/>
      <c r="U22" s="1"/>
      <c r="V22" s="1"/>
      <c r="W22" s="1"/>
      <c r="X22" s="1"/>
      <c r="Y22" s="1"/>
      <c r="Z22" s="1"/>
    </row>
    <row r="23">
      <c r="A23" s="1"/>
      <c r="H23" s="1"/>
      <c r="I23" s="1"/>
      <c r="J23" s="1"/>
      <c r="K23" s="1"/>
      <c r="L23" s="1"/>
      <c r="M23" s="1"/>
      <c r="N23" s="1"/>
      <c r="O23" s="1"/>
      <c r="P23" s="1"/>
      <c r="Q23" s="1"/>
      <c r="R23" s="1"/>
      <c r="S23" s="1"/>
      <c r="T23" s="1"/>
      <c r="U23" s="1"/>
      <c r="V23" s="1"/>
      <c r="W23" s="1"/>
      <c r="X23" s="1"/>
      <c r="Y23" s="1"/>
      <c r="Z23" s="1"/>
    </row>
    <row r="24">
      <c r="A24" s="1"/>
      <c r="H24" s="1"/>
      <c r="I24" s="1"/>
      <c r="J24" s="1"/>
      <c r="K24" s="1"/>
      <c r="L24" s="1"/>
      <c r="M24" s="1"/>
      <c r="N24" s="1"/>
      <c r="O24" s="1"/>
      <c r="P24" s="1"/>
      <c r="Q24" s="1"/>
      <c r="R24" s="1"/>
      <c r="S24" s="1"/>
      <c r="T24" s="1"/>
      <c r="U24" s="1"/>
      <c r="V24" s="1"/>
      <c r="W24" s="1"/>
      <c r="X24" s="1"/>
      <c r="Y24" s="1"/>
      <c r="Z24" s="1"/>
    </row>
    <row r="25">
      <c r="A25" s="1"/>
      <c r="H25" s="1"/>
      <c r="I25" s="1"/>
      <c r="J25" s="1"/>
      <c r="K25" s="1"/>
      <c r="L25" s="1"/>
      <c r="M25" s="1"/>
      <c r="N25" s="1"/>
      <c r="O25" s="1"/>
      <c r="P25" s="1"/>
      <c r="Q25" s="1"/>
      <c r="R25" s="1"/>
      <c r="S25" s="1"/>
      <c r="T25" s="1"/>
      <c r="U25" s="1"/>
      <c r="V25" s="1"/>
      <c r="W25" s="1"/>
      <c r="X25" s="1"/>
      <c r="Y25" s="1"/>
      <c r="Z25" s="1"/>
    </row>
    <row r="26">
      <c r="A26" s="1"/>
      <c r="H26" s="1"/>
      <c r="I26" s="1"/>
      <c r="J26" s="1"/>
      <c r="K26" s="1"/>
      <c r="L26" s="1"/>
      <c r="M26" s="1"/>
      <c r="N26" s="1"/>
      <c r="O26" s="1"/>
      <c r="P26" s="1"/>
      <c r="Q26" s="1"/>
      <c r="R26" s="1"/>
      <c r="S26" s="1"/>
      <c r="T26" s="1"/>
      <c r="U26" s="1"/>
      <c r="V26" s="1"/>
      <c r="W26" s="1"/>
      <c r="X26" s="1"/>
      <c r="Y26" s="1"/>
      <c r="Z26" s="1"/>
    </row>
    <row r="27">
      <c r="A27" s="1"/>
      <c r="H27" s="1"/>
      <c r="I27" s="1"/>
      <c r="J27" s="1"/>
      <c r="K27" s="1"/>
      <c r="L27" s="1"/>
      <c r="M27" s="1"/>
      <c r="N27" s="1"/>
      <c r="O27" s="1"/>
      <c r="P27" s="1"/>
      <c r="Q27" s="1"/>
      <c r="R27" s="1"/>
      <c r="S27" s="1"/>
      <c r="T27" s="1"/>
      <c r="U27" s="1"/>
      <c r="V27" s="1"/>
      <c r="W27" s="1"/>
      <c r="X27" s="1"/>
      <c r="Y27" s="1"/>
      <c r="Z27" s="1"/>
    </row>
    <row r="28">
      <c r="A28" s="1"/>
      <c r="H28" s="1"/>
      <c r="I28" s="1"/>
      <c r="J28" s="1"/>
      <c r="K28" s="1"/>
      <c r="L28" s="1"/>
      <c r="M28" s="1"/>
      <c r="N28" s="1"/>
      <c r="O28" s="1"/>
      <c r="P28" s="1"/>
      <c r="Q28" s="1"/>
      <c r="R28" s="1"/>
      <c r="S28" s="1"/>
      <c r="T28" s="1"/>
      <c r="U28" s="1"/>
      <c r="V28" s="1"/>
      <c r="W28" s="1"/>
      <c r="X28" s="1"/>
      <c r="Y28" s="1"/>
      <c r="Z28" s="1"/>
    </row>
    <row r="29">
      <c r="A29" s="1"/>
      <c r="H29" s="1"/>
      <c r="I29" s="1"/>
      <c r="J29" s="1"/>
      <c r="K29" s="1"/>
      <c r="L29" s="1"/>
      <c r="M29" s="1"/>
      <c r="N29" s="1"/>
      <c r="O29" s="1"/>
      <c r="P29" s="1"/>
      <c r="Q29" s="1"/>
      <c r="R29" s="1"/>
      <c r="S29" s="1"/>
      <c r="T29" s="1"/>
      <c r="U29" s="1"/>
      <c r="V29" s="1"/>
      <c r="W29" s="1"/>
      <c r="X29" s="1"/>
      <c r="Y29" s="1"/>
      <c r="Z29" s="1"/>
    </row>
    <row r="30">
      <c r="A30" s="1"/>
      <c r="H30" s="1"/>
      <c r="I30" s="1"/>
      <c r="J30" s="1"/>
      <c r="K30" s="1"/>
      <c r="L30" s="1"/>
      <c r="M30" s="1"/>
      <c r="N30" s="1"/>
      <c r="O30" s="1"/>
      <c r="P30" s="1"/>
      <c r="Q30" s="1"/>
      <c r="R30" s="1"/>
      <c r="S30" s="1"/>
      <c r="T30" s="1"/>
      <c r="U30" s="1"/>
      <c r="V30" s="1"/>
      <c r="W30" s="1"/>
      <c r="X30" s="1"/>
      <c r="Y30" s="1"/>
      <c r="Z30" s="1"/>
    </row>
    <row r="31">
      <c r="A31" s="1"/>
      <c r="H31" s="1"/>
      <c r="I31" s="1"/>
      <c r="J31" s="1"/>
      <c r="K31" s="1"/>
      <c r="L31" s="1"/>
      <c r="M31" s="1"/>
      <c r="N31" s="1"/>
      <c r="O31" s="1"/>
      <c r="P31" s="1"/>
      <c r="Q31" s="1"/>
      <c r="R31" s="1"/>
      <c r="S31" s="1"/>
      <c r="T31" s="1"/>
      <c r="U31" s="1"/>
      <c r="V31" s="1"/>
      <c r="W31" s="1"/>
      <c r="X31" s="1"/>
      <c r="Y31" s="1"/>
      <c r="Z31" s="1"/>
    </row>
    <row r="32">
      <c r="A32" s="1"/>
      <c r="H32" s="1"/>
      <c r="I32" s="1"/>
      <c r="J32" s="1"/>
      <c r="K32" s="1"/>
      <c r="L32" s="1"/>
      <c r="M32" s="1"/>
      <c r="N32" s="1"/>
      <c r="O32" s="1"/>
      <c r="P32" s="1"/>
      <c r="Q32" s="1"/>
      <c r="R32" s="1"/>
      <c r="S32" s="1"/>
      <c r="T32" s="1"/>
      <c r="U32" s="1"/>
      <c r="V32" s="1"/>
      <c r="W32" s="1"/>
      <c r="X32" s="1"/>
      <c r="Y32" s="1"/>
      <c r="Z32" s="1"/>
    </row>
    <row r="33">
      <c r="A33" s="1"/>
      <c r="H33" s="1"/>
      <c r="I33" s="1"/>
      <c r="J33" s="1"/>
      <c r="K33" s="1"/>
      <c r="L33" s="1"/>
      <c r="M33" s="1"/>
      <c r="N33" s="1"/>
      <c r="O33" s="1"/>
      <c r="P33" s="1"/>
      <c r="Q33" s="1"/>
      <c r="R33" s="1"/>
      <c r="S33" s="1"/>
      <c r="T33" s="1"/>
      <c r="U33" s="1"/>
      <c r="V33" s="1"/>
      <c r="W33" s="1"/>
      <c r="X33" s="1"/>
      <c r="Y33" s="1"/>
      <c r="Z33" s="1"/>
    </row>
    <row r="34">
      <c r="A34" s="1"/>
      <c r="H34" s="1"/>
      <c r="I34" s="1"/>
      <c r="J34" s="1"/>
      <c r="K34" s="1"/>
      <c r="L34" s="1"/>
      <c r="M34" s="1"/>
      <c r="N34" s="1"/>
      <c r="O34" s="1"/>
      <c r="P34" s="1"/>
      <c r="Q34" s="1"/>
      <c r="R34" s="1"/>
      <c r="S34" s="1"/>
      <c r="T34" s="1"/>
      <c r="U34" s="1"/>
      <c r="V34" s="1"/>
      <c r="W34" s="1"/>
      <c r="X34" s="1"/>
      <c r="Y34" s="1"/>
      <c r="Z34" s="1"/>
    </row>
    <row r="35">
      <c r="A35" s="1"/>
      <c r="H35" s="1"/>
      <c r="I35" s="1"/>
      <c r="J35" s="1"/>
      <c r="K35" s="1"/>
      <c r="L35" s="1"/>
      <c r="M35" s="1"/>
      <c r="N35" s="1"/>
      <c r="O35" s="1"/>
      <c r="P35" s="1"/>
      <c r="Q35" s="1"/>
      <c r="R35" s="1"/>
      <c r="S35" s="1"/>
      <c r="T35" s="1"/>
      <c r="U35" s="1"/>
      <c r="V35" s="1"/>
      <c r="W35" s="1"/>
      <c r="X35" s="1"/>
      <c r="Y35" s="1"/>
      <c r="Z35" s="1"/>
    </row>
    <row r="36">
      <c r="A36" s="1"/>
      <c r="H36" s="1"/>
      <c r="I36" s="1"/>
      <c r="J36" s="1"/>
      <c r="K36" s="1"/>
      <c r="L36" s="1"/>
      <c r="M36" s="1"/>
      <c r="N36" s="1"/>
      <c r="O36" s="1"/>
      <c r="P36" s="1"/>
      <c r="Q36" s="1"/>
      <c r="R36" s="1"/>
      <c r="S36" s="1"/>
      <c r="T36" s="1"/>
      <c r="U36" s="1"/>
      <c r="V36" s="1"/>
      <c r="W36" s="1"/>
      <c r="X36" s="1"/>
      <c r="Y36" s="1"/>
      <c r="Z36" s="1"/>
    </row>
    <row r="37">
      <c r="A37" s="1"/>
      <c r="H37" s="1"/>
      <c r="I37" s="1"/>
      <c r="J37" s="1"/>
      <c r="K37" s="1"/>
      <c r="L37" s="1"/>
      <c r="M37" s="1"/>
      <c r="N37" s="1"/>
      <c r="O37" s="1"/>
      <c r="P37" s="1"/>
      <c r="Q37" s="1"/>
      <c r="R37" s="1"/>
      <c r="S37" s="1"/>
      <c r="T37" s="1"/>
      <c r="U37" s="1"/>
      <c r="V37" s="1"/>
      <c r="W37" s="1"/>
      <c r="X37" s="1"/>
      <c r="Y37" s="1"/>
      <c r="Z37" s="1"/>
    </row>
    <row r="38">
      <c r="A38" s="1"/>
      <c r="H38" s="1"/>
      <c r="I38" s="1"/>
      <c r="J38" s="1"/>
      <c r="K38" s="1"/>
      <c r="L38" s="1"/>
      <c r="M38" s="1"/>
      <c r="N38" s="1"/>
      <c r="O38" s="1"/>
      <c r="P38" s="1"/>
      <c r="Q38" s="1"/>
      <c r="R38" s="1"/>
      <c r="S38" s="1"/>
      <c r="T38" s="1"/>
      <c r="U38" s="1"/>
      <c r="V38" s="1"/>
      <c r="W38" s="1"/>
      <c r="X38" s="1"/>
      <c r="Y38" s="1"/>
      <c r="Z38" s="1"/>
    </row>
    <row r="39">
      <c r="A39" s="1"/>
      <c r="H39" s="1"/>
      <c r="I39" s="1"/>
      <c r="J39" s="1"/>
      <c r="K39" s="1"/>
      <c r="L39" s="1"/>
      <c r="M39" s="1"/>
      <c r="N39" s="1"/>
      <c r="O39" s="1"/>
      <c r="P39" s="1"/>
      <c r="Q39" s="1"/>
      <c r="R39" s="1"/>
      <c r="S39" s="1"/>
      <c r="T39" s="1"/>
      <c r="U39" s="1"/>
      <c r="V39" s="1"/>
      <c r="W39" s="1"/>
      <c r="X39" s="1"/>
      <c r="Y39" s="1"/>
      <c r="Z39" s="1"/>
    </row>
    <row r="40">
      <c r="A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7">
    <mergeCell ref="B1:L1"/>
    <mergeCell ref="B3:D3"/>
    <mergeCell ref="F3:L3"/>
    <mergeCell ref="B4:D4"/>
    <mergeCell ref="B5:D5"/>
    <mergeCell ref="B6:D6"/>
    <mergeCell ref="B9:D9"/>
    <mergeCell ref="B17:D17"/>
    <mergeCell ref="B18:D19"/>
    <mergeCell ref="B21:G40"/>
    <mergeCell ref="C10:D10"/>
    <mergeCell ref="C11:D11"/>
    <mergeCell ref="C12:D12"/>
    <mergeCell ref="C13:D13"/>
    <mergeCell ref="C14:D14"/>
    <mergeCell ref="C15:D15"/>
    <mergeCell ref="C16:D16"/>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7" max="17" width="14.13"/>
  </cols>
  <sheetData>
    <row r="1">
      <c r="A1" s="1"/>
      <c r="B1" s="24" t="s">
        <v>21</v>
      </c>
      <c r="S1" s="1"/>
      <c r="T1" s="1"/>
      <c r="U1" s="1"/>
      <c r="V1" s="1"/>
      <c r="W1" s="1"/>
      <c r="X1" s="1"/>
      <c r="Y1" s="1"/>
      <c r="Z1" s="3"/>
      <c r="AA1" s="3"/>
      <c r="AB1" s="3"/>
      <c r="AC1" s="3"/>
      <c r="AD1" s="3"/>
      <c r="AE1" s="3"/>
    </row>
    <row r="2">
      <c r="A2" s="1"/>
      <c r="B2" s="1"/>
      <c r="C2" s="1"/>
      <c r="D2" s="1"/>
      <c r="E2" s="1"/>
      <c r="F2" s="1"/>
      <c r="G2" s="1"/>
      <c r="H2" s="1"/>
      <c r="I2" s="3"/>
      <c r="J2" s="1"/>
      <c r="K2" s="1"/>
      <c r="L2" s="1"/>
      <c r="M2" s="1"/>
      <c r="N2" s="1"/>
      <c r="O2" s="1"/>
      <c r="P2" s="1"/>
      <c r="Q2" s="1"/>
      <c r="R2" s="1"/>
      <c r="S2" s="1"/>
      <c r="T2" s="1"/>
      <c r="U2" s="1"/>
      <c r="V2" s="1"/>
      <c r="W2" s="1"/>
      <c r="X2" s="1"/>
      <c r="Y2" s="1"/>
      <c r="Z2" s="1"/>
      <c r="AA2" s="1"/>
      <c r="AB2" s="1"/>
      <c r="AC2" s="1"/>
      <c r="AD2" s="1"/>
      <c r="AE2" s="1"/>
    </row>
    <row r="3">
      <c r="A3" s="1"/>
      <c r="B3" s="25" t="s">
        <v>22</v>
      </c>
      <c r="C3" s="10"/>
      <c r="D3" s="11"/>
      <c r="E3" s="3"/>
      <c r="F3" s="25" t="s">
        <v>23</v>
      </c>
      <c r="G3" s="10"/>
      <c r="H3" s="10"/>
      <c r="I3" s="11"/>
      <c r="J3" s="3"/>
      <c r="K3" s="9" t="s">
        <v>24</v>
      </c>
      <c r="L3" s="10"/>
      <c r="M3" s="11"/>
      <c r="N3" s="1"/>
      <c r="O3" s="9" t="s">
        <v>25</v>
      </c>
      <c r="P3" s="10"/>
      <c r="Q3" s="10"/>
      <c r="R3" s="11"/>
      <c r="S3" s="1"/>
      <c r="T3" s="1"/>
      <c r="U3" s="1"/>
      <c r="V3" s="1"/>
      <c r="W3" s="1"/>
      <c r="X3" s="1"/>
      <c r="Y3" s="1"/>
      <c r="Z3" s="3"/>
      <c r="AA3" s="3"/>
      <c r="AB3" s="3"/>
      <c r="AC3" s="3"/>
      <c r="AD3" s="3"/>
      <c r="AE3" s="3"/>
    </row>
    <row r="4">
      <c r="A4" s="1"/>
      <c r="B4" s="26" t="s">
        <v>26</v>
      </c>
      <c r="D4" s="27">
        <v>432000.0</v>
      </c>
      <c r="E4" s="1"/>
      <c r="F4" s="28"/>
      <c r="H4" s="29" t="s">
        <v>27</v>
      </c>
      <c r="I4" s="30" t="s">
        <v>28</v>
      </c>
      <c r="J4" s="3"/>
      <c r="K4" s="31"/>
      <c r="L4" s="32" t="s">
        <v>27</v>
      </c>
      <c r="M4" s="33" t="s">
        <v>28</v>
      </c>
      <c r="N4" s="1"/>
      <c r="O4" s="12" t="s">
        <v>29</v>
      </c>
      <c r="R4" s="34">
        <v>0.03</v>
      </c>
      <c r="S4" s="1"/>
      <c r="T4" s="1"/>
      <c r="U4" s="1"/>
      <c r="V4" s="1"/>
      <c r="W4" s="1"/>
      <c r="X4" s="1"/>
      <c r="Y4" s="1"/>
      <c r="Z4" s="3"/>
      <c r="AA4" s="3"/>
      <c r="AB4" s="3"/>
      <c r="AC4" s="3"/>
      <c r="AD4" s="3"/>
      <c r="AE4" s="3"/>
    </row>
    <row r="5">
      <c r="A5" s="1"/>
      <c r="B5" s="26" t="s">
        <v>30</v>
      </c>
      <c r="D5" s="27">
        <v>432000.0</v>
      </c>
      <c r="E5" s="1"/>
      <c r="F5" s="35" t="s">
        <v>31</v>
      </c>
      <c r="I5" s="14"/>
      <c r="J5" s="3"/>
      <c r="K5" s="36" t="s">
        <v>32</v>
      </c>
      <c r="L5" s="37">
        <f>M5/12</f>
        <v>7500</v>
      </c>
      <c r="M5" s="38">
        <v>90000.0</v>
      </c>
      <c r="N5" s="1"/>
      <c r="O5" s="12" t="s">
        <v>33</v>
      </c>
      <c r="R5" s="34">
        <v>0.03</v>
      </c>
      <c r="S5" s="1"/>
      <c r="T5" s="1"/>
      <c r="U5" s="1"/>
      <c r="V5" s="1"/>
      <c r="W5" s="1"/>
      <c r="X5" s="1"/>
      <c r="Y5" s="1"/>
      <c r="Z5" s="3"/>
      <c r="AA5" s="3"/>
      <c r="AB5" s="3"/>
      <c r="AC5" s="3"/>
      <c r="AD5" s="3"/>
      <c r="AE5" s="3"/>
    </row>
    <row r="6">
      <c r="A6" s="1"/>
      <c r="B6" s="26" t="s">
        <v>34</v>
      </c>
      <c r="C6" s="39">
        <v>0.1</v>
      </c>
      <c r="D6" s="40">
        <f>C6*D4</f>
        <v>43200</v>
      </c>
      <c r="E6" s="1"/>
      <c r="F6" s="26" t="s">
        <v>35</v>
      </c>
      <c r="I6" s="41">
        <v>400.0</v>
      </c>
      <c r="J6" s="3"/>
      <c r="K6" s="31"/>
      <c r="L6" s="42"/>
      <c r="M6" s="43"/>
      <c r="N6" s="1"/>
      <c r="O6" s="12" t="s">
        <v>36</v>
      </c>
      <c r="R6" s="34">
        <v>0.04</v>
      </c>
      <c r="S6" s="1"/>
      <c r="T6" s="1"/>
      <c r="U6" s="1"/>
      <c r="V6" s="1"/>
      <c r="W6" s="1"/>
      <c r="X6" s="1"/>
      <c r="Y6" s="1"/>
      <c r="Z6" s="44" t="s">
        <v>37</v>
      </c>
      <c r="AE6" s="3"/>
    </row>
    <row r="7">
      <c r="A7" s="1"/>
      <c r="B7" s="26" t="s">
        <v>38</v>
      </c>
      <c r="C7" s="45">
        <v>0.01</v>
      </c>
      <c r="D7" s="40">
        <f>C7*D4</f>
        <v>4320</v>
      </c>
      <c r="E7" s="1"/>
      <c r="F7" s="26" t="s">
        <v>39</v>
      </c>
      <c r="I7" s="34">
        <v>0.55</v>
      </c>
      <c r="J7" s="1"/>
      <c r="K7" s="36" t="s">
        <v>40</v>
      </c>
      <c r="L7" s="46">
        <v>2838.0</v>
      </c>
      <c r="M7" s="47">
        <f t="shared" ref="M7:M8" si="1">L7*12</f>
        <v>34056</v>
      </c>
      <c r="N7" s="1"/>
      <c r="O7" s="12" t="s">
        <v>41</v>
      </c>
      <c r="R7" s="34">
        <v>0.24</v>
      </c>
      <c r="S7" s="1"/>
      <c r="T7" s="1"/>
      <c r="U7" s="1"/>
      <c r="V7" s="1"/>
      <c r="W7" s="1"/>
      <c r="X7" s="1"/>
      <c r="Y7" s="1"/>
      <c r="Z7" s="29" t="s">
        <v>42</v>
      </c>
      <c r="AA7" s="29" t="s">
        <v>43</v>
      </c>
      <c r="AB7" s="29" t="s">
        <v>44</v>
      </c>
      <c r="AC7" s="29" t="s">
        <v>45</v>
      </c>
      <c r="AD7" s="29" t="s">
        <v>46</v>
      </c>
      <c r="AE7" s="1"/>
    </row>
    <row r="8">
      <c r="A8" s="1"/>
      <c r="B8" s="26" t="s">
        <v>47</v>
      </c>
      <c r="D8" s="41">
        <v>2250.0</v>
      </c>
      <c r="E8" s="1"/>
      <c r="F8" s="26" t="s">
        <v>48</v>
      </c>
      <c r="I8" s="48">
        <v>365.0</v>
      </c>
      <c r="J8" s="1"/>
      <c r="K8" s="36" t="s">
        <v>49</v>
      </c>
      <c r="L8" s="37">
        <f>K9*L5</f>
        <v>2250</v>
      </c>
      <c r="M8" s="47">
        <f t="shared" si="1"/>
        <v>27000</v>
      </c>
      <c r="N8" s="1"/>
      <c r="O8" s="49" t="s">
        <v>50</v>
      </c>
      <c r="P8" s="21"/>
      <c r="Q8" s="21"/>
      <c r="R8" s="50">
        <f>0.2*D4</f>
        <v>86400</v>
      </c>
      <c r="S8" s="1"/>
      <c r="T8" s="1"/>
      <c r="U8" s="1"/>
      <c r="V8" s="1"/>
      <c r="W8" s="1"/>
      <c r="X8" s="1"/>
      <c r="Y8" s="8"/>
      <c r="Z8" s="51" t="s">
        <v>51</v>
      </c>
      <c r="AA8" s="52">
        <v>-60.0</v>
      </c>
      <c r="AB8" s="53">
        <f>-($D$12+$D$19)</f>
        <v>-146270</v>
      </c>
      <c r="AC8" s="54" t="str">
        <f>-($D$12+$D$19)*#REF!</f>
        <v>#REF!</v>
      </c>
      <c r="AD8" s="54" t="str">
        <f>-($D$12+$D$19)*(1-#REF!)</f>
        <v>#REF!</v>
      </c>
      <c r="AE8" s="8"/>
    </row>
    <row r="9">
      <c r="A9" s="1"/>
      <c r="B9" s="26" t="s">
        <v>52</v>
      </c>
      <c r="D9" s="41">
        <v>0.0</v>
      </c>
      <c r="E9" s="1"/>
      <c r="F9" s="55" t="s">
        <v>32</v>
      </c>
      <c r="H9" s="56">
        <f>I9/12</f>
        <v>6691.666667</v>
      </c>
      <c r="I9" s="57">
        <f>I6*I7*I8</f>
        <v>80300</v>
      </c>
      <c r="J9" s="1"/>
      <c r="K9" s="58">
        <v>0.3</v>
      </c>
      <c r="L9" s="42"/>
      <c r="M9" s="43"/>
      <c r="N9" s="1"/>
      <c r="O9" s="1"/>
      <c r="P9" s="1"/>
      <c r="Q9" s="1"/>
      <c r="R9" s="1"/>
      <c r="S9" s="1"/>
      <c r="T9" s="1"/>
      <c r="U9" s="1"/>
      <c r="V9" s="1"/>
      <c r="W9" s="1"/>
      <c r="X9" s="1"/>
      <c r="Y9" s="8"/>
      <c r="Z9" s="59" t="s">
        <v>53</v>
      </c>
      <c r="AA9" s="52">
        <v>-59.0</v>
      </c>
      <c r="AB9" s="53">
        <f t="shared" ref="AB9:AB55" si="3">-($D$30+$H$18+$H$19+$H$20+$H$33)</f>
        <v>-4245.641421</v>
      </c>
      <c r="AC9" s="54" t="str">
        <f t="shared" ref="AC9:AC55" si="4">-($D$30+$H$18+$H$19+$H$20+$H$33)*#REF!</f>
        <v>#REF!</v>
      </c>
      <c r="AD9" s="54" t="str">
        <f t="shared" ref="AD9:AD55" si="5">-($D$30+$H$18+$H$19+$H$20+$H$33)*(1-#REF!)</f>
        <v>#REF!</v>
      </c>
      <c r="AE9" s="60"/>
    </row>
    <row r="10">
      <c r="A10" s="1"/>
      <c r="B10" s="26" t="s">
        <v>54</v>
      </c>
      <c r="D10" s="41">
        <v>0.0</v>
      </c>
      <c r="E10" s="1"/>
      <c r="F10" s="35" t="s">
        <v>55</v>
      </c>
      <c r="I10" s="14"/>
      <c r="J10" s="1"/>
      <c r="K10" s="36" t="s">
        <v>56</v>
      </c>
      <c r="L10" s="61">
        <f t="shared" ref="L10:M10" si="2">SUM(L7:L9)</f>
        <v>5088</v>
      </c>
      <c r="M10" s="62">
        <f t="shared" si="2"/>
        <v>61056</v>
      </c>
      <c r="N10" s="1"/>
      <c r="O10" s="9" t="s">
        <v>57</v>
      </c>
      <c r="P10" s="10"/>
      <c r="Q10" s="10"/>
      <c r="R10" s="11"/>
      <c r="S10" s="1"/>
      <c r="T10" s="1"/>
      <c r="U10" s="1"/>
      <c r="V10" s="1"/>
      <c r="W10" s="1"/>
      <c r="X10" s="1"/>
      <c r="Y10" s="8"/>
      <c r="AA10" s="52">
        <v>-58.0</v>
      </c>
      <c r="AB10" s="53">
        <f t="shared" si="3"/>
        <v>-4245.641421</v>
      </c>
      <c r="AC10" s="54" t="str">
        <f t="shared" si="4"/>
        <v>#REF!</v>
      </c>
      <c r="AD10" s="54" t="str">
        <f t="shared" si="5"/>
        <v>#REF!</v>
      </c>
      <c r="AE10" s="60"/>
    </row>
    <row r="11">
      <c r="A11" s="1"/>
      <c r="B11" s="26" t="s">
        <v>58</v>
      </c>
      <c r="D11" s="41">
        <v>1000.0</v>
      </c>
      <c r="E11" s="1"/>
      <c r="F11" s="26" t="s">
        <v>59</v>
      </c>
      <c r="H11" s="46">
        <v>0.0</v>
      </c>
      <c r="I11" s="40">
        <f t="shared" ref="I11:I12" si="6">H11*12</f>
        <v>0</v>
      </c>
      <c r="J11" s="1"/>
      <c r="K11" s="31"/>
      <c r="L11" s="42"/>
      <c r="M11" s="43"/>
      <c r="N11" s="1"/>
      <c r="O11" s="12" t="s">
        <v>60</v>
      </c>
      <c r="P11" s="63">
        <v>1.0</v>
      </c>
      <c r="Q11" s="29" t="s">
        <v>27</v>
      </c>
      <c r="R11" s="30" t="s">
        <v>28</v>
      </c>
      <c r="S11" s="1"/>
      <c r="T11" s="1"/>
      <c r="U11" s="1"/>
      <c r="V11" s="1"/>
      <c r="W11" s="1"/>
      <c r="X11" s="1"/>
      <c r="Y11" s="8"/>
      <c r="AA11" s="52">
        <v>-57.0</v>
      </c>
      <c r="AB11" s="53">
        <f t="shared" si="3"/>
        <v>-4245.641421</v>
      </c>
      <c r="AC11" s="54" t="str">
        <f t="shared" si="4"/>
        <v>#REF!</v>
      </c>
      <c r="AD11" s="54" t="str">
        <f t="shared" si="5"/>
        <v>#REF!</v>
      </c>
      <c r="AE11" s="60"/>
    </row>
    <row r="12">
      <c r="A12" s="1"/>
      <c r="B12" s="49" t="s">
        <v>61</v>
      </c>
      <c r="C12" s="21"/>
      <c r="D12" s="64">
        <f>sum(D6:D11)</f>
        <v>50770</v>
      </c>
      <c r="E12" s="1"/>
      <c r="F12" s="26" t="s">
        <v>62</v>
      </c>
      <c r="G12" s="39">
        <v>0.08</v>
      </c>
      <c r="H12" s="65">
        <f>G12*H11</f>
        <v>0</v>
      </c>
      <c r="I12" s="40">
        <f t="shared" si="6"/>
        <v>0</v>
      </c>
      <c r="J12" s="1"/>
      <c r="K12" s="36" t="s">
        <v>63</v>
      </c>
      <c r="L12" s="61">
        <f t="shared" ref="L12:M12" si="7">L5-L10</f>
        <v>2412</v>
      </c>
      <c r="M12" s="62">
        <f t="shared" si="7"/>
        <v>28944</v>
      </c>
      <c r="N12" s="1"/>
      <c r="O12" s="26" t="s">
        <v>64</v>
      </c>
      <c r="Q12" s="65">
        <f t="shared" ref="Q12:Q16" si="9">R12/12</f>
        <v>6691.666667</v>
      </c>
      <c r="R12" s="40">
        <f>hlookup($P$11,'Long Term Outlook'!$B$2:$L$50,match(O12,'Long Term Outlook'!$B$2:$B$50,0),1)</f>
        <v>80300</v>
      </c>
      <c r="S12" s="1"/>
      <c r="T12" s="1"/>
      <c r="U12" s="1"/>
      <c r="V12" s="1"/>
      <c r="W12" s="1"/>
      <c r="X12" s="1"/>
      <c r="Y12" s="8"/>
      <c r="AA12" s="52">
        <v>-56.0</v>
      </c>
      <c r="AB12" s="53">
        <f t="shared" si="3"/>
        <v>-4245.641421</v>
      </c>
      <c r="AC12" s="54" t="str">
        <f t="shared" si="4"/>
        <v>#REF!</v>
      </c>
      <c r="AD12" s="54" t="str">
        <f t="shared" si="5"/>
        <v>#REF!</v>
      </c>
      <c r="AE12" s="60"/>
    </row>
    <row r="13">
      <c r="A13" s="1"/>
      <c r="B13" s="1"/>
      <c r="C13" s="1"/>
      <c r="D13" s="1"/>
      <c r="E13" s="1"/>
      <c r="F13" s="55" t="s">
        <v>65</v>
      </c>
      <c r="H13" s="56">
        <f t="shared" ref="H13:I13" si="8">H11-H12</f>
        <v>0</v>
      </c>
      <c r="I13" s="57">
        <f t="shared" si="8"/>
        <v>0</v>
      </c>
      <c r="J13" s="1"/>
      <c r="K13" s="36" t="s">
        <v>66</v>
      </c>
      <c r="L13" s="66"/>
      <c r="M13" s="47">
        <f>M22</f>
        <v>146270</v>
      </c>
      <c r="N13" s="1"/>
      <c r="O13" s="26" t="s">
        <v>67</v>
      </c>
      <c r="Q13" s="65">
        <f t="shared" si="9"/>
        <v>3192.916667</v>
      </c>
      <c r="R13" s="40">
        <f>hlookup($P$11,'Long Term Outlook'!$B$2:$L$50,match(O13,'Long Term Outlook'!$B$2:$B$50,0),1)</f>
        <v>38315</v>
      </c>
      <c r="S13" s="1"/>
      <c r="T13" s="1"/>
      <c r="U13" s="1"/>
      <c r="V13" s="1"/>
      <c r="W13" s="1"/>
      <c r="X13" s="1"/>
      <c r="Y13" s="8"/>
      <c r="AA13" s="52">
        <v>-55.0</v>
      </c>
      <c r="AB13" s="53">
        <f t="shared" si="3"/>
        <v>-4245.641421</v>
      </c>
      <c r="AC13" s="54" t="str">
        <f t="shared" si="4"/>
        <v>#REF!</v>
      </c>
      <c r="AD13" s="54" t="str">
        <f t="shared" si="5"/>
        <v>#REF!</v>
      </c>
      <c r="AE13" s="60"/>
    </row>
    <row r="14">
      <c r="A14" s="1"/>
      <c r="B14" s="9" t="s">
        <v>68</v>
      </c>
      <c r="C14" s="10"/>
      <c r="D14" s="11"/>
      <c r="E14" s="1"/>
      <c r="F14" s="67" t="s">
        <v>69</v>
      </c>
      <c r="G14" s="68"/>
      <c r="H14" s="69">
        <f t="shared" ref="H14:I14" si="10">H9+H13</f>
        <v>6691.666667</v>
      </c>
      <c r="I14" s="70">
        <f t="shared" si="10"/>
        <v>80300</v>
      </c>
      <c r="J14" s="1"/>
      <c r="K14" s="71" t="s">
        <v>70</v>
      </c>
      <c r="L14" s="72"/>
      <c r="M14" s="73">
        <f>M12/M13</f>
        <v>0.1978806317</v>
      </c>
      <c r="N14" s="1"/>
      <c r="O14" s="26" t="s">
        <v>71</v>
      </c>
      <c r="Q14" s="65">
        <f t="shared" si="9"/>
        <v>3498.75</v>
      </c>
      <c r="R14" s="40">
        <f>hlookup($P$11,'Long Term Outlook'!$B$2:$L$50,match(O14,'Long Term Outlook'!$B$2:$B$50,0),1)</f>
        <v>41985</v>
      </c>
      <c r="S14" s="1"/>
      <c r="T14" s="1"/>
      <c r="U14" s="1"/>
      <c r="V14" s="1"/>
      <c r="W14" s="1"/>
      <c r="X14" s="1"/>
      <c r="Y14" s="8"/>
      <c r="AA14" s="52">
        <v>-54.0</v>
      </c>
      <c r="AB14" s="53">
        <f t="shared" si="3"/>
        <v>-4245.641421</v>
      </c>
      <c r="AC14" s="54" t="str">
        <f t="shared" si="4"/>
        <v>#REF!</v>
      </c>
      <c r="AD14" s="54" t="str">
        <f t="shared" si="5"/>
        <v>#REF!</v>
      </c>
      <c r="AE14" s="60"/>
    </row>
    <row r="15">
      <c r="A15" s="1"/>
      <c r="B15" s="26" t="s">
        <v>72</v>
      </c>
      <c r="D15" s="41">
        <v>70000.0</v>
      </c>
      <c r="E15" s="1"/>
      <c r="F15" s="1"/>
      <c r="G15" s="1"/>
      <c r="H15" s="1"/>
      <c r="I15" s="1"/>
      <c r="J15" s="1"/>
      <c r="K15" s="1"/>
      <c r="L15" s="1"/>
      <c r="M15" s="1"/>
      <c r="N15" s="1"/>
      <c r="O15" s="26" t="s">
        <v>73</v>
      </c>
      <c r="Q15" s="65">
        <f t="shared" si="9"/>
        <v>3379.974754</v>
      </c>
      <c r="R15" s="40">
        <f>hlookup($P$11,'Long Term Outlook'!$B$2:$L$50,match(O15,'Long Term Outlook'!$B$2:$B$50,0),1)</f>
        <v>40559.69705</v>
      </c>
      <c r="S15" s="1"/>
      <c r="T15" s="1"/>
      <c r="U15" s="1"/>
      <c r="V15" s="1"/>
      <c r="W15" s="1"/>
      <c r="X15" s="1"/>
      <c r="Y15" s="8"/>
      <c r="AA15" s="52">
        <v>-53.0</v>
      </c>
      <c r="AB15" s="53">
        <f t="shared" si="3"/>
        <v>-4245.641421</v>
      </c>
      <c r="AC15" s="54" t="str">
        <f t="shared" si="4"/>
        <v>#REF!</v>
      </c>
      <c r="AD15" s="54" t="str">
        <f t="shared" si="5"/>
        <v>#REF!</v>
      </c>
      <c r="AE15" s="60"/>
    </row>
    <row r="16">
      <c r="A16" s="1"/>
      <c r="B16" s="26" t="s">
        <v>74</v>
      </c>
      <c r="D16" s="74">
        <v>5000.0</v>
      </c>
      <c r="E16" s="1"/>
      <c r="F16" s="9" t="s">
        <v>75</v>
      </c>
      <c r="G16" s="10"/>
      <c r="H16" s="10"/>
      <c r="I16" s="11"/>
      <c r="J16" s="1"/>
      <c r="K16" s="9" t="s">
        <v>76</v>
      </c>
      <c r="L16" s="10"/>
      <c r="M16" s="11"/>
      <c r="N16" s="1"/>
      <c r="O16" s="75" t="s">
        <v>77</v>
      </c>
      <c r="P16" s="21"/>
      <c r="Q16" s="76" t="str">
        <f t="shared" si="9"/>
        <v>#N/A</v>
      </c>
      <c r="R16" s="77" t="str">
        <f>hlookup($P$11,'Long Term Outlook'!$B$2:$L$50,match(O16,'Long Term Outlook'!$B$2:$B$50,0),1)</f>
        <v>#N/A</v>
      </c>
      <c r="S16" s="1"/>
      <c r="T16" s="1"/>
      <c r="U16" s="1"/>
      <c r="V16" s="1"/>
      <c r="W16" s="1"/>
      <c r="X16" s="1"/>
      <c r="Y16" s="8"/>
      <c r="AA16" s="52">
        <v>-52.0</v>
      </c>
      <c r="AB16" s="53">
        <f t="shared" si="3"/>
        <v>-4245.641421</v>
      </c>
      <c r="AC16" s="54" t="str">
        <f t="shared" si="4"/>
        <v>#REF!</v>
      </c>
      <c r="AD16" s="54" t="str">
        <f t="shared" si="5"/>
        <v>#REF!</v>
      </c>
      <c r="AE16" s="60"/>
    </row>
    <row r="17">
      <c r="A17" s="1"/>
      <c r="B17" s="26" t="s">
        <v>78</v>
      </c>
      <c r="C17" s="78">
        <v>15.0</v>
      </c>
      <c r="D17" s="40">
        <v>20000.0</v>
      </c>
      <c r="E17" s="1"/>
      <c r="F17" s="28"/>
      <c r="H17" s="29" t="s">
        <v>27</v>
      </c>
      <c r="I17" s="30" t="s">
        <v>28</v>
      </c>
      <c r="J17" s="1"/>
      <c r="K17" s="26" t="s">
        <v>79</v>
      </c>
      <c r="M17" s="40">
        <v>1000.0</v>
      </c>
      <c r="N17" s="1"/>
      <c r="O17" s="79"/>
      <c r="P17" s="79"/>
      <c r="Q17" s="80"/>
      <c r="R17" s="1"/>
      <c r="S17" s="1"/>
      <c r="T17" s="1"/>
      <c r="U17" s="1"/>
      <c r="V17" s="1"/>
      <c r="W17" s="1"/>
      <c r="X17" s="1"/>
      <c r="Y17" s="8"/>
      <c r="AA17" s="52">
        <v>-51.0</v>
      </c>
      <c r="AB17" s="53">
        <f t="shared" si="3"/>
        <v>-4245.641421</v>
      </c>
      <c r="AC17" s="54" t="str">
        <f t="shared" si="4"/>
        <v>#REF!</v>
      </c>
      <c r="AD17" s="54" t="str">
        <f t="shared" si="5"/>
        <v>#REF!</v>
      </c>
      <c r="AE17" s="60"/>
    </row>
    <row r="18">
      <c r="A18" s="1"/>
      <c r="B18" s="26" t="s">
        <v>80</v>
      </c>
      <c r="D18" s="74">
        <v>500.0</v>
      </c>
      <c r="E18" s="1"/>
      <c r="F18" s="26" t="s">
        <v>81</v>
      </c>
      <c r="H18" s="65">
        <f t="shared" ref="H18:H20" si="11">I18/12</f>
        <v>747.3333333</v>
      </c>
      <c r="I18" s="41">
        <v>8968.0</v>
      </c>
      <c r="J18" s="1"/>
      <c r="K18" s="75" t="s">
        <v>70</v>
      </c>
      <c r="L18" s="21"/>
      <c r="M18" s="81">
        <v>0.2</v>
      </c>
      <c r="N18" s="1"/>
      <c r="O18" s="9" t="s">
        <v>82</v>
      </c>
      <c r="P18" s="10"/>
      <c r="Q18" s="10"/>
      <c r="R18" s="11"/>
      <c r="S18" s="1"/>
      <c r="T18" s="1"/>
      <c r="U18" s="1"/>
      <c r="V18" s="1"/>
      <c r="W18" s="1"/>
      <c r="X18" s="1"/>
      <c r="Y18" s="8"/>
      <c r="AA18" s="52">
        <v>-50.0</v>
      </c>
      <c r="AB18" s="53">
        <f t="shared" si="3"/>
        <v>-4245.641421</v>
      </c>
      <c r="AC18" s="54" t="str">
        <f t="shared" si="4"/>
        <v>#REF!</v>
      </c>
      <c r="AD18" s="54" t="str">
        <f t="shared" si="5"/>
        <v>#REF!</v>
      </c>
      <c r="AE18" s="60"/>
    </row>
    <row r="19">
      <c r="A19" s="1"/>
      <c r="B19" s="49" t="s">
        <v>83</v>
      </c>
      <c r="C19" s="21"/>
      <c r="D19" s="82">
        <f>D15+D16+D17+D18</f>
        <v>95500</v>
      </c>
      <c r="E19" s="1"/>
      <c r="F19" s="26" t="s">
        <v>84</v>
      </c>
      <c r="H19" s="65">
        <f t="shared" si="11"/>
        <v>216.6666667</v>
      </c>
      <c r="I19" s="41">
        <v>2600.0</v>
      </c>
      <c r="J19" s="1"/>
      <c r="K19" s="1"/>
      <c r="L19" s="1"/>
      <c r="M19" s="1"/>
      <c r="N19" s="1"/>
      <c r="O19" s="26" t="s">
        <v>85</v>
      </c>
      <c r="R19" s="40">
        <f>hlookup($P$11,'Long Term Outlook'!$B$2:$L$50,match(O19,'Long Term Outlook'!$B$2:$B$50,0),1)</f>
        <v>28750</v>
      </c>
      <c r="S19" s="1"/>
      <c r="T19" s="1"/>
      <c r="U19" s="1"/>
      <c r="V19" s="1"/>
      <c r="W19" s="1"/>
      <c r="X19" s="1"/>
      <c r="Y19" s="8"/>
      <c r="AA19" s="52">
        <v>-49.0</v>
      </c>
      <c r="AB19" s="53">
        <f t="shared" si="3"/>
        <v>-4245.641421</v>
      </c>
      <c r="AC19" s="54" t="str">
        <f t="shared" si="4"/>
        <v>#REF!</v>
      </c>
      <c r="AD19" s="54" t="str">
        <f t="shared" si="5"/>
        <v>#REF!</v>
      </c>
      <c r="AE19" s="60"/>
    </row>
    <row r="20">
      <c r="A20" s="1"/>
      <c r="B20" s="1"/>
      <c r="C20" s="1"/>
      <c r="D20" s="1"/>
      <c r="E20" s="1"/>
      <c r="F20" s="26" t="s">
        <v>86</v>
      </c>
      <c r="H20" s="65">
        <f t="shared" si="11"/>
        <v>0</v>
      </c>
      <c r="I20" s="41">
        <v>0.0</v>
      </c>
      <c r="J20" s="1"/>
      <c r="K20" s="9" t="s">
        <v>87</v>
      </c>
      <c r="L20" s="10"/>
      <c r="M20" s="11"/>
      <c r="N20" s="83"/>
      <c r="O20" s="26" t="s">
        <v>88</v>
      </c>
      <c r="R20" s="40">
        <f>hlookup($P$11,'Long Term Outlook'!$B$2:$L$50,match(O20,'Long Term Outlook'!$B$2:$B$50,0),1)</f>
        <v>10767.17949</v>
      </c>
      <c r="S20" s="1"/>
      <c r="T20" s="1"/>
      <c r="U20" s="1"/>
      <c r="V20" s="1"/>
      <c r="W20" s="1"/>
      <c r="X20" s="1"/>
      <c r="Y20" s="8"/>
      <c r="AA20" s="52">
        <v>-48.0</v>
      </c>
      <c r="AB20" s="53">
        <f t="shared" si="3"/>
        <v>-4245.641421</v>
      </c>
      <c r="AC20" s="54" t="str">
        <f t="shared" si="4"/>
        <v>#REF!</v>
      </c>
      <c r="AD20" s="54" t="str">
        <f t="shared" si="5"/>
        <v>#REF!</v>
      </c>
      <c r="AE20" s="60"/>
    </row>
    <row r="21">
      <c r="A21" s="1"/>
      <c r="B21" s="9" t="s">
        <v>89</v>
      </c>
      <c r="C21" s="10"/>
      <c r="D21" s="11"/>
      <c r="E21" s="1"/>
      <c r="F21" s="26" t="s">
        <v>90</v>
      </c>
      <c r="H21" s="65">
        <f>D30</f>
        <v>3046.641421</v>
      </c>
      <c r="I21" s="40">
        <f t="shared" ref="I21:I23" si="12">H21*12</f>
        <v>36559.69705</v>
      </c>
      <c r="J21" s="1"/>
      <c r="K21" s="28"/>
      <c r="L21" s="29" t="s">
        <v>27</v>
      </c>
      <c r="M21" s="30" t="s">
        <v>28</v>
      </c>
      <c r="N21" s="83"/>
      <c r="O21" s="84" t="s">
        <v>91</v>
      </c>
      <c r="R21" s="85">
        <f>hlookup($P$11,'Long Term Outlook'!$B$2:$L$50,match(O21,'Long Term Outlook'!$B$2:$B$50,0),1)</f>
        <v>39517.17949</v>
      </c>
      <c r="S21" s="1"/>
      <c r="T21" s="1"/>
      <c r="U21" s="1"/>
      <c r="V21" s="1"/>
      <c r="W21" s="1"/>
      <c r="X21" s="1"/>
      <c r="Y21" s="8"/>
      <c r="AA21" s="52">
        <v>-47.0</v>
      </c>
      <c r="AB21" s="53">
        <f t="shared" si="3"/>
        <v>-4245.641421</v>
      </c>
      <c r="AC21" s="54" t="str">
        <f t="shared" si="4"/>
        <v>#REF!</v>
      </c>
      <c r="AD21" s="54" t="str">
        <f t="shared" si="5"/>
        <v>#REF!</v>
      </c>
      <c r="AE21" s="60"/>
    </row>
    <row r="22">
      <c r="A22" s="1"/>
      <c r="B22" s="26" t="s">
        <v>92</v>
      </c>
      <c r="D22" s="86" t="s">
        <v>93</v>
      </c>
      <c r="E22" s="1"/>
      <c r="F22" s="26" t="s">
        <v>94</v>
      </c>
      <c r="H22" s="65">
        <f>D39</f>
        <v>333.3333333</v>
      </c>
      <c r="I22" s="40">
        <f t="shared" si="12"/>
        <v>4000</v>
      </c>
      <c r="J22" s="1"/>
      <c r="K22" s="12" t="s">
        <v>66</v>
      </c>
      <c r="M22" s="40">
        <f>D12+D19</f>
        <v>146270</v>
      </c>
      <c r="N22" s="87"/>
      <c r="O22" s="26" t="s">
        <v>95</v>
      </c>
      <c r="R22" s="40">
        <f>hlookup($P$11,'Long Term Outlook'!$B$2:$L$50,match(O22,'Long Term Outlook'!$B$2:$B$50,0),1)</f>
        <v>-38091.87654</v>
      </c>
      <c r="S22" s="1"/>
      <c r="T22" s="1"/>
      <c r="U22" s="1"/>
      <c r="V22" s="1"/>
      <c r="W22" s="1"/>
      <c r="X22" s="1"/>
      <c r="Y22" s="8"/>
      <c r="AA22" s="52">
        <v>-46.0</v>
      </c>
      <c r="AB22" s="53">
        <f t="shared" si="3"/>
        <v>-4245.641421</v>
      </c>
      <c r="AC22" s="54" t="str">
        <f t="shared" si="4"/>
        <v>#REF!</v>
      </c>
      <c r="AD22" s="54" t="str">
        <f t="shared" si="5"/>
        <v>#REF!</v>
      </c>
      <c r="AE22" s="60"/>
    </row>
    <row r="23">
      <c r="A23" s="1"/>
      <c r="B23" s="26" t="s">
        <v>96</v>
      </c>
      <c r="D23" s="41">
        <v>360000.0</v>
      </c>
      <c r="E23" s="1"/>
      <c r="F23" s="26" t="s">
        <v>97</v>
      </c>
      <c r="H23" s="65">
        <f>D49</f>
        <v>0</v>
      </c>
      <c r="I23" s="40">
        <f t="shared" si="12"/>
        <v>0</v>
      </c>
      <c r="J23" s="1"/>
      <c r="K23" s="12" t="s">
        <v>63</v>
      </c>
      <c r="L23" s="88">
        <f t="shared" ref="L23:M23" si="13">H44</f>
        <v>118.7752457</v>
      </c>
      <c r="M23" s="85">
        <f t="shared" si="13"/>
        <v>1425.302948</v>
      </c>
      <c r="N23" s="83"/>
      <c r="O23" s="26" t="s">
        <v>98</v>
      </c>
      <c r="R23" s="40">
        <f>hlookup($P$11,'Long Term Outlook'!$B$2:$L$50,match(O23,'Long Term Outlook'!$B$2:$B$50,0),1)</f>
        <v>9484.123077</v>
      </c>
      <c r="S23" s="1"/>
      <c r="T23" s="1"/>
      <c r="U23" s="1"/>
      <c r="V23" s="1"/>
      <c r="W23" s="1"/>
      <c r="X23" s="1"/>
      <c r="Y23" s="8"/>
      <c r="AA23" s="52">
        <v>-45.0</v>
      </c>
      <c r="AB23" s="53">
        <f t="shared" si="3"/>
        <v>-4245.641421</v>
      </c>
      <c r="AC23" s="54" t="str">
        <f t="shared" si="4"/>
        <v>#REF!</v>
      </c>
      <c r="AD23" s="54" t="str">
        <f t="shared" si="5"/>
        <v>#REF!</v>
      </c>
      <c r="AE23" s="60"/>
    </row>
    <row r="24">
      <c r="A24" s="1"/>
      <c r="B24" s="26" t="s">
        <v>99</v>
      </c>
      <c r="D24" s="89">
        <v>0.09</v>
      </c>
      <c r="E24" s="1"/>
      <c r="F24" s="90" t="s">
        <v>100</v>
      </c>
      <c r="G24" s="21"/>
      <c r="H24" s="91">
        <f t="shared" ref="H24:I24" si="14">sum(H18:H23)</f>
        <v>4343.974754</v>
      </c>
      <c r="I24" s="92">
        <f t="shared" si="14"/>
        <v>52127.69705</v>
      </c>
      <c r="J24" s="1"/>
      <c r="K24" s="12" t="s">
        <v>70</v>
      </c>
      <c r="M24" s="93">
        <f>M23/M22</f>
        <v>0.009744328625</v>
      </c>
      <c r="N24" s="83"/>
      <c r="O24" s="94" t="s">
        <v>101</v>
      </c>
      <c r="P24" s="21"/>
      <c r="Q24" s="21"/>
      <c r="R24" s="95">
        <f>hlookup($P$11,'Long Term Outlook'!$B$2:$L$50,match(O24,'Long Term Outlook'!$B$2:$B$50,0),1)</f>
        <v>10567.35332</v>
      </c>
      <c r="S24" s="1"/>
      <c r="T24" s="1"/>
      <c r="U24" s="1"/>
      <c r="V24" s="1"/>
      <c r="W24" s="1"/>
      <c r="X24" s="1"/>
      <c r="Y24" s="8"/>
      <c r="AA24" s="52">
        <v>-44.0</v>
      </c>
      <c r="AB24" s="53">
        <f t="shared" si="3"/>
        <v>-4245.641421</v>
      </c>
      <c r="AC24" s="54" t="str">
        <f t="shared" si="4"/>
        <v>#REF!</v>
      </c>
      <c r="AD24" s="54" t="str">
        <f t="shared" si="5"/>
        <v>#REF!</v>
      </c>
      <c r="AE24" s="60"/>
    </row>
    <row r="25">
      <c r="A25" s="1"/>
      <c r="B25" s="26" t="s">
        <v>102</v>
      </c>
      <c r="D25" s="96">
        <v>30.0</v>
      </c>
      <c r="E25" s="1"/>
      <c r="F25" s="1"/>
      <c r="G25" s="1"/>
      <c r="H25" s="1"/>
      <c r="I25" s="1"/>
      <c r="J25" s="1"/>
      <c r="K25" s="12" t="s">
        <v>103</v>
      </c>
      <c r="M25" s="97" t="str">
        <f>(M23+'Long-Term Outlook'!C27)/M22</f>
        <v>#REF!</v>
      </c>
      <c r="N25" s="83"/>
      <c r="O25" s="1"/>
      <c r="P25" s="1"/>
      <c r="Q25" s="1"/>
      <c r="R25" s="1"/>
      <c r="S25" s="1"/>
      <c r="T25" s="1"/>
      <c r="U25" s="1"/>
      <c r="V25" s="1"/>
      <c r="W25" s="1"/>
      <c r="X25" s="1"/>
      <c r="Y25" s="8"/>
      <c r="AA25" s="52">
        <v>-43.0</v>
      </c>
      <c r="AB25" s="53">
        <f t="shared" si="3"/>
        <v>-4245.641421</v>
      </c>
      <c r="AC25" s="54" t="str">
        <f t="shared" si="4"/>
        <v>#REF!</v>
      </c>
      <c r="AD25" s="54" t="str">
        <f t="shared" si="5"/>
        <v>#REF!</v>
      </c>
      <c r="AE25" s="60"/>
    </row>
    <row r="26">
      <c r="A26" s="1"/>
      <c r="B26" s="26" t="s">
        <v>104</v>
      </c>
      <c r="D26" s="98" t="s">
        <v>105</v>
      </c>
      <c r="E26" s="1"/>
      <c r="F26" s="9" t="s">
        <v>106</v>
      </c>
      <c r="G26" s="10"/>
      <c r="H26" s="10"/>
      <c r="I26" s="11"/>
      <c r="J26" s="1"/>
      <c r="K26" s="49" t="s">
        <v>107</v>
      </c>
      <c r="L26" s="21"/>
      <c r="M26" s="99">
        <f>D5-D4+D6</f>
        <v>43200</v>
      </c>
      <c r="N26" s="83"/>
      <c r="O26" s="9" t="s">
        <v>108</v>
      </c>
      <c r="P26" s="10"/>
      <c r="Q26" s="10"/>
      <c r="R26" s="11"/>
      <c r="S26" s="1"/>
      <c r="T26" s="1"/>
      <c r="U26" s="1"/>
      <c r="V26" s="1"/>
      <c r="W26" s="1"/>
      <c r="X26" s="1"/>
      <c r="Y26" s="8"/>
      <c r="AA26" s="52">
        <v>-42.0</v>
      </c>
      <c r="AB26" s="53">
        <f t="shared" si="3"/>
        <v>-4245.641421</v>
      </c>
      <c r="AC26" s="54" t="str">
        <f t="shared" si="4"/>
        <v>#REF!</v>
      </c>
      <c r="AD26" s="54" t="str">
        <f t="shared" si="5"/>
        <v>#REF!</v>
      </c>
      <c r="AE26" s="60"/>
    </row>
    <row r="27">
      <c r="A27" s="1"/>
      <c r="B27" s="26" t="s">
        <v>109</v>
      </c>
      <c r="D27" s="98">
        <f>if(D26="No",-PMT(D24/12,D25*12,D23),D23*D24/12)</f>
        <v>2896.641421</v>
      </c>
      <c r="E27" s="1"/>
      <c r="F27" s="28"/>
      <c r="H27" s="29" t="s">
        <v>27</v>
      </c>
      <c r="I27" s="30" t="s">
        <v>28</v>
      </c>
      <c r="J27" s="1"/>
      <c r="K27" s="1"/>
      <c r="L27" s="1"/>
      <c r="M27" s="1"/>
      <c r="N27" s="83"/>
      <c r="O27" s="26" t="s">
        <v>110</v>
      </c>
      <c r="R27" s="40">
        <f>hlookup($P$11,'Long Term Outlook'!$B$2:$L$50,match(O27,'Long Term Outlook'!$B$2:$B$50,0),1)</f>
        <v>432000</v>
      </c>
      <c r="S27" s="1"/>
      <c r="T27" s="1"/>
      <c r="U27" s="1"/>
      <c r="V27" s="1"/>
      <c r="W27" s="1"/>
      <c r="X27" s="1"/>
      <c r="Y27" s="8"/>
      <c r="AA27" s="52">
        <v>-29.0</v>
      </c>
      <c r="AB27" s="53">
        <f t="shared" si="3"/>
        <v>-4245.641421</v>
      </c>
      <c r="AC27" s="54" t="str">
        <f t="shared" si="4"/>
        <v>#REF!</v>
      </c>
      <c r="AD27" s="54" t="str">
        <f t="shared" si="5"/>
        <v>#REF!</v>
      </c>
      <c r="AE27" s="60"/>
    </row>
    <row r="28">
      <c r="A28" s="1"/>
      <c r="B28" s="26" t="s">
        <v>111</v>
      </c>
      <c r="D28" s="89">
        <v>0.005</v>
      </c>
      <c r="E28" s="1"/>
      <c r="F28" s="26" t="s">
        <v>112</v>
      </c>
      <c r="G28" s="39">
        <v>0.04</v>
      </c>
      <c r="H28" s="65">
        <f>I28/12</f>
        <v>267.6666667</v>
      </c>
      <c r="I28" s="40">
        <f>G28*I9</f>
        <v>3212</v>
      </c>
      <c r="J28" s="1"/>
      <c r="K28" s="9" t="s">
        <v>113</v>
      </c>
      <c r="L28" s="10"/>
      <c r="M28" s="11"/>
      <c r="N28" s="83"/>
      <c r="O28" s="26" t="s">
        <v>114</v>
      </c>
      <c r="R28" s="40">
        <f>hlookup($P$11,'Long Term Outlook'!$B$2:$L$50,match(O28,'Long Term Outlook'!$B$2:$B$50,0),1)</f>
        <v>405664.3525</v>
      </c>
      <c r="S28" s="1"/>
      <c r="T28" s="1"/>
      <c r="U28" s="1"/>
      <c r="V28" s="1"/>
      <c r="W28" s="1"/>
      <c r="X28" s="1"/>
      <c r="Y28" s="8"/>
      <c r="AA28" s="52">
        <v>-28.0</v>
      </c>
      <c r="AB28" s="53">
        <f t="shared" si="3"/>
        <v>-4245.641421</v>
      </c>
      <c r="AC28" s="54" t="str">
        <f t="shared" si="4"/>
        <v>#REF!</v>
      </c>
      <c r="AD28" s="54" t="str">
        <f t="shared" si="5"/>
        <v>#REF!</v>
      </c>
      <c r="AE28" s="60"/>
    </row>
    <row r="29">
      <c r="A29" s="1"/>
      <c r="B29" s="26" t="s">
        <v>115</v>
      </c>
      <c r="D29" s="98">
        <f>IF(C6&lt;20%,D28*D23/12,0)</f>
        <v>150</v>
      </c>
      <c r="E29" s="80"/>
      <c r="F29" s="26" t="s">
        <v>116</v>
      </c>
      <c r="H29" s="78">
        <v>200.0</v>
      </c>
      <c r="I29" s="40">
        <f>H29*12</f>
        <v>2400</v>
      </c>
      <c r="J29" s="1"/>
      <c r="K29" s="26" t="s">
        <v>117</v>
      </c>
      <c r="L29" s="100">
        <v>0.0</v>
      </c>
      <c r="M29" s="101">
        <v>1.0</v>
      </c>
      <c r="N29" s="83"/>
      <c r="O29" s="75" t="s">
        <v>118</v>
      </c>
      <c r="P29" s="21"/>
      <c r="Q29" s="21"/>
      <c r="R29" s="102">
        <f>hlookup($P$11,'Long Term Outlook'!$B$2:$L$50,match(O29,'Long Term Outlook'!$B$2:$B$50,0),1)</f>
        <v>26335.64751</v>
      </c>
      <c r="S29" s="1"/>
      <c r="T29" s="1"/>
      <c r="U29" s="1"/>
      <c r="V29" s="1"/>
      <c r="W29" s="1"/>
      <c r="X29" s="80"/>
      <c r="Y29" s="8"/>
      <c r="AA29" s="52">
        <v>-27.0</v>
      </c>
      <c r="AB29" s="53">
        <f t="shared" si="3"/>
        <v>-4245.641421</v>
      </c>
      <c r="AC29" s="54" t="str">
        <f t="shared" si="4"/>
        <v>#REF!</v>
      </c>
      <c r="AD29" s="54" t="str">
        <f t="shared" si="5"/>
        <v>#REF!</v>
      </c>
      <c r="AE29" s="60"/>
    </row>
    <row r="30">
      <c r="A30" s="1"/>
      <c r="B30" s="75" t="s">
        <v>119</v>
      </c>
      <c r="C30" s="21"/>
      <c r="D30" s="103">
        <f>if(D22="Yes",D27+D29,0)</f>
        <v>3046.641421</v>
      </c>
      <c r="E30" s="104"/>
      <c r="F30" s="26" t="s">
        <v>120</v>
      </c>
      <c r="G30" s="105">
        <v>0.0</v>
      </c>
      <c r="H30" s="65">
        <f>I30/12</f>
        <v>0</v>
      </c>
      <c r="I30" s="40">
        <f>G30*D4</f>
        <v>0</v>
      </c>
      <c r="J30" s="1"/>
      <c r="K30" s="26" t="s">
        <v>121</v>
      </c>
      <c r="L30" s="100">
        <v>0.2</v>
      </c>
      <c r="M30" s="40">
        <f>L30*M26</f>
        <v>8640</v>
      </c>
      <c r="N30" s="83"/>
      <c r="O30" s="1"/>
      <c r="P30" s="1"/>
      <c r="Q30" s="1"/>
      <c r="R30" s="1"/>
      <c r="S30" s="1"/>
      <c r="T30" s="1"/>
      <c r="U30" s="1"/>
      <c r="V30" s="1"/>
      <c r="W30" s="1"/>
      <c r="X30" s="104"/>
      <c r="Y30" s="8"/>
      <c r="AA30" s="52">
        <v>-26.0</v>
      </c>
      <c r="AB30" s="53">
        <f t="shared" si="3"/>
        <v>-4245.641421</v>
      </c>
      <c r="AC30" s="54" t="str">
        <f t="shared" si="4"/>
        <v>#REF!</v>
      </c>
      <c r="AD30" s="54" t="str">
        <f t="shared" si="5"/>
        <v>#REF!</v>
      </c>
      <c r="AE30" s="60"/>
    </row>
    <row r="31">
      <c r="A31" s="1"/>
      <c r="B31" s="1"/>
      <c r="C31" s="1"/>
      <c r="D31" s="1"/>
      <c r="E31" s="1"/>
      <c r="F31" s="26" t="s">
        <v>122</v>
      </c>
      <c r="G31" s="106">
        <v>5.0</v>
      </c>
      <c r="H31" s="65">
        <f>G31*75*I7</f>
        <v>206.25</v>
      </c>
      <c r="I31" s="40">
        <f t="shared" ref="I31:I40" si="15">H31*12</f>
        <v>2475</v>
      </c>
      <c r="J31" s="1"/>
      <c r="K31" s="26" t="s">
        <v>63</v>
      </c>
      <c r="L31" s="100">
        <v>0.5</v>
      </c>
      <c r="M31" s="107">
        <f>L31*M23</f>
        <v>712.651474</v>
      </c>
      <c r="N31" s="1"/>
      <c r="O31" s="9" t="s">
        <v>123</v>
      </c>
      <c r="P31" s="10"/>
      <c r="Q31" s="10"/>
      <c r="R31" s="11"/>
      <c r="S31" s="1"/>
      <c r="T31" s="1"/>
      <c r="U31" s="1"/>
      <c r="V31" s="1"/>
      <c r="W31" s="1"/>
      <c r="X31" s="1"/>
      <c r="Y31" s="8"/>
      <c r="AA31" s="52">
        <v>-25.0</v>
      </c>
      <c r="AB31" s="53">
        <f t="shared" si="3"/>
        <v>-4245.641421</v>
      </c>
      <c r="AC31" s="54" t="str">
        <f t="shared" si="4"/>
        <v>#REF!</v>
      </c>
      <c r="AD31" s="54" t="str">
        <f t="shared" si="5"/>
        <v>#REF!</v>
      </c>
      <c r="AE31" s="60"/>
    </row>
    <row r="32">
      <c r="A32" s="1"/>
      <c r="B32" s="9" t="s">
        <v>124</v>
      </c>
      <c r="C32" s="10"/>
      <c r="D32" s="11"/>
      <c r="E32" s="1"/>
      <c r="F32" s="26" t="s">
        <v>125</v>
      </c>
      <c r="H32" s="78">
        <v>0.0</v>
      </c>
      <c r="I32" s="40">
        <f t="shared" si="15"/>
        <v>0</v>
      </c>
      <c r="J32" s="1"/>
      <c r="K32" s="26" t="s">
        <v>70</v>
      </c>
      <c r="M32" s="108">
        <f>M31/M29</f>
        <v>712.651474</v>
      </c>
      <c r="N32" s="1"/>
      <c r="O32" s="26" t="s">
        <v>126</v>
      </c>
      <c r="Q32" s="100">
        <v>0.07</v>
      </c>
      <c r="R32" s="40">
        <f>hlookup($P$11,'Long Term Outlook'!$B$2:$L$50,match(O32,'Long Term Outlook'!$B$2:$B$50,0),1)</f>
        <v>-30240</v>
      </c>
      <c r="S32" s="1"/>
      <c r="T32" s="1"/>
      <c r="U32" s="1"/>
      <c r="V32" s="1"/>
      <c r="W32" s="1"/>
      <c r="X32" s="1"/>
      <c r="Y32" s="8"/>
      <c r="AA32" s="52">
        <v>-24.0</v>
      </c>
      <c r="AB32" s="53">
        <f t="shared" si="3"/>
        <v>-4245.641421</v>
      </c>
      <c r="AC32" s="54" t="str">
        <f t="shared" si="4"/>
        <v>#REF!</v>
      </c>
      <c r="AD32" s="54" t="str">
        <f t="shared" si="5"/>
        <v>#REF!</v>
      </c>
      <c r="AE32" s="60"/>
    </row>
    <row r="33">
      <c r="A33" s="1"/>
      <c r="B33" s="26" t="s">
        <v>92</v>
      </c>
      <c r="D33" s="86" t="s">
        <v>93</v>
      </c>
      <c r="E33" s="80"/>
      <c r="F33" s="26" t="s">
        <v>127</v>
      </c>
      <c r="H33" s="78">
        <v>235.0</v>
      </c>
      <c r="I33" s="40">
        <f t="shared" si="15"/>
        <v>2820</v>
      </c>
      <c r="J33" s="1"/>
      <c r="K33" s="75" t="s">
        <v>103</v>
      </c>
      <c r="L33" s="21"/>
      <c r="M33" s="109">
        <f>(M31+L30*'Long Term Outlook'!C27)/M29</f>
        <v>929.2975221</v>
      </c>
      <c r="N33" s="1"/>
      <c r="O33" s="26" t="s">
        <v>128</v>
      </c>
      <c r="R33" s="40">
        <f>hlookup($P$11,'Long Term Outlook'!$B$2:$L$50,match(O33,'Long Term Outlook'!$B$2:$B$50,0),1)</f>
        <v>-3904.352492</v>
      </c>
      <c r="S33" s="1"/>
      <c r="T33" s="1"/>
      <c r="U33" s="1"/>
      <c r="V33" s="1"/>
      <c r="W33" s="1"/>
      <c r="X33" s="80"/>
      <c r="Y33" s="8"/>
      <c r="AA33" s="52">
        <v>-23.0</v>
      </c>
      <c r="AB33" s="53">
        <f t="shared" si="3"/>
        <v>-4245.641421</v>
      </c>
      <c r="AC33" s="54" t="str">
        <f t="shared" si="4"/>
        <v>#REF!</v>
      </c>
      <c r="AD33" s="54" t="str">
        <f t="shared" si="5"/>
        <v>#REF!</v>
      </c>
      <c r="AE33" s="60"/>
    </row>
    <row r="34">
      <c r="A34" s="1"/>
      <c r="B34" s="26" t="s">
        <v>96</v>
      </c>
      <c r="D34" s="27">
        <v>50000.0</v>
      </c>
      <c r="E34" s="104"/>
      <c r="F34" s="26" t="s">
        <v>129</v>
      </c>
      <c r="H34" s="78">
        <v>100.0</v>
      </c>
      <c r="I34" s="40">
        <f t="shared" si="15"/>
        <v>1200</v>
      </c>
      <c r="J34" s="1"/>
      <c r="K34" s="1"/>
      <c r="L34" s="1"/>
      <c r="M34" s="1"/>
      <c r="N34" s="1"/>
      <c r="O34" s="26" t="s">
        <v>130</v>
      </c>
      <c r="R34" s="110" t="str">
        <f>hlookup($P$11,'Long Term Outlook'!$B$2:$L$50,match(O34,'Long Term Outlook'!$B$2:$B$50,0),1)</f>
        <v>#N/A</v>
      </c>
      <c r="S34" s="1"/>
      <c r="T34" s="1"/>
      <c r="U34" s="1"/>
      <c r="V34" s="1"/>
      <c r="W34" s="1"/>
      <c r="X34" s="104"/>
      <c r="Y34" s="8"/>
      <c r="AA34" s="52">
        <v>-22.0</v>
      </c>
      <c r="AB34" s="53">
        <f t="shared" si="3"/>
        <v>-4245.641421</v>
      </c>
      <c r="AC34" s="54" t="str">
        <f t="shared" si="4"/>
        <v>#REF!</v>
      </c>
      <c r="AD34" s="54" t="str">
        <f t="shared" si="5"/>
        <v>#REF!</v>
      </c>
      <c r="AE34" s="60"/>
    </row>
    <row r="35">
      <c r="A35" s="1"/>
      <c r="B35" s="26" t="s">
        <v>99</v>
      </c>
      <c r="D35" s="89">
        <v>0.08</v>
      </c>
      <c r="E35" s="1"/>
      <c r="F35" s="26" t="s">
        <v>131</v>
      </c>
      <c r="H35" s="78">
        <v>100.0</v>
      </c>
      <c r="I35" s="40">
        <f t="shared" si="15"/>
        <v>1200</v>
      </c>
      <c r="J35" s="1"/>
      <c r="K35" s="9" t="s">
        <v>132</v>
      </c>
      <c r="L35" s="10"/>
      <c r="M35" s="11"/>
      <c r="N35" s="1"/>
      <c r="O35" s="26" t="s">
        <v>133</v>
      </c>
      <c r="R35" s="40">
        <f>hlookup($P$11,'Long Term Outlook'!$B$2:$L$50,match(O35,'Long Term Outlook'!$B$2:$B$50,0),1)</f>
        <v>-146270</v>
      </c>
      <c r="S35" s="1"/>
      <c r="T35" s="1"/>
      <c r="U35" s="1"/>
      <c r="V35" s="1"/>
      <c r="W35" s="1"/>
      <c r="X35" s="1"/>
      <c r="Y35" s="8"/>
      <c r="AA35" s="52">
        <v>-21.0</v>
      </c>
      <c r="AB35" s="53">
        <f t="shared" si="3"/>
        <v>-4245.641421</v>
      </c>
      <c r="AC35" s="54" t="str">
        <f t="shared" si="4"/>
        <v>#REF!</v>
      </c>
      <c r="AD35" s="54" t="str">
        <f t="shared" si="5"/>
        <v>#REF!</v>
      </c>
      <c r="AE35" s="60"/>
    </row>
    <row r="36">
      <c r="A36" s="1"/>
      <c r="B36" s="26" t="s">
        <v>102</v>
      </c>
      <c r="D36" s="96">
        <v>50.0</v>
      </c>
      <c r="E36" s="1"/>
      <c r="F36" s="26" t="s">
        <v>134</v>
      </c>
      <c r="H36" s="78">
        <v>250.0</v>
      </c>
      <c r="I36" s="40">
        <f t="shared" si="15"/>
        <v>3000</v>
      </c>
      <c r="J36" s="1"/>
      <c r="K36" s="26" t="s">
        <v>117</v>
      </c>
      <c r="L36" s="100">
        <v>1.0</v>
      </c>
      <c r="M36" s="40">
        <f>L36*M22</f>
        <v>146270</v>
      </c>
      <c r="N36" s="1"/>
      <c r="O36" s="111" t="s">
        <v>135</v>
      </c>
      <c r="P36" s="21"/>
      <c r="Q36" s="21"/>
      <c r="R36" s="112" t="str">
        <f>hlookup($P$11,'Long Term Outlook'!$B$2:$L$50,match(O36,'Long Term Outlook'!$B$2:$B$50,0),1)</f>
        <v>#N/A</v>
      </c>
      <c r="S36" s="1"/>
      <c r="T36" s="1"/>
      <c r="U36" s="1"/>
      <c r="V36" s="1"/>
      <c r="W36" s="1"/>
      <c r="X36" s="1"/>
      <c r="Y36" s="8"/>
      <c r="AA36" s="52">
        <v>-20.0</v>
      </c>
      <c r="AB36" s="53">
        <f t="shared" si="3"/>
        <v>-4245.641421</v>
      </c>
      <c r="AC36" s="54" t="str">
        <f t="shared" si="4"/>
        <v>#REF!</v>
      </c>
      <c r="AD36" s="54" t="str">
        <f t="shared" si="5"/>
        <v>#REF!</v>
      </c>
      <c r="AE36" s="60"/>
    </row>
    <row r="37">
      <c r="A37" s="1"/>
      <c r="B37" s="26" t="s">
        <v>136</v>
      </c>
      <c r="D37" s="96">
        <v>0.0</v>
      </c>
      <c r="E37" s="80"/>
      <c r="F37" s="12" t="s">
        <v>137</v>
      </c>
      <c r="H37" s="113">
        <f>H38*H39</f>
        <v>800</v>
      </c>
      <c r="I37" s="114">
        <f t="shared" si="15"/>
        <v>9600</v>
      </c>
      <c r="J37" s="1"/>
      <c r="K37" s="26" t="s">
        <v>121</v>
      </c>
      <c r="L37" s="100">
        <v>0.8</v>
      </c>
      <c r="M37" s="40">
        <f>L37*M26</f>
        <v>34560</v>
      </c>
      <c r="N37" s="1"/>
      <c r="O37" s="1"/>
      <c r="P37" s="1"/>
      <c r="Q37" s="1"/>
      <c r="R37" s="1"/>
      <c r="S37" s="1"/>
      <c r="T37" s="1"/>
      <c r="U37" s="1"/>
      <c r="V37" s="1"/>
      <c r="W37" s="1"/>
      <c r="X37" s="80"/>
      <c r="Y37" s="8"/>
      <c r="AA37" s="52">
        <v>-19.0</v>
      </c>
      <c r="AB37" s="53">
        <f t="shared" si="3"/>
        <v>-4245.641421</v>
      </c>
      <c r="AC37" s="54" t="str">
        <f t="shared" si="4"/>
        <v>#REF!</v>
      </c>
      <c r="AD37" s="54" t="str">
        <f t="shared" si="5"/>
        <v>#REF!</v>
      </c>
      <c r="AE37" s="60"/>
    </row>
    <row r="38">
      <c r="A38" s="1"/>
      <c r="B38" s="26" t="s">
        <v>104</v>
      </c>
      <c r="D38" s="98" t="s">
        <v>93</v>
      </c>
      <c r="E38" s="80"/>
      <c r="F38" s="115" t="s">
        <v>138</v>
      </c>
      <c r="H38" s="116">
        <v>4.0</v>
      </c>
      <c r="I38" s="117">
        <f t="shared" si="15"/>
        <v>48</v>
      </c>
      <c r="J38" s="1"/>
      <c r="K38" s="26" t="s">
        <v>63</v>
      </c>
      <c r="L38" s="100">
        <v>0.5</v>
      </c>
      <c r="M38" s="107">
        <f>L38*M23</f>
        <v>712.651474</v>
      </c>
      <c r="N38" s="1"/>
      <c r="O38" s="9" t="s">
        <v>139</v>
      </c>
      <c r="P38" s="10"/>
      <c r="Q38" s="10"/>
      <c r="R38" s="11"/>
      <c r="S38" s="1"/>
      <c r="T38" s="1"/>
      <c r="U38" s="1"/>
      <c r="V38" s="1"/>
      <c r="W38" s="1"/>
      <c r="X38" s="80"/>
      <c r="Y38" s="8"/>
      <c r="AA38" s="52">
        <v>-18.0</v>
      </c>
      <c r="AB38" s="53">
        <f t="shared" si="3"/>
        <v>-4245.641421</v>
      </c>
      <c r="AC38" s="54" t="str">
        <f t="shared" si="4"/>
        <v>#REF!</v>
      </c>
      <c r="AD38" s="54" t="str">
        <f t="shared" si="5"/>
        <v>#REF!</v>
      </c>
      <c r="AE38" s="60"/>
    </row>
    <row r="39">
      <c r="A39" s="1"/>
      <c r="B39" s="75" t="s">
        <v>109</v>
      </c>
      <c r="C39" s="21"/>
      <c r="D39" s="118">
        <f>if(D33="Yes",if(D38="No",-PMT(D35/12,D36*12,D34),D34*D35/12),0)</f>
        <v>333.3333333</v>
      </c>
      <c r="E39" s="80"/>
      <c r="F39" s="115" t="s">
        <v>140</v>
      </c>
      <c r="H39" s="78">
        <v>200.0</v>
      </c>
      <c r="I39" s="40">
        <f t="shared" si="15"/>
        <v>2400</v>
      </c>
      <c r="J39" s="1"/>
      <c r="K39" s="26" t="s">
        <v>70</v>
      </c>
      <c r="M39" s="93">
        <f>M38/M36</f>
        <v>0.004872164313</v>
      </c>
      <c r="N39" s="1"/>
      <c r="O39" s="26" t="s">
        <v>141</v>
      </c>
      <c r="R39" s="97">
        <f>hlookup($P$11,'Long Term Outlook'!$B$2:$L$51,match(O39,'Long Term Outlook'!$B$2:$B$51,0),1)</f>
        <v>0.0971875</v>
      </c>
      <c r="S39" s="1"/>
      <c r="T39" s="1"/>
      <c r="U39" s="1"/>
      <c r="V39" s="1"/>
      <c r="W39" s="1"/>
      <c r="X39" s="80"/>
      <c r="Y39" s="8"/>
      <c r="AA39" s="52">
        <v>-17.0</v>
      </c>
      <c r="AB39" s="53">
        <f t="shared" si="3"/>
        <v>-4245.641421</v>
      </c>
      <c r="AC39" s="54" t="str">
        <f t="shared" si="4"/>
        <v>#REF!</v>
      </c>
      <c r="AD39" s="54" t="str">
        <f t="shared" si="5"/>
        <v>#REF!</v>
      </c>
      <c r="AE39" s="60"/>
    </row>
    <row r="40">
      <c r="A40" s="1"/>
      <c r="B40" s="1"/>
      <c r="C40" s="1"/>
      <c r="D40" s="8"/>
      <c r="E40" s="119"/>
      <c r="F40" s="26" t="s">
        <v>142</v>
      </c>
      <c r="H40" s="78">
        <v>70.0</v>
      </c>
      <c r="I40" s="40">
        <f t="shared" si="15"/>
        <v>840</v>
      </c>
      <c r="J40" s="1"/>
      <c r="K40" s="75" t="s">
        <v>103</v>
      </c>
      <c r="L40" s="21"/>
      <c r="M40" s="120">
        <f>(M38+L37*'Long Term Outlook'!C27)/M36</f>
        <v>0.01079671612</v>
      </c>
      <c r="N40" s="1"/>
      <c r="O40" s="26" t="s">
        <v>143</v>
      </c>
      <c r="R40" s="97">
        <f>hlookup($P$11,'Long Term Outlook'!$B$2:$L$51,match(O40,'Long Term Outlook'!$B$2:$B$51,0),1)</f>
        <v>0.4012566357</v>
      </c>
      <c r="S40" s="1"/>
      <c r="T40" s="1"/>
      <c r="U40" s="1"/>
      <c r="V40" s="1"/>
      <c r="W40" s="1"/>
      <c r="X40" s="119"/>
      <c r="Y40" s="8"/>
      <c r="AA40" s="52">
        <v>-16.0</v>
      </c>
      <c r="AB40" s="53">
        <f t="shared" si="3"/>
        <v>-4245.641421</v>
      </c>
      <c r="AC40" s="54" t="str">
        <f t="shared" si="4"/>
        <v>#REF!</v>
      </c>
      <c r="AD40" s="54" t="str">
        <f t="shared" si="5"/>
        <v>#REF!</v>
      </c>
      <c r="AE40" s="60"/>
    </row>
    <row r="41">
      <c r="A41" s="1"/>
      <c r="B41" s="9" t="s">
        <v>144</v>
      </c>
      <c r="C41" s="10"/>
      <c r="D41" s="11"/>
      <c r="E41" s="80"/>
      <c r="F41" s="26" t="s">
        <v>145</v>
      </c>
      <c r="G41" s="39">
        <v>0.0</v>
      </c>
      <c r="H41" s="65">
        <f>I41/12</f>
        <v>0</v>
      </c>
      <c r="I41" s="40">
        <f>G41*I9</f>
        <v>0</v>
      </c>
      <c r="J41" s="1"/>
      <c r="K41" s="1"/>
      <c r="L41" s="1"/>
      <c r="M41" s="1"/>
      <c r="N41" s="1"/>
      <c r="O41" s="26" t="s">
        <v>146</v>
      </c>
      <c r="R41" s="97">
        <f>hlookup($P$11,'Long Term Outlook'!$B$2:$L$51,match(O41,'Long Term Outlook'!$B$2:$B$51,0),1)</f>
        <v>0.009744328625</v>
      </c>
      <c r="S41" s="1"/>
      <c r="T41" s="1"/>
      <c r="U41" s="1"/>
      <c r="V41" s="1"/>
      <c r="W41" s="1"/>
      <c r="X41" s="80"/>
      <c r="Y41" s="8"/>
      <c r="AA41" s="52">
        <v>-15.0</v>
      </c>
      <c r="AB41" s="53">
        <f t="shared" si="3"/>
        <v>-4245.641421</v>
      </c>
      <c r="AC41" s="54" t="str">
        <f t="shared" si="4"/>
        <v>#REF!</v>
      </c>
      <c r="AD41" s="54" t="str">
        <f t="shared" si="5"/>
        <v>#REF!</v>
      </c>
      <c r="AE41" s="60"/>
    </row>
    <row r="42">
      <c r="A42" s="1"/>
      <c r="B42" s="26" t="s">
        <v>92</v>
      </c>
      <c r="D42" s="86" t="s">
        <v>105</v>
      </c>
      <c r="E42" s="80"/>
      <c r="F42" s="121" t="s">
        <v>67</v>
      </c>
      <c r="G42" s="122">
        <f>I42/I14</f>
        <v>0.3330884184</v>
      </c>
      <c r="H42" s="123">
        <f t="shared" ref="H42:I42" si="16">sum(H28:H37)+H40+H41</f>
        <v>2228.916667</v>
      </c>
      <c r="I42" s="124">
        <f t="shared" si="16"/>
        <v>26747</v>
      </c>
      <c r="J42" s="1"/>
      <c r="K42" s="1"/>
      <c r="L42" s="1"/>
      <c r="M42" s="1"/>
      <c r="N42" s="1"/>
      <c r="O42" s="26" t="s">
        <v>147</v>
      </c>
      <c r="R42" s="97">
        <f>hlookup($P$11,'Long Term Outlook'!$B$2:$L$51,match(O42,'Long Term Outlook'!$B$2:$B$51,0),1)</f>
        <v>0.07224552757</v>
      </c>
      <c r="S42" s="1"/>
      <c r="T42" s="1"/>
      <c r="U42" s="1"/>
      <c r="V42" s="1"/>
      <c r="W42" s="1"/>
      <c r="X42" s="80"/>
      <c r="Y42" s="8"/>
      <c r="AA42" s="52">
        <v>-14.0</v>
      </c>
      <c r="AB42" s="53">
        <f t="shared" si="3"/>
        <v>-4245.641421</v>
      </c>
      <c r="AC42" s="54" t="str">
        <f t="shared" si="4"/>
        <v>#REF!</v>
      </c>
      <c r="AD42" s="54" t="str">
        <f t="shared" si="5"/>
        <v>#REF!</v>
      </c>
      <c r="AE42" s="60"/>
    </row>
    <row r="43">
      <c r="A43" s="1"/>
      <c r="B43" s="26" t="s">
        <v>114</v>
      </c>
      <c r="D43" s="27">
        <v>473565.0</v>
      </c>
      <c r="E43" s="1"/>
      <c r="F43" s="125" t="s">
        <v>148</v>
      </c>
      <c r="G43" s="21"/>
      <c r="H43" s="126">
        <f t="shared" ref="H43:I43" si="17">H24+H42</f>
        <v>6572.891421</v>
      </c>
      <c r="I43" s="127">
        <f t="shared" si="17"/>
        <v>78874.69705</v>
      </c>
      <c r="J43" s="1"/>
      <c r="K43" s="1"/>
      <c r="L43" s="1"/>
      <c r="M43" s="1"/>
      <c r="N43" s="1"/>
      <c r="O43" s="26" t="s">
        <v>149</v>
      </c>
      <c r="R43" s="108" t="str">
        <f>hlookup($P$11,'Long Term Outlook'!$B$2:$L$51,match(O43,'Long Term Outlook'!$B$2:$B$51,0),1)</f>
        <v>#NUM!</v>
      </c>
      <c r="S43" s="1"/>
      <c r="T43" s="1"/>
      <c r="U43" s="1"/>
      <c r="V43" s="1"/>
      <c r="W43" s="1"/>
      <c r="X43" s="1"/>
      <c r="Y43" s="8"/>
      <c r="AA43" s="52">
        <v>-13.0</v>
      </c>
      <c r="AB43" s="53">
        <f t="shared" si="3"/>
        <v>-4245.641421</v>
      </c>
      <c r="AC43" s="54" t="str">
        <f t="shared" si="4"/>
        <v>#REF!</v>
      </c>
      <c r="AD43" s="54" t="str">
        <f t="shared" si="5"/>
        <v>#REF!</v>
      </c>
      <c r="AE43" s="60"/>
    </row>
    <row r="44">
      <c r="A44" s="1"/>
      <c r="B44" s="26" t="s">
        <v>99</v>
      </c>
      <c r="D44" s="89">
        <v>0.0625</v>
      </c>
      <c r="E44" s="1"/>
      <c r="F44" s="128" t="s">
        <v>150</v>
      </c>
      <c r="H44" s="129">
        <f t="shared" ref="H44:I44" si="18">H14-H43</f>
        <v>118.7752457</v>
      </c>
      <c r="I44" s="129">
        <f t="shared" si="18"/>
        <v>1425.302948</v>
      </c>
      <c r="J44" s="1"/>
      <c r="K44" s="1"/>
      <c r="L44" s="1"/>
      <c r="M44" s="1"/>
      <c r="N44" s="1"/>
      <c r="O44" s="75" t="s">
        <v>151</v>
      </c>
      <c r="P44" s="21"/>
      <c r="Q44" s="21"/>
      <c r="R44" s="109" t="str">
        <f>hlookup($P$11,'Long Term Outlook'!$B$2:$L$51,match(O44,'Long Term Outlook'!$B$2:$B$51,0),1)</f>
        <v>#NUM!</v>
      </c>
      <c r="S44" s="1"/>
      <c r="T44" s="1"/>
      <c r="U44" s="1"/>
      <c r="V44" s="1"/>
      <c r="W44" s="1"/>
      <c r="X44" s="1"/>
      <c r="Y44" s="8"/>
      <c r="AA44" s="52">
        <v>-12.0</v>
      </c>
      <c r="AB44" s="53">
        <f t="shared" si="3"/>
        <v>-4245.641421</v>
      </c>
      <c r="AC44" s="54" t="str">
        <f t="shared" si="4"/>
        <v>#REF!</v>
      </c>
      <c r="AD44" s="54" t="str">
        <f t="shared" si="5"/>
        <v>#REF!</v>
      </c>
      <c r="AE44" s="60"/>
    </row>
    <row r="45">
      <c r="A45" s="1"/>
      <c r="B45" s="26" t="s">
        <v>152</v>
      </c>
      <c r="D45" s="96">
        <v>30.0</v>
      </c>
      <c r="E45" s="1"/>
      <c r="F45" s="1"/>
      <c r="G45" s="80"/>
      <c r="H45" s="80"/>
      <c r="I45" s="80"/>
      <c r="J45" s="1"/>
      <c r="K45" s="1"/>
      <c r="L45" s="1"/>
      <c r="M45" s="1"/>
      <c r="N45" s="1"/>
      <c r="O45" s="1"/>
      <c r="P45" s="80"/>
      <c r="Q45" s="80"/>
      <c r="R45" s="80"/>
      <c r="S45" s="80"/>
      <c r="T45" s="80"/>
      <c r="U45" s="80"/>
      <c r="V45" s="80"/>
      <c r="W45" s="80"/>
      <c r="X45" s="80"/>
      <c r="Y45" s="8"/>
      <c r="AA45" s="52">
        <v>-11.0</v>
      </c>
      <c r="AB45" s="53">
        <f t="shared" si="3"/>
        <v>-4245.641421</v>
      </c>
      <c r="AC45" s="54" t="str">
        <f t="shared" si="4"/>
        <v>#REF!</v>
      </c>
      <c r="AD45" s="54" t="str">
        <f t="shared" si="5"/>
        <v>#REF!</v>
      </c>
      <c r="AE45" s="60"/>
    </row>
    <row r="46">
      <c r="A46" s="1"/>
      <c r="B46" s="26" t="s">
        <v>153</v>
      </c>
      <c r="D46" s="96">
        <f>28+11/12</f>
        <v>28.91666667</v>
      </c>
      <c r="E46" s="1"/>
      <c r="F46" s="1"/>
      <c r="G46" s="80"/>
      <c r="H46" s="80"/>
      <c r="I46" s="80"/>
      <c r="J46" s="1"/>
      <c r="K46" s="1"/>
      <c r="L46" s="1"/>
      <c r="M46" s="1"/>
      <c r="N46" s="1"/>
      <c r="O46" s="1"/>
      <c r="P46" s="80"/>
      <c r="Q46" s="80"/>
      <c r="R46" s="80"/>
      <c r="S46" s="80"/>
      <c r="T46" s="80"/>
      <c r="U46" s="80"/>
      <c r="V46" s="80"/>
      <c r="W46" s="80"/>
      <c r="X46" s="80"/>
      <c r="Y46" s="8"/>
      <c r="AA46" s="52">
        <v>-10.0</v>
      </c>
      <c r="AB46" s="53">
        <f t="shared" si="3"/>
        <v>-4245.641421</v>
      </c>
      <c r="AC46" s="54" t="str">
        <f t="shared" si="4"/>
        <v>#REF!</v>
      </c>
      <c r="AD46" s="54" t="str">
        <f t="shared" si="5"/>
        <v>#REF!</v>
      </c>
      <c r="AE46" s="60"/>
    </row>
    <row r="47">
      <c r="A47" s="1"/>
      <c r="B47" s="26" t="s">
        <v>136</v>
      </c>
      <c r="D47" s="96">
        <v>0.0</v>
      </c>
      <c r="E47" s="1"/>
      <c r="F47" s="1"/>
      <c r="G47" s="80"/>
      <c r="H47" s="80"/>
      <c r="I47" s="80"/>
      <c r="J47" s="1"/>
      <c r="K47" s="1"/>
      <c r="L47" s="1"/>
      <c r="M47" s="1"/>
      <c r="N47" s="1"/>
      <c r="O47" s="1"/>
      <c r="P47" s="80"/>
      <c r="Q47" s="80"/>
      <c r="R47" s="80"/>
      <c r="S47" s="80"/>
      <c r="T47" s="80"/>
      <c r="U47" s="80"/>
      <c r="V47" s="80"/>
      <c r="W47" s="80"/>
      <c r="X47" s="80"/>
      <c r="Y47" s="8"/>
      <c r="AA47" s="52">
        <v>-9.0</v>
      </c>
      <c r="AB47" s="53">
        <f t="shared" si="3"/>
        <v>-4245.641421</v>
      </c>
      <c r="AC47" s="54" t="str">
        <f t="shared" si="4"/>
        <v>#REF!</v>
      </c>
      <c r="AD47" s="54" t="str">
        <f t="shared" si="5"/>
        <v>#REF!</v>
      </c>
      <c r="AE47" s="60"/>
    </row>
    <row r="48">
      <c r="A48" s="1"/>
      <c r="B48" s="26" t="s">
        <v>104</v>
      </c>
      <c r="D48" s="98" t="s">
        <v>105</v>
      </c>
      <c r="E48" s="1"/>
      <c r="F48" s="1"/>
      <c r="G48" s="80"/>
      <c r="H48" s="80"/>
      <c r="I48" s="80"/>
      <c r="J48" s="1"/>
      <c r="K48" s="1"/>
      <c r="L48" s="1"/>
      <c r="M48" s="1"/>
      <c r="N48" s="1"/>
      <c r="O48" s="1"/>
      <c r="P48" s="80"/>
      <c r="Q48" s="80"/>
      <c r="R48" s="80"/>
      <c r="S48" s="80"/>
      <c r="T48" s="80"/>
      <c r="U48" s="80"/>
      <c r="V48" s="80"/>
      <c r="W48" s="80"/>
      <c r="X48" s="80"/>
      <c r="Y48" s="8"/>
      <c r="AA48" s="52">
        <v>-8.0</v>
      </c>
      <c r="AB48" s="53">
        <f t="shared" si="3"/>
        <v>-4245.641421</v>
      </c>
      <c r="AC48" s="54" t="str">
        <f t="shared" si="4"/>
        <v>#REF!</v>
      </c>
      <c r="AD48" s="54" t="str">
        <f t="shared" si="5"/>
        <v>#REF!</v>
      </c>
      <c r="AE48" s="60"/>
    </row>
    <row r="49">
      <c r="A49" s="1"/>
      <c r="B49" s="75" t="s">
        <v>109</v>
      </c>
      <c r="C49" s="21"/>
      <c r="D49" s="118">
        <f>if(D42="Yes",if(D48="No",-PMT(D44/12,D46*12,D43),D43*D44/12),0)</f>
        <v>0</v>
      </c>
      <c r="E49" s="1"/>
      <c r="F49" s="1"/>
      <c r="G49" s="1"/>
      <c r="H49" s="1"/>
      <c r="I49" s="1"/>
      <c r="J49" s="1"/>
      <c r="K49" s="1"/>
      <c r="L49" s="1"/>
      <c r="M49" s="1"/>
      <c r="N49" s="1"/>
      <c r="O49" s="1"/>
      <c r="P49" s="1"/>
      <c r="Q49" s="1"/>
      <c r="R49" s="1"/>
      <c r="S49" s="80"/>
      <c r="T49" s="80"/>
      <c r="U49" s="80"/>
      <c r="V49" s="80"/>
      <c r="W49" s="80"/>
      <c r="X49" s="80"/>
      <c r="Y49" s="8"/>
      <c r="AA49" s="52">
        <v>-7.0</v>
      </c>
      <c r="AB49" s="53">
        <f t="shared" si="3"/>
        <v>-4245.641421</v>
      </c>
      <c r="AC49" s="54" t="str">
        <f t="shared" si="4"/>
        <v>#REF!</v>
      </c>
      <c r="AD49" s="54" t="str">
        <f t="shared" si="5"/>
        <v>#REF!</v>
      </c>
      <c r="AE49" s="60"/>
    </row>
    <row r="50">
      <c r="A50" s="1"/>
      <c r="B50" s="1"/>
      <c r="C50" s="1"/>
      <c r="D50" s="1"/>
      <c r="E50" s="1"/>
      <c r="F50" s="1"/>
      <c r="G50" s="1"/>
      <c r="H50" s="1"/>
      <c r="I50" s="1"/>
      <c r="J50" s="1"/>
      <c r="K50" s="1"/>
      <c r="L50" s="1"/>
      <c r="M50" s="1"/>
      <c r="N50" s="1"/>
      <c r="O50" s="1"/>
      <c r="P50" s="1"/>
      <c r="Q50" s="1"/>
      <c r="R50" s="1"/>
      <c r="S50" s="80"/>
      <c r="T50" s="80"/>
      <c r="U50" s="80"/>
      <c r="V50" s="80"/>
      <c r="W50" s="80"/>
      <c r="X50" s="80"/>
      <c r="Y50" s="8"/>
      <c r="AA50" s="52">
        <v>-6.0</v>
      </c>
      <c r="AB50" s="53">
        <f t="shared" si="3"/>
        <v>-4245.641421</v>
      </c>
      <c r="AC50" s="54" t="str">
        <f t="shared" si="4"/>
        <v>#REF!</v>
      </c>
      <c r="AD50" s="54" t="str">
        <f t="shared" si="5"/>
        <v>#REF!</v>
      </c>
      <c r="AE50" s="60"/>
    </row>
    <row r="51">
      <c r="A51" s="1"/>
      <c r="B51" s="1"/>
      <c r="C51" s="1"/>
      <c r="D51" s="1"/>
      <c r="E51" s="1"/>
      <c r="F51" s="1"/>
      <c r="G51" s="1"/>
      <c r="H51" s="1"/>
      <c r="I51" s="1"/>
      <c r="J51" s="1"/>
      <c r="K51" s="1"/>
      <c r="L51" s="1"/>
      <c r="M51" s="1"/>
      <c r="N51" s="1"/>
      <c r="O51" s="1"/>
      <c r="P51" s="1"/>
      <c r="Q51" s="1"/>
      <c r="R51" s="1"/>
      <c r="S51" s="80"/>
      <c r="T51" s="80"/>
      <c r="U51" s="80"/>
      <c r="V51" s="80"/>
      <c r="W51" s="80"/>
      <c r="X51" s="80"/>
      <c r="Y51" s="8"/>
      <c r="AA51" s="52">
        <v>-5.0</v>
      </c>
      <c r="AB51" s="53">
        <f t="shared" si="3"/>
        <v>-4245.641421</v>
      </c>
      <c r="AC51" s="54" t="str">
        <f t="shared" si="4"/>
        <v>#REF!</v>
      </c>
      <c r="AD51" s="54" t="str">
        <f t="shared" si="5"/>
        <v>#REF!</v>
      </c>
      <c r="AE51" s="60"/>
    </row>
    <row r="52">
      <c r="A52" s="1"/>
      <c r="B52" s="1"/>
      <c r="C52" s="1"/>
      <c r="D52" s="1"/>
      <c r="E52" s="1"/>
      <c r="F52" s="1"/>
      <c r="G52" s="1"/>
      <c r="H52" s="1"/>
      <c r="I52" s="1"/>
      <c r="J52" s="1"/>
      <c r="K52" s="1"/>
      <c r="L52" s="1"/>
      <c r="M52" s="1"/>
      <c r="N52" s="1"/>
      <c r="O52" s="1"/>
      <c r="P52" s="1"/>
      <c r="Q52" s="1"/>
      <c r="R52" s="1"/>
      <c r="S52" s="80"/>
      <c r="T52" s="80"/>
      <c r="U52" s="80"/>
      <c r="V52" s="80"/>
      <c r="W52" s="80"/>
      <c r="X52" s="80"/>
      <c r="Y52" s="8"/>
      <c r="AA52" s="52">
        <v>-4.0</v>
      </c>
      <c r="AB52" s="53">
        <f t="shared" si="3"/>
        <v>-4245.641421</v>
      </c>
      <c r="AC52" s="54" t="str">
        <f t="shared" si="4"/>
        <v>#REF!</v>
      </c>
      <c r="AD52" s="54" t="str">
        <f t="shared" si="5"/>
        <v>#REF!</v>
      </c>
      <c r="AE52" s="60"/>
    </row>
    <row r="53">
      <c r="A53" s="1"/>
      <c r="B53" s="1"/>
      <c r="C53" s="1"/>
      <c r="D53" s="1"/>
      <c r="E53" s="1"/>
      <c r="F53" s="1"/>
      <c r="G53" s="1"/>
      <c r="H53" s="1"/>
      <c r="I53" s="1"/>
      <c r="J53" s="1"/>
      <c r="K53" s="1"/>
      <c r="L53" s="1"/>
      <c r="M53" s="1"/>
      <c r="N53" s="1"/>
      <c r="O53" s="1"/>
      <c r="P53" s="80"/>
      <c r="Q53" s="80"/>
      <c r="R53" s="80"/>
      <c r="S53" s="1"/>
      <c r="T53" s="1"/>
      <c r="U53" s="1"/>
      <c r="V53" s="1"/>
      <c r="W53" s="1"/>
      <c r="X53" s="1"/>
      <c r="Y53" s="8"/>
      <c r="AA53" s="52">
        <v>-3.0</v>
      </c>
      <c r="AB53" s="53">
        <f t="shared" si="3"/>
        <v>-4245.641421</v>
      </c>
      <c r="AC53" s="54" t="str">
        <f t="shared" si="4"/>
        <v>#REF!</v>
      </c>
      <c r="AD53" s="54" t="str">
        <f t="shared" si="5"/>
        <v>#REF!</v>
      </c>
      <c r="AE53" s="60"/>
    </row>
    <row r="54">
      <c r="A54" s="1"/>
      <c r="B54" s="1"/>
      <c r="C54" s="1"/>
      <c r="D54" s="1"/>
      <c r="E54" s="1"/>
      <c r="F54" s="1"/>
      <c r="G54" s="1"/>
      <c r="H54" s="1"/>
      <c r="I54" s="1"/>
      <c r="J54" s="1"/>
      <c r="K54" s="1"/>
      <c r="L54" s="1"/>
      <c r="M54" s="1"/>
      <c r="N54" s="1"/>
      <c r="O54" s="1"/>
      <c r="P54" s="104"/>
      <c r="Q54" s="104"/>
      <c r="R54" s="104"/>
      <c r="S54" s="1"/>
      <c r="T54" s="1"/>
      <c r="U54" s="1"/>
      <c r="V54" s="1"/>
      <c r="W54" s="1"/>
      <c r="X54" s="1"/>
      <c r="Y54" s="8"/>
      <c r="AA54" s="52">
        <v>-2.0</v>
      </c>
      <c r="AB54" s="53">
        <f t="shared" si="3"/>
        <v>-4245.641421</v>
      </c>
      <c r="AC54" s="54" t="str">
        <f t="shared" si="4"/>
        <v>#REF!</v>
      </c>
      <c r="AD54" s="54" t="str">
        <f t="shared" si="5"/>
        <v>#REF!</v>
      </c>
      <c r="AE54" s="60"/>
    </row>
    <row r="55">
      <c r="A55" s="1"/>
      <c r="B55" s="1"/>
      <c r="C55" s="1"/>
      <c r="D55" s="1"/>
      <c r="E55" s="1"/>
      <c r="F55" s="1"/>
      <c r="G55" s="1"/>
      <c r="H55" s="1"/>
      <c r="I55" s="1"/>
      <c r="J55" s="1"/>
      <c r="K55" s="1"/>
      <c r="L55" s="1"/>
      <c r="M55" s="1"/>
      <c r="N55" s="1"/>
      <c r="O55" s="130"/>
      <c r="P55" s="80"/>
      <c r="Q55" s="80"/>
      <c r="R55" s="80"/>
      <c r="S55" s="1"/>
      <c r="T55" s="1"/>
      <c r="U55" s="1"/>
      <c r="V55" s="1"/>
      <c r="W55" s="1"/>
      <c r="X55" s="1"/>
      <c r="Y55" s="8"/>
      <c r="AA55" s="52">
        <v>-1.0</v>
      </c>
      <c r="AB55" s="53">
        <f t="shared" si="3"/>
        <v>-4245.641421</v>
      </c>
      <c r="AC55" s="54" t="str">
        <f t="shared" si="4"/>
        <v>#REF!</v>
      </c>
      <c r="AD55" s="54" t="str">
        <f t="shared" si="5"/>
        <v>#REF!</v>
      </c>
      <c r="AE55" s="60"/>
    </row>
    <row r="56">
      <c r="A56" s="1"/>
      <c r="B56" s="1"/>
      <c r="C56" s="1"/>
      <c r="D56" s="1"/>
      <c r="E56" s="1"/>
      <c r="F56" s="1"/>
      <c r="G56" s="1"/>
      <c r="H56" s="1"/>
      <c r="I56" s="1"/>
      <c r="J56" s="1"/>
      <c r="K56" s="1"/>
      <c r="L56" s="1"/>
      <c r="M56" s="1"/>
      <c r="N56" s="1"/>
      <c r="O56" s="1"/>
      <c r="P56" s="80"/>
      <c r="Q56" s="80"/>
      <c r="R56" s="80"/>
      <c r="S56" s="1"/>
      <c r="T56" s="1"/>
      <c r="U56" s="1"/>
      <c r="V56" s="1"/>
      <c r="W56" s="1"/>
      <c r="X56" s="1"/>
      <c r="Y56" s="8"/>
      <c r="Z56" s="131" t="s">
        <v>154</v>
      </c>
      <c r="AA56" s="52">
        <v>0.0</v>
      </c>
      <c r="AB56" s="53">
        <f>if($D$112="Yes",$D$124,-($D$12+$D$19))</f>
        <v>-146270</v>
      </c>
      <c r="AC56" s="54" t="str">
        <f>if($D$112="Yes",$D$124*#REF!,-($D$12+$D$19)*#REF!)</f>
        <v>#REF!</v>
      </c>
      <c r="AD56" s="54" t="str">
        <f>if($D$112="Yes",$D$124*(1-#REF!),-($D$12+$D$19)*(1-#REF!))</f>
        <v>#REF!</v>
      </c>
      <c r="AE56" s="60"/>
    </row>
    <row r="57">
      <c r="A57" s="1"/>
      <c r="B57" s="1"/>
      <c r="C57" s="1"/>
      <c r="D57" s="1"/>
      <c r="E57" s="1"/>
      <c r="F57" s="1"/>
      <c r="G57" s="1"/>
      <c r="H57" s="1"/>
      <c r="I57" s="1"/>
      <c r="J57" s="1"/>
      <c r="K57" s="1"/>
      <c r="L57" s="1"/>
      <c r="M57" s="1"/>
      <c r="N57" s="1"/>
      <c r="O57" s="1"/>
      <c r="P57" s="80"/>
      <c r="Q57" s="80"/>
      <c r="R57" s="80"/>
      <c r="S57" s="80"/>
      <c r="T57" s="80"/>
      <c r="U57" s="80"/>
      <c r="V57" s="80"/>
      <c r="W57" s="80"/>
      <c r="X57" s="80"/>
      <c r="Y57" s="8"/>
      <c r="Z57" s="59" t="s">
        <v>155</v>
      </c>
      <c r="AA57" s="52">
        <v>1.0</v>
      </c>
      <c r="AB57" s="54" t="str">
        <f t="shared" ref="AB57:AB92" si="19">#REF!/12</f>
        <v>#REF!</v>
      </c>
      <c r="AC57" s="54" t="str">
        <f t="shared" ref="AC57:AC176" si="20">AB57*#REF!</f>
        <v>#REF!</v>
      </c>
      <c r="AD57" s="54" t="str">
        <f t="shared" ref="AD57:AD176" si="21">AB57*(1-#REF!)</f>
        <v>#REF!</v>
      </c>
      <c r="AE57" s="60"/>
    </row>
    <row r="58">
      <c r="A58" s="1"/>
      <c r="B58" s="1"/>
      <c r="C58" s="1"/>
      <c r="D58" s="1"/>
      <c r="E58" s="1"/>
      <c r="F58" s="1"/>
      <c r="G58" s="1"/>
      <c r="H58" s="1"/>
      <c r="I58" s="1"/>
      <c r="J58" s="1"/>
      <c r="K58" s="1"/>
      <c r="L58" s="1"/>
      <c r="M58" s="1"/>
      <c r="N58" s="1"/>
      <c r="O58" s="1"/>
      <c r="P58" s="80"/>
      <c r="Q58" s="80"/>
      <c r="R58" s="80"/>
      <c r="S58" s="104"/>
      <c r="T58" s="104"/>
      <c r="U58" s="104"/>
      <c r="V58" s="104"/>
      <c r="W58" s="104"/>
      <c r="X58" s="104"/>
      <c r="Y58" s="8"/>
      <c r="AA58" s="52">
        <v>2.0</v>
      </c>
      <c r="AB58" s="54" t="str">
        <f t="shared" si="19"/>
        <v>#REF!</v>
      </c>
      <c r="AC58" s="54" t="str">
        <f t="shared" si="20"/>
        <v>#REF!</v>
      </c>
      <c r="AD58" s="54" t="str">
        <f t="shared" si="21"/>
        <v>#REF!</v>
      </c>
      <c r="AE58" s="60"/>
    </row>
    <row r="59">
      <c r="A59" s="1"/>
      <c r="B59" s="1"/>
      <c r="C59" s="1"/>
      <c r="D59" s="1"/>
      <c r="E59" s="1"/>
      <c r="F59" s="1"/>
      <c r="G59" s="1"/>
      <c r="H59" s="1"/>
      <c r="I59" s="1"/>
      <c r="J59" s="1"/>
      <c r="K59" s="1"/>
      <c r="L59" s="1"/>
      <c r="M59" s="1"/>
      <c r="N59" s="1"/>
      <c r="O59" s="1"/>
      <c r="P59" s="1"/>
      <c r="Q59" s="1"/>
      <c r="R59" s="1"/>
      <c r="S59" s="80"/>
      <c r="T59" s="80"/>
      <c r="U59" s="80"/>
      <c r="V59" s="80"/>
      <c r="W59" s="80"/>
      <c r="X59" s="80"/>
      <c r="Y59" s="8"/>
      <c r="AA59" s="52">
        <v>3.0</v>
      </c>
      <c r="AB59" s="54" t="str">
        <f t="shared" si="19"/>
        <v>#REF!</v>
      </c>
      <c r="AC59" s="54" t="str">
        <f t="shared" si="20"/>
        <v>#REF!</v>
      </c>
      <c r="AD59" s="54" t="str">
        <f t="shared" si="21"/>
        <v>#REF!</v>
      </c>
      <c r="AE59" s="60"/>
    </row>
    <row r="60">
      <c r="A60" s="1"/>
      <c r="B60" s="1"/>
      <c r="C60" s="1"/>
      <c r="D60" s="1"/>
      <c r="E60" s="1"/>
      <c r="F60" s="1"/>
      <c r="G60" s="1"/>
      <c r="H60" s="1"/>
      <c r="I60" s="1"/>
      <c r="J60" s="1"/>
      <c r="K60" s="132"/>
      <c r="L60" s="1"/>
      <c r="M60" s="1"/>
      <c r="N60" s="1"/>
      <c r="O60" s="1"/>
      <c r="P60" s="1"/>
      <c r="Q60" s="1"/>
      <c r="R60" s="1"/>
      <c r="S60" s="80"/>
      <c r="T60" s="80"/>
      <c r="U60" s="80"/>
      <c r="V60" s="80"/>
      <c r="W60" s="80"/>
      <c r="X60" s="80"/>
      <c r="Y60" s="8"/>
      <c r="AA60" s="52">
        <v>4.0</v>
      </c>
      <c r="AB60" s="54" t="str">
        <f t="shared" si="19"/>
        <v>#REF!</v>
      </c>
      <c r="AC60" s="54" t="str">
        <f t="shared" si="20"/>
        <v>#REF!</v>
      </c>
      <c r="AD60" s="54" t="str">
        <f t="shared" si="21"/>
        <v>#REF!</v>
      </c>
      <c r="AE60" s="60"/>
    </row>
    <row r="61">
      <c r="A61" s="1"/>
      <c r="B61" s="1"/>
      <c r="C61" s="1"/>
      <c r="D61" s="1"/>
      <c r="E61" s="1"/>
      <c r="F61" s="1"/>
      <c r="G61" s="1"/>
      <c r="H61" s="1"/>
      <c r="I61" s="1"/>
      <c r="J61" s="1"/>
      <c r="K61" s="1"/>
      <c r="L61" s="1"/>
      <c r="M61" s="1"/>
      <c r="N61" s="1"/>
      <c r="O61" s="1"/>
      <c r="P61" s="80"/>
      <c r="Q61" s="80"/>
      <c r="R61" s="80"/>
      <c r="S61" s="80"/>
      <c r="T61" s="80"/>
      <c r="U61" s="80"/>
      <c r="V61" s="80"/>
      <c r="W61" s="80"/>
      <c r="X61" s="80"/>
      <c r="Y61" s="8"/>
      <c r="AA61" s="52">
        <v>5.0</v>
      </c>
      <c r="AB61" s="54" t="str">
        <f t="shared" si="19"/>
        <v>#REF!</v>
      </c>
      <c r="AC61" s="54" t="str">
        <f t="shared" si="20"/>
        <v>#REF!</v>
      </c>
      <c r="AD61" s="54" t="str">
        <f t="shared" si="21"/>
        <v>#REF!</v>
      </c>
      <c r="AE61" s="60"/>
    </row>
    <row r="62">
      <c r="A62" s="1"/>
      <c r="B62" s="1"/>
      <c r="C62" s="1"/>
      <c r="D62" s="1"/>
      <c r="E62" s="1"/>
      <c r="F62" s="1"/>
      <c r="G62" s="1"/>
      <c r="H62" s="1"/>
      <c r="I62" s="1"/>
      <c r="J62" s="1"/>
      <c r="K62" s="1"/>
      <c r="L62" s="1"/>
      <c r="M62" s="1"/>
      <c r="N62" s="1"/>
      <c r="O62" s="1"/>
      <c r="P62" s="80"/>
      <c r="Q62" s="80"/>
      <c r="R62" s="80"/>
      <c r="S62" s="80"/>
      <c r="T62" s="80"/>
      <c r="U62" s="80"/>
      <c r="V62" s="80"/>
      <c r="W62" s="80"/>
      <c r="X62" s="80"/>
      <c r="Y62" s="8"/>
      <c r="AA62" s="52">
        <v>6.0</v>
      </c>
      <c r="AB62" s="54" t="str">
        <f t="shared" si="19"/>
        <v>#REF!</v>
      </c>
      <c r="AC62" s="54" t="str">
        <f t="shared" si="20"/>
        <v>#REF!</v>
      </c>
      <c r="AD62" s="54" t="str">
        <f t="shared" si="21"/>
        <v>#REF!</v>
      </c>
      <c r="AE62" s="60"/>
    </row>
    <row r="63">
      <c r="A63" s="1"/>
      <c r="B63" s="1"/>
      <c r="C63" s="1"/>
      <c r="D63" s="1"/>
      <c r="E63" s="1"/>
      <c r="F63" s="1"/>
      <c r="G63" s="1"/>
      <c r="H63" s="1"/>
      <c r="I63" s="1"/>
      <c r="J63" s="1"/>
      <c r="K63" s="1"/>
      <c r="L63" s="1"/>
      <c r="M63" s="1"/>
      <c r="N63" s="1"/>
      <c r="O63" s="1"/>
      <c r="P63" s="80"/>
      <c r="Q63" s="80"/>
      <c r="R63" s="80"/>
      <c r="S63" s="1"/>
      <c r="T63" s="1"/>
      <c r="U63" s="1"/>
      <c r="V63" s="1"/>
      <c r="W63" s="1"/>
      <c r="X63" s="1"/>
      <c r="Y63" s="8"/>
      <c r="AA63" s="52">
        <v>7.0</v>
      </c>
      <c r="AB63" s="54" t="str">
        <f t="shared" si="19"/>
        <v>#REF!</v>
      </c>
      <c r="AC63" s="54" t="str">
        <f t="shared" si="20"/>
        <v>#REF!</v>
      </c>
      <c r="AD63" s="54" t="str">
        <f t="shared" si="21"/>
        <v>#REF!</v>
      </c>
      <c r="AE63" s="60"/>
    </row>
    <row r="64">
      <c r="A64" s="1"/>
      <c r="B64" s="1"/>
      <c r="C64" s="1"/>
      <c r="D64" s="1"/>
      <c r="E64" s="1"/>
      <c r="F64" s="1"/>
      <c r="G64" s="1"/>
      <c r="H64" s="1"/>
      <c r="I64" s="1"/>
      <c r="J64" s="1"/>
      <c r="K64" s="1"/>
      <c r="L64" s="1"/>
      <c r="M64" s="1"/>
      <c r="N64" s="1"/>
      <c r="O64" s="1"/>
      <c r="P64" s="80"/>
      <c r="Q64" s="80"/>
      <c r="R64" s="80"/>
      <c r="S64" s="1"/>
      <c r="T64" s="1"/>
      <c r="U64" s="1"/>
      <c r="V64" s="1"/>
      <c r="W64" s="1"/>
      <c r="X64" s="1"/>
      <c r="Y64" s="8"/>
      <c r="AA64" s="52">
        <v>8.0</v>
      </c>
      <c r="AB64" s="54" t="str">
        <f t="shared" si="19"/>
        <v>#REF!</v>
      </c>
      <c r="AC64" s="54" t="str">
        <f t="shared" si="20"/>
        <v>#REF!</v>
      </c>
      <c r="AD64" s="54" t="str">
        <f t="shared" si="21"/>
        <v>#REF!</v>
      </c>
      <c r="AE64" s="60"/>
    </row>
    <row r="65">
      <c r="A65" s="1"/>
      <c r="B65" s="1"/>
      <c r="C65" s="1"/>
      <c r="D65" s="1"/>
      <c r="E65" s="1"/>
      <c r="F65" s="1"/>
      <c r="G65" s="1"/>
      <c r="H65" s="1"/>
      <c r="I65" s="1"/>
      <c r="J65" s="1"/>
      <c r="K65" s="1"/>
      <c r="L65" s="1"/>
      <c r="M65" s="1"/>
      <c r="N65" s="1"/>
      <c r="O65" s="1"/>
      <c r="P65" s="80"/>
      <c r="Q65" s="80"/>
      <c r="R65" s="80"/>
      <c r="S65" s="80"/>
      <c r="T65" s="80"/>
      <c r="U65" s="80"/>
      <c r="V65" s="80"/>
      <c r="W65" s="80"/>
      <c r="X65" s="80"/>
      <c r="Y65" s="8"/>
      <c r="AA65" s="52">
        <v>9.0</v>
      </c>
      <c r="AB65" s="54" t="str">
        <f t="shared" si="19"/>
        <v>#REF!</v>
      </c>
      <c r="AC65" s="54" t="str">
        <f t="shared" si="20"/>
        <v>#REF!</v>
      </c>
      <c r="AD65" s="54" t="str">
        <f t="shared" si="21"/>
        <v>#REF!</v>
      </c>
      <c r="AE65" s="60"/>
    </row>
    <row r="66">
      <c r="A66" s="1"/>
      <c r="B66" s="1"/>
      <c r="C66" s="1"/>
      <c r="D66" s="1"/>
      <c r="E66" s="1"/>
      <c r="F66" s="1"/>
      <c r="G66" s="1"/>
      <c r="H66" s="1"/>
      <c r="I66" s="1"/>
      <c r="J66" s="1"/>
      <c r="K66" s="1"/>
      <c r="L66" s="1"/>
      <c r="M66" s="1"/>
      <c r="N66" s="1"/>
      <c r="O66" s="1"/>
      <c r="P66" s="80"/>
      <c r="Q66" s="80"/>
      <c r="R66" s="80"/>
      <c r="S66" s="80"/>
      <c r="T66" s="80"/>
      <c r="U66" s="80"/>
      <c r="V66" s="80"/>
      <c r="W66" s="80"/>
      <c r="X66" s="80"/>
      <c r="Y66" s="8"/>
      <c r="AA66" s="52">
        <v>10.0</v>
      </c>
      <c r="AB66" s="54" t="str">
        <f t="shared" si="19"/>
        <v>#REF!</v>
      </c>
      <c r="AC66" s="54" t="str">
        <f t="shared" si="20"/>
        <v>#REF!</v>
      </c>
      <c r="AD66" s="54" t="str">
        <f t="shared" si="21"/>
        <v>#REF!</v>
      </c>
      <c r="AE66" s="60"/>
    </row>
    <row r="67">
      <c r="A67" s="1"/>
      <c r="B67" s="1"/>
      <c r="C67" s="1"/>
      <c r="D67" s="1"/>
      <c r="E67" s="1"/>
      <c r="F67" s="1"/>
      <c r="G67" s="1"/>
      <c r="H67" s="1"/>
      <c r="I67" s="1"/>
      <c r="J67" s="1"/>
      <c r="K67" s="1"/>
      <c r="L67" s="1"/>
      <c r="M67" s="1"/>
      <c r="N67" s="1"/>
      <c r="O67" s="1"/>
      <c r="P67" s="80"/>
      <c r="Q67" s="80"/>
      <c r="R67" s="80"/>
      <c r="S67" s="80"/>
      <c r="T67" s="80"/>
      <c r="U67" s="80"/>
      <c r="V67" s="80"/>
      <c r="W67" s="80"/>
      <c r="X67" s="80"/>
      <c r="Y67" s="8"/>
      <c r="AA67" s="52">
        <v>11.0</v>
      </c>
      <c r="AB67" s="54" t="str">
        <f t="shared" si="19"/>
        <v>#REF!</v>
      </c>
      <c r="AC67" s="54" t="str">
        <f t="shared" si="20"/>
        <v>#REF!</v>
      </c>
      <c r="AD67" s="54" t="str">
        <f t="shared" si="21"/>
        <v>#REF!</v>
      </c>
      <c r="AE67" s="60"/>
    </row>
    <row r="68">
      <c r="A68" s="1"/>
      <c r="B68" s="1"/>
      <c r="C68" s="1"/>
      <c r="D68" s="1"/>
      <c r="E68" s="1"/>
      <c r="F68" s="1"/>
      <c r="G68" s="1"/>
      <c r="H68" s="1"/>
      <c r="I68" s="1"/>
      <c r="J68" s="1"/>
      <c r="K68" s="1"/>
      <c r="L68" s="1"/>
      <c r="M68" s="1"/>
      <c r="N68" s="1"/>
      <c r="O68" s="1"/>
      <c r="P68" s="80"/>
      <c r="Q68" s="80"/>
      <c r="R68" s="80"/>
      <c r="S68" s="80"/>
      <c r="T68" s="80"/>
      <c r="U68" s="80"/>
      <c r="V68" s="80"/>
      <c r="W68" s="80"/>
      <c r="X68" s="80"/>
      <c r="Y68" s="8"/>
      <c r="AA68" s="52">
        <v>12.0</v>
      </c>
      <c r="AB68" s="54" t="str">
        <f t="shared" si="19"/>
        <v>#REF!</v>
      </c>
      <c r="AC68" s="54" t="str">
        <f t="shared" si="20"/>
        <v>#REF!</v>
      </c>
      <c r="AD68" s="54" t="str">
        <f t="shared" si="21"/>
        <v>#REF!</v>
      </c>
      <c r="AE68" s="60"/>
    </row>
    <row r="69">
      <c r="A69" s="1"/>
      <c r="B69" s="1"/>
      <c r="C69" s="1"/>
      <c r="D69" s="1"/>
      <c r="E69" s="1"/>
      <c r="F69" s="1"/>
      <c r="G69" s="1"/>
      <c r="H69" s="1"/>
      <c r="I69" s="1"/>
      <c r="J69" s="1"/>
      <c r="K69" s="1"/>
      <c r="L69" s="1"/>
      <c r="M69" s="1"/>
      <c r="N69" s="1"/>
      <c r="O69" s="1"/>
      <c r="P69" s="80"/>
      <c r="Q69" s="80"/>
      <c r="R69" s="80"/>
      <c r="S69" s="80"/>
      <c r="T69" s="80"/>
      <c r="U69" s="80"/>
      <c r="V69" s="80"/>
      <c r="W69" s="80"/>
      <c r="X69" s="80"/>
      <c r="Y69" s="8"/>
      <c r="Z69" s="59" t="s">
        <v>156</v>
      </c>
      <c r="AA69" s="52">
        <v>13.0</v>
      </c>
      <c r="AB69" s="54" t="str">
        <f t="shared" si="19"/>
        <v>#REF!</v>
      </c>
      <c r="AC69" s="54" t="str">
        <f t="shared" si="20"/>
        <v>#REF!</v>
      </c>
      <c r="AD69" s="54" t="str">
        <f t="shared" si="21"/>
        <v>#REF!</v>
      </c>
      <c r="AE69" s="60"/>
    </row>
    <row r="70">
      <c r="A70" s="1"/>
      <c r="B70" s="1"/>
      <c r="C70" s="1"/>
      <c r="D70" s="1"/>
      <c r="E70" s="1"/>
      <c r="F70" s="1"/>
      <c r="G70" s="1"/>
      <c r="H70" s="1"/>
      <c r="I70" s="1"/>
      <c r="J70" s="1"/>
      <c r="K70" s="1"/>
      <c r="L70" s="1"/>
      <c r="M70" s="1"/>
      <c r="N70" s="1"/>
      <c r="O70" s="1"/>
      <c r="P70" s="1"/>
      <c r="Q70" s="1"/>
      <c r="R70" s="1"/>
      <c r="S70" s="80"/>
      <c r="T70" s="80"/>
      <c r="U70" s="80"/>
      <c r="V70" s="80"/>
      <c r="W70" s="80"/>
      <c r="X70" s="80"/>
      <c r="Y70" s="8"/>
      <c r="AA70" s="52">
        <v>14.0</v>
      </c>
      <c r="AB70" s="54" t="str">
        <f t="shared" si="19"/>
        <v>#REF!</v>
      </c>
      <c r="AC70" s="54" t="str">
        <f t="shared" si="20"/>
        <v>#REF!</v>
      </c>
      <c r="AD70" s="54" t="str">
        <f t="shared" si="21"/>
        <v>#REF!</v>
      </c>
      <c r="AE70" s="60"/>
    </row>
    <row r="71">
      <c r="A71" s="1"/>
      <c r="B71" s="1"/>
      <c r="C71" s="1"/>
      <c r="D71" s="1"/>
      <c r="E71" s="1"/>
      <c r="F71" s="1"/>
      <c r="G71" s="1"/>
      <c r="H71" s="1"/>
      <c r="I71" s="1"/>
      <c r="J71" s="1"/>
      <c r="K71" s="1"/>
      <c r="L71" s="1"/>
      <c r="M71" s="1"/>
      <c r="N71" s="1"/>
      <c r="O71" s="1"/>
      <c r="P71" s="1"/>
      <c r="Q71" s="1"/>
      <c r="R71" s="1"/>
      <c r="S71" s="80"/>
      <c r="T71" s="80"/>
      <c r="U71" s="80"/>
      <c r="V71" s="80"/>
      <c r="W71" s="80"/>
      <c r="X71" s="80"/>
      <c r="Y71" s="8"/>
      <c r="AA71" s="52">
        <v>15.0</v>
      </c>
      <c r="AB71" s="54" t="str">
        <f t="shared" si="19"/>
        <v>#REF!</v>
      </c>
      <c r="AC71" s="54" t="str">
        <f t="shared" si="20"/>
        <v>#REF!</v>
      </c>
      <c r="AD71" s="54" t="str">
        <f t="shared" si="21"/>
        <v>#REF!</v>
      </c>
      <c r="AE71" s="60"/>
    </row>
    <row r="72">
      <c r="A72" s="1"/>
      <c r="B72" s="1"/>
      <c r="C72" s="1"/>
      <c r="D72" s="1"/>
      <c r="E72" s="1"/>
      <c r="F72" s="1"/>
      <c r="G72" s="1"/>
      <c r="H72" s="1"/>
      <c r="I72" s="1"/>
      <c r="J72" s="1"/>
      <c r="K72" s="1"/>
      <c r="L72" s="1"/>
      <c r="M72" s="1"/>
      <c r="N72" s="1"/>
      <c r="O72" s="1"/>
      <c r="P72" s="133"/>
      <c r="Q72" s="133"/>
      <c r="R72" s="133"/>
      <c r="S72" s="80"/>
      <c r="T72" s="80"/>
      <c r="U72" s="80"/>
      <c r="V72" s="80"/>
      <c r="W72" s="80"/>
      <c r="X72" s="80"/>
      <c r="Y72" s="8"/>
      <c r="AA72" s="52">
        <v>16.0</v>
      </c>
      <c r="AB72" s="54" t="str">
        <f t="shared" si="19"/>
        <v>#REF!</v>
      </c>
      <c r="AC72" s="54" t="str">
        <f t="shared" si="20"/>
        <v>#REF!</v>
      </c>
      <c r="AD72" s="54" t="str">
        <f t="shared" si="21"/>
        <v>#REF!</v>
      </c>
      <c r="AE72" s="60"/>
    </row>
    <row r="73">
      <c r="A73" s="1"/>
      <c r="B73" s="1"/>
      <c r="C73" s="1"/>
      <c r="D73" s="1"/>
      <c r="E73" s="1"/>
      <c r="F73" s="1"/>
      <c r="G73" s="1"/>
      <c r="H73" s="1"/>
      <c r="I73" s="1"/>
      <c r="J73" s="1"/>
      <c r="K73" s="1"/>
      <c r="L73" s="1"/>
      <c r="M73" s="1"/>
      <c r="N73" s="1"/>
      <c r="O73" s="1"/>
      <c r="P73" s="133"/>
      <c r="Q73" s="133"/>
      <c r="R73" s="133"/>
      <c r="S73" s="80"/>
      <c r="T73" s="80"/>
      <c r="U73" s="80"/>
      <c r="V73" s="80"/>
      <c r="W73" s="80"/>
      <c r="X73" s="80"/>
      <c r="Y73" s="8"/>
      <c r="AA73" s="52">
        <v>17.0</v>
      </c>
      <c r="AB73" s="54" t="str">
        <f t="shared" si="19"/>
        <v>#REF!</v>
      </c>
      <c r="AC73" s="54" t="str">
        <f t="shared" si="20"/>
        <v>#REF!</v>
      </c>
      <c r="AD73" s="54" t="str">
        <f t="shared" si="21"/>
        <v>#REF!</v>
      </c>
      <c r="AE73" s="60"/>
    </row>
    <row r="74">
      <c r="A74" s="1"/>
      <c r="B74" s="1"/>
      <c r="C74" s="1"/>
      <c r="D74" s="1"/>
      <c r="E74" s="1"/>
      <c r="F74" s="1"/>
      <c r="G74" s="1"/>
      <c r="H74" s="1"/>
      <c r="I74" s="1"/>
      <c r="J74" s="1"/>
      <c r="K74" s="1"/>
      <c r="L74" s="1"/>
      <c r="M74" s="1"/>
      <c r="N74" s="1"/>
      <c r="O74" s="1"/>
      <c r="P74" s="133"/>
      <c r="Q74" s="133"/>
      <c r="R74" s="133"/>
      <c r="S74" s="1"/>
      <c r="T74" s="1"/>
      <c r="U74" s="1"/>
      <c r="V74" s="1"/>
      <c r="W74" s="1"/>
      <c r="X74" s="1"/>
      <c r="Y74" s="8"/>
      <c r="AA74" s="52">
        <v>18.0</v>
      </c>
      <c r="AB74" s="54" t="str">
        <f t="shared" si="19"/>
        <v>#REF!</v>
      </c>
      <c r="AC74" s="54" t="str">
        <f t="shared" si="20"/>
        <v>#REF!</v>
      </c>
      <c r="AD74" s="54" t="str">
        <f t="shared" si="21"/>
        <v>#REF!</v>
      </c>
      <c r="AE74" s="60"/>
    </row>
    <row r="75">
      <c r="A75" s="1"/>
      <c r="B75" s="1"/>
      <c r="C75" s="1"/>
      <c r="D75" s="1"/>
      <c r="E75" s="1"/>
      <c r="F75" s="1"/>
      <c r="G75" s="1"/>
      <c r="H75" s="1"/>
      <c r="I75" s="1"/>
      <c r="J75" s="1"/>
      <c r="K75" s="1"/>
      <c r="L75" s="1"/>
      <c r="M75" s="1"/>
      <c r="N75" s="1"/>
      <c r="O75" s="1"/>
      <c r="P75" s="104"/>
      <c r="Q75" s="104"/>
      <c r="R75" s="104"/>
      <c r="S75" s="1"/>
      <c r="T75" s="1"/>
      <c r="U75" s="1"/>
      <c r="V75" s="1"/>
      <c r="W75" s="1"/>
      <c r="X75" s="1"/>
      <c r="Y75" s="8"/>
      <c r="AA75" s="52">
        <v>19.0</v>
      </c>
      <c r="AB75" s="54" t="str">
        <f t="shared" si="19"/>
        <v>#REF!</v>
      </c>
      <c r="AC75" s="54" t="str">
        <f t="shared" si="20"/>
        <v>#REF!</v>
      </c>
      <c r="AD75" s="54" t="str">
        <f t="shared" si="21"/>
        <v>#REF!</v>
      </c>
      <c r="AE75" s="60"/>
    </row>
    <row r="76">
      <c r="A76" s="1"/>
      <c r="B76" s="1"/>
      <c r="C76" s="1"/>
      <c r="D76" s="1"/>
      <c r="E76" s="1"/>
      <c r="F76" s="1"/>
      <c r="G76" s="1"/>
      <c r="H76" s="1"/>
      <c r="I76" s="1"/>
      <c r="J76" s="1"/>
      <c r="K76" s="1"/>
      <c r="L76" s="1"/>
      <c r="M76" s="1"/>
      <c r="N76" s="1"/>
      <c r="O76" s="1"/>
      <c r="P76" s="133"/>
      <c r="Q76" s="133"/>
      <c r="R76" s="133"/>
      <c r="S76" s="133"/>
      <c r="T76" s="133"/>
      <c r="U76" s="133"/>
      <c r="V76" s="133"/>
      <c r="W76" s="133"/>
      <c r="X76" s="133"/>
      <c r="Y76" s="8"/>
      <c r="AA76" s="52">
        <v>20.0</v>
      </c>
      <c r="AB76" s="54" t="str">
        <f t="shared" si="19"/>
        <v>#REF!</v>
      </c>
      <c r="AC76" s="54" t="str">
        <f t="shared" si="20"/>
        <v>#REF!</v>
      </c>
      <c r="AD76" s="54" t="str">
        <f t="shared" si="21"/>
        <v>#REF!</v>
      </c>
      <c r="AE76" s="60"/>
    </row>
    <row r="77">
      <c r="A77" s="1"/>
      <c r="B77" s="1"/>
      <c r="C77" s="1"/>
      <c r="D77" s="1"/>
      <c r="E77" s="1"/>
      <c r="F77" s="1"/>
      <c r="G77" s="1"/>
      <c r="H77" s="1"/>
      <c r="I77" s="1"/>
      <c r="J77" s="1"/>
      <c r="K77" s="1"/>
      <c r="L77" s="1"/>
      <c r="M77" s="1"/>
      <c r="N77" s="1"/>
      <c r="O77" s="1"/>
      <c r="P77" s="133"/>
      <c r="Q77" s="133"/>
      <c r="R77" s="133"/>
      <c r="S77" s="133"/>
      <c r="T77" s="133"/>
      <c r="U77" s="133"/>
      <c r="V77" s="133"/>
      <c r="W77" s="133"/>
      <c r="X77" s="133"/>
      <c r="Y77" s="8"/>
      <c r="AA77" s="52">
        <v>21.0</v>
      </c>
      <c r="AB77" s="54" t="str">
        <f t="shared" si="19"/>
        <v>#REF!</v>
      </c>
      <c r="AC77" s="54" t="str">
        <f t="shared" si="20"/>
        <v>#REF!</v>
      </c>
      <c r="AD77" s="54" t="str">
        <f t="shared" si="21"/>
        <v>#REF!</v>
      </c>
      <c r="AE77" s="60"/>
    </row>
    <row r="78">
      <c r="A78" s="1"/>
      <c r="B78" s="1"/>
      <c r="C78" s="1"/>
      <c r="D78" s="1"/>
      <c r="E78" s="1"/>
      <c r="F78" s="1"/>
      <c r="G78" s="1"/>
      <c r="H78" s="1"/>
      <c r="I78" s="1"/>
      <c r="J78" s="1"/>
      <c r="K78" s="1"/>
      <c r="L78" s="1"/>
      <c r="M78" s="1"/>
      <c r="N78" s="1"/>
      <c r="O78" s="1"/>
      <c r="P78" s="133"/>
      <c r="Q78" s="133"/>
      <c r="R78" s="133"/>
      <c r="S78" s="133"/>
      <c r="T78" s="133"/>
      <c r="U78" s="133"/>
      <c r="V78" s="133"/>
      <c r="W78" s="133"/>
      <c r="X78" s="133"/>
      <c r="Y78" s="8"/>
      <c r="AA78" s="52">
        <v>22.0</v>
      </c>
      <c r="AB78" s="54" t="str">
        <f t="shared" si="19"/>
        <v>#REF!</v>
      </c>
      <c r="AC78" s="54" t="str">
        <f t="shared" si="20"/>
        <v>#REF!</v>
      </c>
      <c r="AD78" s="54" t="str">
        <f t="shared" si="21"/>
        <v>#REF!</v>
      </c>
      <c r="AE78" s="60"/>
    </row>
    <row r="79">
      <c r="A79" s="1"/>
      <c r="B79" s="1"/>
      <c r="C79" s="1"/>
      <c r="D79" s="1"/>
      <c r="E79" s="1"/>
      <c r="F79" s="1"/>
      <c r="G79" s="1"/>
      <c r="H79" s="1"/>
      <c r="I79" s="1"/>
      <c r="J79" s="1"/>
      <c r="K79" s="1"/>
      <c r="L79" s="1"/>
      <c r="M79" s="1"/>
      <c r="N79" s="1"/>
      <c r="O79" s="1"/>
      <c r="P79" s="134"/>
      <c r="Q79" s="104"/>
      <c r="R79" s="104"/>
      <c r="S79" s="104"/>
      <c r="T79" s="104"/>
      <c r="U79" s="104"/>
      <c r="V79" s="104"/>
      <c r="W79" s="104"/>
      <c r="X79" s="104"/>
      <c r="Y79" s="8"/>
      <c r="AA79" s="52">
        <v>23.0</v>
      </c>
      <c r="AB79" s="54" t="str">
        <f t="shared" si="19"/>
        <v>#REF!</v>
      </c>
      <c r="AC79" s="54" t="str">
        <f t="shared" si="20"/>
        <v>#REF!</v>
      </c>
      <c r="AD79" s="54" t="str">
        <f t="shared" si="21"/>
        <v>#REF!</v>
      </c>
      <c r="AE79" s="60"/>
    </row>
    <row r="80">
      <c r="A80" s="1"/>
      <c r="B80" s="1"/>
      <c r="C80" s="1"/>
      <c r="D80" s="1"/>
      <c r="E80" s="1"/>
      <c r="F80" s="1"/>
      <c r="G80" s="1"/>
      <c r="H80" s="1"/>
      <c r="I80" s="1"/>
      <c r="J80" s="1"/>
      <c r="K80" s="1"/>
      <c r="L80" s="1"/>
      <c r="M80" s="1"/>
      <c r="N80" s="1"/>
      <c r="O80" s="79"/>
      <c r="P80" s="135"/>
      <c r="Q80" s="135"/>
      <c r="R80" s="135"/>
      <c r="S80" s="133"/>
      <c r="T80" s="133"/>
      <c r="U80" s="133"/>
      <c r="V80" s="133"/>
      <c r="W80" s="133"/>
      <c r="X80" s="133"/>
      <c r="Y80" s="8"/>
      <c r="AA80" s="52">
        <v>24.0</v>
      </c>
      <c r="AB80" s="54" t="str">
        <f t="shared" si="19"/>
        <v>#REF!</v>
      </c>
      <c r="AC80" s="54" t="str">
        <f t="shared" si="20"/>
        <v>#REF!</v>
      </c>
      <c r="AD80" s="54" t="str">
        <f t="shared" si="21"/>
        <v>#REF!</v>
      </c>
      <c r="AE80" s="60"/>
    </row>
    <row r="81">
      <c r="A81" s="1"/>
      <c r="B81" s="1"/>
      <c r="C81" s="1"/>
      <c r="D81" s="1"/>
      <c r="E81" s="1"/>
      <c r="F81" s="1"/>
      <c r="G81" s="1"/>
      <c r="H81" s="1"/>
      <c r="I81" s="1"/>
      <c r="J81" s="1"/>
      <c r="K81" s="1"/>
      <c r="L81" s="1"/>
      <c r="M81" s="1"/>
      <c r="N81" s="1"/>
      <c r="O81" s="79"/>
      <c r="P81" s="133"/>
      <c r="Q81" s="133"/>
      <c r="R81" s="133"/>
      <c r="S81" s="133"/>
      <c r="T81" s="133"/>
      <c r="U81" s="133"/>
      <c r="V81" s="133"/>
      <c r="W81" s="133"/>
      <c r="X81" s="133"/>
      <c r="Y81" s="8"/>
      <c r="Z81" s="59" t="s">
        <v>157</v>
      </c>
      <c r="AA81" s="52">
        <v>25.0</v>
      </c>
      <c r="AB81" s="54" t="str">
        <f t="shared" si="19"/>
        <v>#REF!</v>
      </c>
      <c r="AC81" s="54" t="str">
        <f t="shared" si="20"/>
        <v>#REF!</v>
      </c>
      <c r="AD81" s="54" t="str">
        <f t="shared" si="21"/>
        <v>#REF!</v>
      </c>
      <c r="AE81" s="60"/>
    </row>
    <row r="82">
      <c r="A82" s="1"/>
      <c r="B82" s="1"/>
      <c r="C82" s="1"/>
      <c r="D82" s="1"/>
      <c r="E82" s="1"/>
      <c r="F82" s="1"/>
      <c r="G82" s="1"/>
      <c r="H82" s="1"/>
      <c r="I82" s="1"/>
      <c r="J82" s="1"/>
      <c r="K82" s="1"/>
      <c r="L82" s="1"/>
      <c r="M82" s="1"/>
      <c r="N82" s="1"/>
      <c r="O82" s="1"/>
      <c r="P82" s="1"/>
      <c r="Q82" s="1"/>
      <c r="R82" s="1"/>
      <c r="S82" s="133"/>
      <c r="T82" s="133"/>
      <c r="U82" s="133"/>
      <c r="V82" s="133"/>
      <c r="W82" s="133"/>
      <c r="X82" s="133"/>
      <c r="Y82" s="8"/>
      <c r="AA82" s="52">
        <v>26.0</v>
      </c>
      <c r="AB82" s="54" t="str">
        <f t="shared" si="19"/>
        <v>#REF!</v>
      </c>
      <c r="AC82" s="54" t="str">
        <f t="shared" si="20"/>
        <v>#REF!</v>
      </c>
      <c r="AD82" s="54" t="str">
        <f t="shared" si="21"/>
        <v>#REF!</v>
      </c>
      <c r="AE82" s="60"/>
    </row>
    <row r="83">
      <c r="A83" s="1"/>
      <c r="B83" s="1"/>
      <c r="C83" s="1"/>
      <c r="D83" s="1"/>
      <c r="E83" s="1"/>
      <c r="F83" s="1"/>
      <c r="G83" s="1"/>
      <c r="H83" s="1"/>
      <c r="I83" s="1"/>
      <c r="J83" s="1"/>
      <c r="K83" s="1"/>
      <c r="L83" s="1"/>
      <c r="M83" s="1"/>
      <c r="N83" s="1"/>
      <c r="O83" s="79"/>
      <c r="P83" s="135"/>
      <c r="Q83" s="135"/>
      <c r="R83" s="135"/>
      <c r="S83" s="1"/>
      <c r="T83" s="1"/>
      <c r="U83" s="1"/>
      <c r="V83" s="1"/>
      <c r="W83" s="1"/>
      <c r="X83" s="1"/>
      <c r="Y83" s="8"/>
      <c r="AA83" s="52">
        <v>27.0</v>
      </c>
      <c r="AB83" s="54" t="str">
        <f t="shared" si="19"/>
        <v>#REF!</v>
      </c>
      <c r="AC83" s="54" t="str">
        <f t="shared" si="20"/>
        <v>#REF!</v>
      </c>
      <c r="AD83" s="54" t="str">
        <f t="shared" si="21"/>
        <v>#REF!</v>
      </c>
      <c r="AE83" s="60"/>
    </row>
    <row r="84">
      <c r="A84" s="1"/>
      <c r="B84" s="1"/>
      <c r="C84" s="1"/>
      <c r="D84" s="1"/>
      <c r="E84" s="1"/>
      <c r="F84" s="1"/>
      <c r="G84" s="1"/>
      <c r="H84" s="1"/>
      <c r="I84" s="1"/>
      <c r="J84" s="1"/>
      <c r="K84" s="1"/>
      <c r="L84" s="1"/>
      <c r="M84" s="1"/>
      <c r="N84" s="1"/>
      <c r="O84" s="79"/>
      <c r="P84" s="133"/>
      <c r="Q84" s="133"/>
      <c r="R84" s="133"/>
      <c r="S84" s="135"/>
      <c r="T84" s="135"/>
      <c r="U84" s="135"/>
      <c r="V84" s="135"/>
      <c r="W84" s="135"/>
      <c r="X84" s="135"/>
      <c r="Y84" s="8"/>
      <c r="AA84" s="52">
        <v>28.0</v>
      </c>
      <c r="AB84" s="54" t="str">
        <f t="shared" si="19"/>
        <v>#REF!</v>
      </c>
      <c r="AC84" s="54" t="str">
        <f t="shared" si="20"/>
        <v>#REF!</v>
      </c>
      <c r="AD84" s="54" t="str">
        <f t="shared" si="21"/>
        <v>#REF!</v>
      </c>
      <c r="AE84" s="60"/>
    </row>
    <row r="85">
      <c r="A85" s="1"/>
      <c r="B85" s="1"/>
      <c r="C85" s="1"/>
      <c r="D85" s="1"/>
      <c r="E85" s="1"/>
      <c r="F85" s="1"/>
      <c r="G85" s="1"/>
      <c r="H85" s="1"/>
      <c r="I85" s="1"/>
      <c r="J85" s="1"/>
      <c r="K85" s="1"/>
      <c r="L85" s="1"/>
      <c r="M85" s="1"/>
      <c r="N85" s="1"/>
      <c r="O85" s="1"/>
      <c r="P85" s="1"/>
      <c r="Q85" s="1"/>
      <c r="R85" s="1"/>
      <c r="S85" s="133"/>
      <c r="T85" s="133"/>
      <c r="U85" s="133"/>
      <c r="V85" s="133"/>
      <c r="W85" s="133"/>
      <c r="X85" s="133"/>
      <c r="Y85" s="8"/>
      <c r="AA85" s="52">
        <v>29.0</v>
      </c>
      <c r="AB85" s="54" t="str">
        <f t="shared" si="19"/>
        <v>#REF!</v>
      </c>
      <c r="AC85" s="54" t="str">
        <f t="shared" si="20"/>
        <v>#REF!</v>
      </c>
      <c r="AD85" s="54" t="str">
        <f t="shared" si="21"/>
        <v>#REF!</v>
      </c>
      <c r="AE85" s="60"/>
    </row>
    <row r="86">
      <c r="A86" s="1"/>
      <c r="B86" s="1"/>
      <c r="C86" s="1"/>
      <c r="D86" s="1"/>
      <c r="E86" s="1"/>
      <c r="F86" s="1"/>
      <c r="G86" s="1"/>
      <c r="H86" s="1"/>
      <c r="I86" s="1"/>
      <c r="J86" s="1"/>
      <c r="K86" s="1"/>
      <c r="L86" s="1"/>
      <c r="M86" s="1"/>
      <c r="N86" s="1"/>
      <c r="O86" s="132"/>
      <c r="P86" s="1"/>
      <c r="Q86" s="132"/>
      <c r="R86" s="1"/>
      <c r="S86" s="1"/>
      <c r="T86" s="1"/>
      <c r="U86" s="1"/>
      <c r="V86" s="1"/>
      <c r="W86" s="1"/>
      <c r="X86" s="1"/>
      <c r="Y86" s="8"/>
      <c r="AA86" s="52">
        <v>30.0</v>
      </c>
      <c r="AB86" s="54" t="str">
        <f t="shared" si="19"/>
        <v>#REF!</v>
      </c>
      <c r="AC86" s="54" t="str">
        <f t="shared" si="20"/>
        <v>#REF!</v>
      </c>
      <c r="AD86" s="54" t="str">
        <f t="shared" si="21"/>
        <v>#REF!</v>
      </c>
      <c r="AE86" s="60"/>
    </row>
    <row r="87">
      <c r="A87" s="79"/>
      <c r="B87" s="1"/>
      <c r="C87" s="1"/>
      <c r="D87" s="1"/>
      <c r="E87" s="1"/>
      <c r="F87" s="1"/>
      <c r="G87" s="1"/>
      <c r="H87" s="1"/>
      <c r="I87" s="1"/>
      <c r="J87" s="1"/>
      <c r="K87" s="1"/>
      <c r="L87" s="1"/>
      <c r="M87" s="1"/>
      <c r="N87" s="1"/>
      <c r="O87" s="1"/>
      <c r="P87" s="132"/>
      <c r="Q87" s="132"/>
      <c r="R87" s="1"/>
      <c r="S87" s="135"/>
      <c r="T87" s="135"/>
      <c r="U87" s="135"/>
      <c r="V87" s="135"/>
      <c r="W87" s="135"/>
      <c r="X87" s="135"/>
      <c r="Y87" s="8"/>
      <c r="AA87" s="52">
        <v>31.0</v>
      </c>
      <c r="AB87" s="54" t="str">
        <f t="shared" si="19"/>
        <v>#REF!</v>
      </c>
      <c r="AC87" s="54" t="str">
        <f t="shared" si="20"/>
        <v>#REF!</v>
      </c>
      <c r="AD87" s="54" t="str">
        <f t="shared" si="21"/>
        <v>#REF!</v>
      </c>
      <c r="AE87" s="60"/>
    </row>
    <row r="88">
      <c r="A88" s="79"/>
      <c r="B88" s="1"/>
      <c r="C88" s="1"/>
      <c r="D88" s="1"/>
      <c r="E88" s="1"/>
      <c r="F88" s="1"/>
      <c r="G88" s="1"/>
      <c r="H88" s="1"/>
      <c r="I88" s="1"/>
      <c r="J88" s="1"/>
      <c r="K88" s="1"/>
      <c r="L88" s="1"/>
      <c r="M88" s="1"/>
      <c r="N88" s="1"/>
      <c r="O88" s="1"/>
      <c r="P88" s="1"/>
      <c r="Q88" s="1"/>
      <c r="R88" s="1"/>
      <c r="S88" s="133"/>
      <c r="T88" s="133"/>
      <c r="U88" s="133"/>
      <c r="V88" s="133"/>
      <c r="W88" s="133"/>
      <c r="X88" s="133"/>
      <c r="Y88" s="8"/>
      <c r="AA88" s="52">
        <v>32.0</v>
      </c>
      <c r="AB88" s="54" t="str">
        <f t="shared" si="19"/>
        <v>#REF!</v>
      </c>
      <c r="AC88" s="54" t="str">
        <f t="shared" si="20"/>
        <v>#REF!</v>
      </c>
      <c r="AD88" s="54" t="str">
        <f t="shared" si="21"/>
        <v>#REF!</v>
      </c>
      <c r="AE88" s="60"/>
    </row>
    <row r="89">
      <c r="A89" s="79"/>
      <c r="B89" s="1"/>
      <c r="C89" s="1"/>
      <c r="D89" s="1"/>
      <c r="E89" s="1"/>
      <c r="F89" s="1"/>
      <c r="G89" s="1"/>
      <c r="H89" s="1"/>
      <c r="I89" s="1"/>
      <c r="J89" s="1"/>
      <c r="K89" s="1"/>
      <c r="L89" s="1"/>
      <c r="M89" s="1"/>
      <c r="N89" s="1"/>
      <c r="O89" s="1"/>
      <c r="P89" s="1"/>
      <c r="Q89" s="1"/>
      <c r="R89" s="1"/>
      <c r="S89" s="1"/>
      <c r="T89" s="1"/>
      <c r="U89" s="1"/>
      <c r="V89" s="1"/>
      <c r="W89" s="1"/>
      <c r="X89" s="1"/>
      <c r="Y89" s="8"/>
      <c r="AA89" s="52">
        <v>33.0</v>
      </c>
      <c r="AB89" s="54" t="str">
        <f t="shared" si="19"/>
        <v>#REF!</v>
      </c>
      <c r="AC89" s="54" t="str">
        <f t="shared" si="20"/>
        <v>#REF!</v>
      </c>
      <c r="AD89" s="54" t="str">
        <f t="shared" si="21"/>
        <v>#REF!</v>
      </c>
      <c r="AE89" s="60"/>
    </row>
    <row r="90">
      <c r="A90" s="79"/>
      <c r="B90" s="1"/>
      <c r="C90" s="1"/>
      <c r="D90" s="1"/>
      <c r="E90" s="1"/>
      <c r="F90" s="1"/>
      <c r="G90" s="1"/>
      <c r="H90" s="1"/>
      <c r="I90" s="1"/>
      <c r="J90" s="1"/>
      <c r="K90" s="1"/>
      <c r="L90" s="1"/>
      <c r="M90" s="1"/>
      <c r="N90" s="1"/>
      <c r="O90" s="1"/>
      <c r="P90" s="1"/>
      <c r="Q90" s="1"/>
      <c r="R90" s="132"/>
      <c r="S90" s="1"/>
      <c r="T90" s="1"/>
      <c r="U90" s="1"/>
      <c r="V90" s="1"/>
      <c r="W90" s="1"/>
      <c r="X90" s="1"/>
      <c r="Y90" s="8"/>
      <c r="AA90" s="52">
        <v>34.0</v>
      </c>
      <c r="AB90" s="54" t="str">
        <f t="shared" si="19"/>
        <v>#REF!</v>
      </c>
      <c r="AC90" s="54" t="str">
        <f t="shared" si="20"/>
        <v>#REF!</v>
      </c>
      <c r="AD90" s="54" t="str">
        <f t="shared" si="21"/>
        <v>#REF!</v>
      </c>
      <c r="AE90" s="60"/>
    </row>
    <row r="91">
      <c r="A91" s="79"/>
      <c r="B91" s="1"/>
      <c r="C91" s="1"/>
      <c r="D91" s="1"/>
      <c r="E91" s="1"/>
      <c r="F91" s="1"/>
      <c r="G91" s="1"/>
      <c r="H91" s="1"/>
      <c r="I91" s="1"/>
      <c r="J91" s="1"/>
      <c r="K91" s="1"/>
      <c r="L91" s="1"/>
      <c r="M91" s="1"/>
      <c r="N91" s="1"/>
      <c r="O91" s="1"/>
      <c r="P91" s="1"/>
      <c r="Q91" s="1"/>
      <c r="R91" s="1"/>
      <c r="S91" s="1"/>
      <c r="T91" s="1"/>
      <c r="U91" s="1"/>
      <c r="V91" s="1"/>
      <c r="W91" s="1"/>
      <c r="X91" s="1"/>
      <c r="Y91" s="8"/>
      <c r="AA91" s="52">
        <v>35.0</v>
      </c>
      <c r="AB91" s="54" t="str">
        <f t="shared" si="19"/>
        <v>#REF!</v>
      </c>
      <c r="AC91" s="54" t="str">
        <f t="shared" si="20"/>
        <v>#REF!</v>
      </c>
      <c r="AD91" s="54" t="str">
        <f t="shared" si="21"/>
        <v>#REF!</v>
      </c>
      <c r="AE91" s="60"/>
    </row>
    <row r="92">
      <c r="A92" s="1"/>
      <c r="B92" s="1"/>
      <c r="C92" s="1"/>
      <c r="D92" s="1"/>
      <c r="E92" s="1"/>
      <c r="F92" s="1"/>
      <c r="G92" s="1"/>
      <c r="H92" s="1"/>
      <c r="I92" s="1"/>
      <c r="J92" s="1"/>
      <c r="K92" s="1"/>
      <c r="L92" s="1"/>
      <c r="M92" s="1"/>
      <c r="N92" s="1"/>
      <c r="O92" s="1"/>
      <c r="P92" s="1"/>
      <c r="Q92" s="1"/>
      <c r="R92" s="1"/>
      <c r="S92" s="1"/>
      <c r="T92" s="1"/>
      <c r="U92" s="1"/>
      <c r="V92" s="1"/>
      <c r="W92" s="1"/>
      <c r="X92" s="1"/>
      <c r="Y92" s="8"/>
      <c r="AA92" s="52">
        <v>36.0</v>
      </c>
      <c r="AB92" s="54" t="str">
        <f t="shared" si="19"/>
        <v>#REF!</v>
      </c>
      <c r="AC92" s="54" t="str">
        <f t="shared" si="20"/>
        <v>#REF!</v>
      </c>
      <c r="AD92" s="54" t="str">
        <f t="shared" si="21"/>
        <v>#REF!</v>
      </c>
      <c r="AE92" s="60"/>
    </row>
    <row r="93">
      <c r="A93" s="1"/>
      <c r="B93" s="1"/>
      <c r="C93" s="1"/>
      <c r="D93" s="1"/>
      <c r="E93" s="1"/>
      <c r="F93" s="1"/>
      <c r="G93" s="1"/>
      <c r="H93" s="1"/>
      <c r="I93" s="1"/>
      <c r="J93" s="1"/>
      <c r="K93" s="1"/>
      <c r="L93" s="1"/>
      <c r="M93" s="1"/>
      <c r="N93" s="1"/>
      <c r="O93" s="1"/>
      <c r="P93" s="1"/>
      <c r="Q93" s="1"/>
      <c r="R93" s="1"/>
      <c r="S93" s="1"/>
      <c r="T93" s="1"/>
      <c r="U93" s="1"/>
      <c r="V93" s="1"/>
      <c r="W93" s="135"/>
      <c r="X93" s="1"/>
      <c r="Y93" s="8"/>
      <c r="Z93" s="59" t="s">
        <v>158</v>
      </c>
      <c r="AA93" s="52">
        <v>37.0</v>
      </c>
      <c r="AB93" s="53">
        <f t="shared" ref="AB93:AB104" si="22">$E$39/12</f>
        <v>0</v>
      </c>
      <c r="AC93" s="54" t="str">
        <f t="shared" si="20"/>
        <v>#REF!</v>
      </c>
      <c r="AD93" s="54" t="str">
        <f t="shared" si="21"/>
        <v>#REF!</v>
      </c>
      <c r="AE93" s="60"/>
    </row>
    <row r="94">
      <c r="A94" s="1"/>
      <c r="B94" s="1"/>
      <c r="C94" s="1"/>
      <c r="D94" s="1"/>
      <c r="E94" s="1"/>
      <c r="F94" s="1"/>
      <c r="G94" s="1"/>
      <c r="H94" s="1"/>
      <c r="I94" s="1"/>
      <c r="J94" s="1"/>
      <c r="K94" s="1"/>
      <c r="L94" s="1"/>
      <c r="M94" s="1"/>
      <c r="N94" s="1"/>
      <c r="O94" s="1"/>
      <c r="P94" s="1"/>
      <c r="Q94" s="1"/>
      <c r="R94" s="1"/>
      <c r="S94" s="1"/>
      <c r="T94" s="1"/>
      <c r="U94" s="1"/>
      <c r="V94" s="1"/>
      <c r="W94" s="1"/>
      <c r="X94" s="1"/>
      <c r="Y94" s="8"/>
      <c r="AA94" s="52">
        <v>38.0</v>
      </c>
      <c r="AB94" s="53">
        <f t="shared" si="22"/>
        <v>0</v>
      </c>
      <c r="AC94" s="54" t="str">
        <f t="shared" si="20"/>
        <v>#REF!</v>
      </c>
      <c r="AD94" s="54" t="str">
        <f t="shared" si="21"/>
        <v>#REF!</v>
      </c>
      <c r="AE94" s="60"/>
    </row>
    <row r="95">
      <c r="A95" s="1"/>
      <c r="B95" s="1"/>
      <c r="C95" s="1"/>
      <c r="D95" s="1"/>
      <c r="E95" s="1"/>
      <c r="F95" s="1"/>
      <c r="G95" s="1"/>
      <c r="H95" s="1"/>
      <c r="I95" s="1"/>
      <c r="J95" s="1"/>
      <c r="K95" s="1"/>
      <c r="L95" s="1"/>
      <c r="M95" s="1"/>
      <c r="N95" s="1"/>
      <c r="O95" s="1"/>
      <c r="P95" s="1"/>
      <c r="Q95" s="1"/>
      <c r="R95" s="1"/>
      <c r="S95" s="1"/>
      <c r="T95" s="1"/>
      <c r="U95" s="1"/>
      <c r="V95" s="1"/>
      <c r="W95" s="8"/>
      <c r="X95" s="1"/>
      <c r="Y95" s="8"/>
      <c r="AA95" s="52">
        <v>39.0</v>
      </c>
      <c r="AB95" s="53">
        <f t="shared" si="22"/>
        <v>0</v>
      </c>
      <c r="AC95" s="54" t="str">
        <f t="shared" si="20"/>
        <v>#REF!</v>
      </c>
      <c r="AD95" s="54" t="str">
        <f t="shared" si="21"/>
        <v>#REF!</v>
      </c>
      <c r="AE95" s="60"/>
    </row>
    <row r="96">
      <c r="A96" s="1"/>
      <c r="B96" s="1"/>
      <c r="C96" s="1"/>
      <c r="D96" s="1"/>
      <c r="E96" s="1"/>
      <c r="F96" s="1"/>
      <c r="G96" s="1"/>
      <c r="H96" s="1"/>
      <c r="I96" s="1"/>
      <c r="J96" s="1"/>
      <c r="K96" s="1"/>
      <c r="L96" s="1"/>
      <c r="M96" s="1"/>
      <c r="N96" s="1"/>
      <c r="O96" s="1"/>
      <c r="P96" s="1"/>
      <c r="Q96" s="1"/>
      <c r="R96" s="132"/>
      <c r="S96" s="1"/>
      <c r="T96" s="1"/>
      <c r="U96" s="1"/>
      <c r="V96" s="1"/>
      <c r="W96" s="8"/>
      <c r="X96" s="1"/>
      <c r="Y96" s="8"/>
      <c r="AA96" s="52">
        <v>40.0</v>
      </c>
      <c r="AB96" s="53">
        <f t="shared" si="22"/>
        <v>0</v>
      </c>
      <c r="AC96" s="54" t="str">
        <f t="shared" si="20"/>
        <v>#REF!</v>
      </c>
      <c r="AD96" s="54" t="str">
        <f t="shared" si="21"/>
        <v>#REF!</v>
      </c>
      <c r="AE96" s="60"/>
    </row>
    <row r="97">
      <c r="A97" s="1"/>
      <c r="B97" s="1"/>
      <c r="C97" s="1"/>
      <c r="D97" s="1"/>
      <c r="E97" s="1"/>
      <c r="F97" s="1"/>
      <c r="G97" s="1"/>
      <c r="H97" s="1"/>
      <c r="I97" s="1"/>
      <c r="J97" s="1"/>
      <c r="K97" s="1"/>
      <c r="L97" s="1"/>
      <c r="M97" s="1"/>
      <c r="N97" s="1"/>
      <c r="O97" s="1"/>
      <c r="P97" s="1"/>
      <c r="Q97" s="1"/>
      <c r="R97" s="1"/>
      <c r="S97" s="1"/>
      <c r="T97" s="1"/>
      <c r="U97" s="1"/>
      <c r="V97" s="1"/>
      <c r="W97" s="8"/>
      <c r="X97" s="1"/>
      <c r="Y97" s="8"/>
      <c r="AA97" s="52">
        <v>41.0</v>
      </c>
      <c r="AB97" s="53">
        <f t="shared" si="22"/>
        <v>0</v>
      </c>
      <c r="AC97" s="54" t="str">
        <f t="shared" si="20"/>
        <v>#REF!</v>
      </c>
      <c r="AD97" s="54" t="str">
        <f t="shared" si="21"/>
        <v>#REF!</v>
      </c>
      <c r="AE97" s="60"/>
    </row>
    <row r="98">
      <c r="A98" s="1"/>
      <c r="B98" s="1"/>
      <c r="C98" s="1"/>
      <c r="D98" s="1"/>
      <c r="E98" s="1"/>
      <c r="F98" s="1"/>
      <c r="G98" s="1"/>
      <c r="H98" s="1"/>
      <c r="I98" s="1"/>
      <c r="J98" s="1"/>
      <c r="K98" s="1"/>
      <c r="L98" s="1"/>
      <c r="M98" s="1"/>
      <c r="N98" s="1"/>
      <c r="O98" s="1"/>
      <c r="P98" s="1"/>
      <c r="Q98" s="1"/>
      <c r="R98" s="1"/>
      <c r="S98" s="1"/>
      <c r="T98" s="1"/>
      <c r="U98" s="1"/>
      <c r="V98" s="1"/>
      <c r="W98" s="8"/>
      <c r="X98" s="1"/>
      <c r="Y98" s="8"/>
      <c r="AA98" s="52">
        <v>42.0</v>
      </c>
      <c r="AB98" s="53">
        <f t="shared" si="22"/>
        <v>0</v>
      </c>
      <c r="AC98" s="54" t="str">
        <f t="shared" si="20"/>
        <v>#REF!</v>
      </c>
      <c r="AD98" s="54" t="str">
        <f t="shared" si="21"/>
        <v>#REF!</v>
      </c>
      <c r="AE98" s="60"/>
    </row>
    <row r="99">
      <c r="A99" s="1"/>
      <c r="B99" s="1"/>
      <c r="C99" s="1"/>
      <c r="D99" s="1"/>
      <c r="E99" s="1"/>
      <c r="F99" s="1"/>
      <c r="G99" s="1"/>
      <c r="H99" s="1"/>
      <c r="I99" s="1"/>
      <c r="J99" s="1"/>
      <c r="K99" s="1"/>
      <c r="L99" s="1"/>
      <c r="M99" s="1"/>
      <c r="N99" s="1"/>
      <c r="O99" s="1"/>
      <c r="P99" s="1"/>
      <c r="Q99" s="1"/>
      <c r="R99" s="1"/>
      <c r="S99" s="1"/>
      <c r="T99" s="1"/>
      <c r="U99" s="1"/>
      <c r="V99" s="1"/>
      <c r="W99" s="1"/>
      <c r="X99" s="1"/>
      <c r="Y99" s="8"/>
      <c r="AA99" s="52">
        <v>43.0</v>
      </c>
      <c r="AB99" s="53">
        <f t="shared" si="22"/>
        <v>0</v>
      </c>
      <c r="AC99" s="54" t="str">
        <f t="shared" si="20"/>
        <v>#REF!</v>
      </c>
      <c r="AD99" s="54" t="str">
        <f t="shared" si="21"/>
        <v>#REF!</v>
      </c>
      <c r="AE99" s="60"/>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8"/>
      <c r="AA100" s="52">
        <v>44.0</v>
      </c>
      <c r="AB100" s="53">
        <f t="shared" si="22"/>
        <v>0</v>
      </c>
      <c r="AC100" s="54" t="str">
        <f t="shared" si="20"/>
        <v>#REF!</v>
      </c>
      <c r="AD100" s="54" t="str">
        <f t="shared" si="21"/>
        <v>#REF!</v>
      </c>
      <c r="AE100" s="60"/>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8"/>
      <c r="AA101" s="52">
        <v>45.0</v>
      </c>
      <c r="AB101" s="53">
        <f t="shared" si="22"/>
        <v>0</v>
      </c>
      <c r="AC101" s="54" t="str">
        <f t="shared" si="20"/>
        <v>#REF!</v>
      </c>
      <c r="AD101" s="54" t="str">
        <f t="shared" si="21"/>
        <v>#REF!</v>
      </c>
      <c r="AE101" s="60"/>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8"/>
      <c r="AA102" s="52">
        <v>46.0</v>
      </c>
      <c r="AB102" s="53">
        <f t="shared" si="22"/>
        <v>0</v>
      </c>
      <c r="AC102" s="54" t="str">
        <f t="shared" si="20"/>
        <v>#REF!</v>
      </c>
      <c r="AD102" s="54" t="str">
        <f t="shared" si="21"/>
        <v>#REF!</v>
      </c>
      <c r="AE102" s="60"/>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8"/>
      <c r="AA103" s="52">
        <v>47.0</v>
      </c>
      <c r="AB103" s="53">
        <f t="shared" si="22"/>
        <v>0</v>
      </c>
      <c r="AC103" s="54" t="str">
        <f t="shared" si="20"/>
        <v>#REF!</v>
      </c>
      <c r="AD103" s="54" t="str">
        <f t="shared" si="21"/>
        <v>#REF!</v>
      </c>
      <c r="AE103" s="60"/>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8"/>
      <c r="AA104" s="52">
        <v>48.0</v>
      </c>
      <c r="AB104" s="53">
        <f t="shared" si="22"/>
        <v>0</v>
      </c>
      <c r="AC104" s="54" t="str">
        <f t="shared" si="20"/>
        <v>#REF!</v>
      </c>
      <c r="AD104" s="54" t="str">
        <f t="shared" si="21"/>
        <v>#REF!</v>
      </c>
      <c r="AE104" s="60"/>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8"/>
      <c r="Z105" s="59" t="s">
        <v>159</v>
      </c>
      <c r="AA105" s="52">
        <v>49.0</v>
      </c>
      <c r="AB105" s="54" t="str">
        <f t="shared" ref="AB105:AB152" si="23">#REF!/12</f>
        <v>#REF!</v>
      </c>
      <c r="AC105" s="54" t="str">
        <f t="shared" si="20"/>
        <v>#REF!</v>
      </c>
      <c r="AD105" s="54" t="str">
        <f t="shared" si="21"/>
        <v>#REF!</v>
      </c>
      <c r="AE105" s="60"/>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8"/>
      <c r="AA106" s="52">
        <v>50.0</v>
      </c>
      <c r="AB106" s="54" t="str">
        <f t="shared" si="23"/>
        <v>#REF!</v>
      </c>
      <c r="AC106" s="54" t="str">
        <f t="shared" si="20"/>
        <v>#REF!</v>
      </c>
      <c r="AD106" s="54" t="str">
        <f t="shared" si="21"/>
        <v>#REF!</v>
      </c>
      <c r="AE106" s="60"/>
    </row>
    <row r="107">
      <c r="A107" s="1"/>
      <c r="B107" s="1"/>
      <c r="C107" s="1"/>
      <c r="D107" s="1"/>
      <c r="E107" s="1"/>
      <c r="F107" s="1"/>
      <c r="G107" s="1"/>
      <c r="H107" s="1"/>
      <c r="I107" s="1"/>
      <c r="J107" s="1"/>
      <c r="K107" s="1"/>
      <c r="L107" s="1"/>
      <c r="M107" s="1"/>
      <c r="N107" s="1"/>
      <c r="O107" s="1"/>
      <c r="P107" s="135"/>
      <c r="Q107" s="1"/>
      <c r="R107" s="1"/>
      <c r="S107" s="1"/>
      <c r="T107" s="1"/>
      <c r="U107" s="1"/>
      <c r="V107" s="1"/>
      <c r="W107" s="1"/>
      <c r="X107" s="1"/>
      <c r="Y107" s="8"/>
      <c r="AA107" s="52">
        <v>51.0</v>
      </c>
      <c r="AB107" s="54" t="str">
        <f t="shared" si="23"/>
        <v>#REF!</v>
      </c>
      <c r="AC107" s="54" t="str">
        <f t="shared" si="20"/>
        <v>#REF!</v>
      </c>
      <c r="AD107" s="54" t="str">
        <f t="shared" si="21"/>
        <v>#REF!</v>
      </c>
      <c r="AE107" s="60"/>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8"/>
      <c r="AA108" s="52">
        <v>52.0</v>
      </c>
      <c r="AB108" s="54" t="str">
        <f t="shared" si="23"/>
        <v>#REF!</v>
      </c>
      <c r="AC108" s="54" t="str">
        <f t="shared" si="20"/>
        <v>#REF!</v>
      </c>
      <c r="AD108" s="54" t="str">
        <f t="shared" si="21"/>
        <v>#REF!</v>
      </c>
      <c r="AE108" s="60"/>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8"/>
      <c r="AA109" s="52">
        <v>53.0</v>
      </c>
      <c r="AB109" s="54" t="str">
        <f t="shared" si="23"/>
        <v>#REF!</v>
      </c>
      <c r="AC109" s="54" t="str">
        <f t="shared" si="20"/>
        <v>#REF!</v>
      </c>
      <c r="AD109" s="54" t="str">
        <f t="shared" si="21"/>
        <v>#REF!</v>
      </c>
      <c r="AE109" s="60"/>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8"/>
      <c r="AA110" s="52">
        <v>54.0</v>
      </c>
      <c r="AB110" s="54" t="str">
        <f t="shared" si="23"/>
        <v>#REF!</v>
      </c>
      <c r="AC110" s="54" t="str">
        <f t="shared" si="20"/>
        <v>#REF!</v>
      </c>
      <c r="AD110" s="54" t="str">
        <f t="shared" si="21"/>
        <v>#REF!</v>
      </c>
      <c r="AE110" s="60"/>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8"/>
      <c r="AA111" s="52">
        <v>55.0</v>
      </c>
      <c r="AB111" s="54" t="str">
        <f t="shared" si="23"/>
        <v>#REF!</v>
      </c>
      <c r="AC111" s="54" t="str">
        <f t="shared" si="20"/>
        <v>#REF!</v>
      </c>
      <c r="AD111" s="54" t="str">
        <f t="shared" si="21"/>
        <v>#REF!</v>
      </c>
      <c r="AE111" s="60"/>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8"/>
      <c r="AA112" s="52">
        <v>56.0</v>
      </c>
      <c r="AB112" s="54" t="str">
        <f t="shared" si="23"/>
        <v>#REF!</v>
      </c>
      <c r="AC112" s="54" t="str">
        <f t="shared" si="20"/>
        <v>#REF!</v>
      </c>
      <c r="AD112" s="54" t="str">
        <f t="shared" si="21"/>
        <v>#REF!</v>
      </c>
      <c r="AE112" s="60"/>
    </row>
    <row r="113">
      <c r="A113" s="1"/>
      <c r="B113" s="1"/>
      <c r="C113" s="1"/>
      <c r="D113" s="104"/>
      <c r="E113" s="1"/>
      <c r="F113" s="1"/>
      <c r="G113" s="1"/>
      <c r="H113" s="1"/>
      <c r="I113" s="1"/>
      <c r="J113" s="1"/>
      <c r="K113" s="1"/>
      <c r="L113" s="1"/>
      <c r="M113" s="1"/>
      <c r="N113" s="1"/>
      <c r="O113" s="1"/>
      <c r="P113" s="1"/>
      <c r="Q113" s="1"/>
      <c r="R113" s="1"/>
      <c r="S113" s="1"/>
      <c r="T113" s="1"/>
      <c r="U113" s="1"/>
      <c r="V113" s="1"/>
      <c r="W113" s="1"/>
      <c r="X113" s="1"/>
      <c r="Y113" s="8"/>
      <c r="AA113" s="52">
        <v>57.0</v>
      </c>
      <c r="AB113" s="54" t="str">
        <f t="shared" si="23"/>
        <v>#REF!</v>
      </c>
      <c r="AC113" s="54" t="str">
        <f t="shared" si="20"/>
        <v>#REF!</v>
      </c>
      <c r="AD113" s="54" t="str">
        <f t="shared" si="21"/>
        <v>#REF!</v>
      </c>
      <c r="AE113" s="60"/>
    </row>
    <row r="114">
      <c r="A114" s="1"/>
      <c r="B114" s="1"/>
      <c r="C114" s="1"/>
      <c r="D114" s="80"/>
      <c r="E114" s="1"/>
      <c r="F114" s="1"/>
      <c r="G114" s="1"/>
      <c r="H114" s="1"/>
      <c r="I114" s="1"/>
      <c r="J114" s="1"/>
      <c r="K114" s="1"/>
      <c r="L114" s="1"/>
      <c r="M114" s="1"/>
      <c r="N114" s="1"/>
      <c r="O114" s="1"/>
      <c r="P114" s="1"/>
      <c r="Q114" s="1"/>
      <c r="R114" s="1"/>
      <c r="S114" s="1"/>
      <c r="T114" s="1"/>
      <c r="U114" s="1"/>
      <c r="V114" s="1"/>
      <c r="W114" s="1"/>
      <c r="X114" s="1"/>
      <c r="Y114" s="8"/>
      <c r="AA114" s="52">
        <v>58.0</v>
      </c>
      <c r="AB114" s="54" t="str">
        <f t="shared" si="23"/>
        <v>#REF!</v>
      </c>
      <c r="AC114" s="54" t="str">
        <f t="shared" si="20"/>
        <v>#REF!</v>
      </c>
      <c r="AD114" s="54" t="str">
        <f t="shared" si="21"/>
        <v>#REF!</v>
      </c>
      <c r="AE114" s="60"/>
    </row>
    <row r="115">
      <c r="A115" s="1"/>
      <c r="B115" s="1"/>
      <c r="C115" s="1"/>
      <c r="D115" s="135"/>
      <c r="E115" s="1"/>
      <c r="F115" s="1"/>
      <c r="G115" s="1"/>
      <c r="H115" s="1"/>
      <c r="I115" s="1"/>
      <c r="J115" s="1"/>
      <c r="K115" s="1"/>
      <c r="L115" s="1"/>
      <c r="M115" s="1"/>
      <c r="N115" s="1"/>
      <c r="O115" s="1"/>
      <c r="P115" s="1"/>
      <c r="Q115" s="1"/>
      <c r="R115" s="1"/>
      <c r="S115" s="1"/>
      <c r="T115" s="1"/>
      <c r="U115" s="1"/>
      <c r="V115" s="1"/>
      <c r="W115" s="1"/>
      <c r="X115" s="1"/>
      <c r="Y115" s="8"/>
      <c r="AA115" s="52">
        <v>59.0</v>
      </c>
      <c r="AB115" s="54" t="str">
        <f t="shared" si="23"/>
        <v>#REF!</v>
      </c>
      <c r="AC115" s="54" t="str">
        <f t="shared" si="20"/>
        <v>#REF!</v>
      </c>
      <c r="AD115" s="54" t="str">
        <f t="shared" si="21"/>
        <v>#REF!</v>
      </c>
      <c r="AE115" s="60"/>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8"/>
      <c r="AA116" s="52">
        <v>60.0</v>
      </c>
      <c r="AB116" s="54" t="str">
        <f t="shared" si="23"/>
        <v>#REF!</v>
      </c>
      <c r="AC116" s="54" t="str">
        <f t="shared" si="20"/>
        <v>#REF!</v>
      </c>
      <c r="AD116" s="54" t="str">
        <f t="shared" si="21"/>
        <v>#REF!</v>
      </c>
      <c r="AE116" s="60"/>
    </row>
    <row r="117">
      <c r="A117" s="1"/>
      <c r="B117" s="1"/>
      <c r="C117" s="1"/>
      <c r="D117" s="8"/>
      <c r="E117" s="1"/>
      <c r="F117" s="1"/>
      <c r="G117" s="1"/>
      <c r="H117" s="1"/>
      <c r="I117" s="1"/>
      <c r="J117" s="1"/>
      <c r="K117" s="1"/>
      <c r="L117" s="1"/>
      <c r="M117" s="1"/>
      <c r="N117" s="1"/>
      <c r="O117" s="1"/>
      <c r="P117" s="1"/>
      <c r="Q117" s="1"/>
      <c r="R117" s="1"/>
      <c r="S117" s="1"/>
      <c r="T117" s="1"/>
      <c r="U117" s="1"/>
      <c r="V117" s="1"/>
      <c r="W117" s="1"/>
      <c r="X117" s="1"/>
      <c r="Y117" s="8"/>
      <c r="Z117" s="59" t="s">
        <v>160</v>
      </c>
      <c r="AA117" s="52">
        <v>61.0</v>
      </c>
      <c r="AB117" s="54" t="str">
        <f t="shared" si="23"/>
        <v>#REF!</v>
      </c>
      <c r="AC117" s="54" t="str">
        <f t="shared" si="20"/>
        <v>#REF!</v>
      </c>
      <c r="AD117" s="54" t="str">
        <f t="shared" si="21"/>
        <v>#REF!</v>
      </c>
      <c r="AE117" s="60"/>
    </row>
    <row r="118">
      <c r="A118" s="1"/>
      <c r="B118" s="1"/>
      <c r="C118" s="1"/>
      <c r="D118" s="8"/>
      <c r="E118" s="1"/>
      <c r="F118" s="1"/>
      <c r="G118" s="1"/>
      <c r="H118" s="1"/>
      <c r="I118" s="1"/>
      <c r="J118" s="1"/>
      <c r="K118" s="1"/>
      <c r="L118" s="1"/>
      <c r="M118" s="1"/>
      <c r="N118" s="1"/>
      <c r="O118" s="1"/>
      <c r="P118" s="1"/>
      <c r="Q118" s="1"/>
      <c r="R118" s="1"/>
      <c r="S118" s="1"/>
      <c r="T118" s="1"/>
      <c r="U118" s="1"/>
      <c r="V118" s="1"/>
      <c r="W118" s="1"/>
      <c r="X118" s="1"/>
      <c r="Y118" s="8"/>
      <c r="AA118" s="52">
        <v>62.0</v>
      </c>
      <c r="AB118" s="54" t="str">
        <f t="shared" si="23"/>
        <v>#REF!</v>
      </c>
      <c r="AC118" s="54" t="str">
        <f t="shared" si="20"/>
        <v>#REF!</v>
      </c>
      <c r="AD118" s="54" t="str">
        <f t="shared" si="21"/>
        <v>#REF!</v>
      </c>
      <c r="AE118" s="60"/>
    </row>
    <row r="119">
      <c r="A119" s="1"/>
      <c r="B119" s="1"/>
      <c r="C119" s="1"/>
      <c r="D119" s="8"/>
      <c r="E119" s="1"/>
      <c r="F119" s="1"/>
      <c r="G119" s="1"/>
      <c r="H119" s="1"/>
      <c r="I119" s="1"/>
      <c r="J119" s="1"/>
      <c r="K119" s="1"/>
      <c r="L119" s="1"/>
      <c r="M119" s="1"/>
      <c r="N119" s="1"/>
      <c r="O119" s="1"/>
      <c r="P119" s="1"/>
      <c r="Q119" s="1"/>
      <c r="R119" s="1"/>
      <c r="S119" s="1"/>
      <c r="T119" s="1"/>
      <c r="U119" s="1"/>
      <c r="V119" s="1"/>
      <c r="W119" s="1"/>
      <c r="X119" s="1"/>
      <c r="Y119" s="8"/>
      <c r="AA119" s="52">
        <v>63.0</v>
      </c>
      <c r="AB119" s="54" t="str">
        <f t="shared" si="23"/>
        <v>#REF!</v>
      </c>
      <c r="AC119" s="54" t="str">
        <f t="shared" si="20"/>
        <v>#REF!</v>
      </c>
      <c r="AD119" s="54" t="str">
        <f t="shared" si="21"/>
        <v>#REF!</v>
      </c>
      <c r="AE119" s="60"/>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8"/>
      <c r="AA120" s="52">
        <v>64.0</v>
      </c>
      <c r="AB120" s="54" t="str">
        <f t="shared" si="23"/>
        <v>#REF!</v>
      </c>
      <c r="AC120" s="54" t="str">
        <f t="shared" si="20"/>
        <v>#REF!</v>
      </c>
      <c r="AD120" s="54" t="str">
        <f t="shared" si="21"/>
        <v>#REF!</v>
      </c>
      <c r="AE120" s="60"/>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8"/>
      <c r="AA121" s="52">
        <v>65.0</v>
      </c>
      <c r="AB121" s="54" t="str">
        <f t="shared" si="23"/>
        <v>#REF!</v>
      </c>
      <c r="AC121" s="54" t="str">
        <f t="shared" si="20"/>
        <v>#REF!</v>
      </c>
      <c r="AD121" s="54" t="str">
        <f t="shared" si="21"/>
        <v>#REF!</v>
      </c>
      <c r="AE121" s="60"/>
    </row>
    <row r="122">
      <c r="A122" s="1"/>
      <c r="B122" s="1"/>
      <c r="C122" s="1"/>
      <c r="D122" s="80"/>
      <c r="E122" s="1"/>
      <c r="F122" s="1"/>
      <c r="G122" s="1"/>
      <c r="H122" s="1"/>
      <c r="I122" s="1"/>
      <c r="J122" s="1"/>
      <c r="K122" s="1"/>
      <c r="L122" s="1"/>
      <c r="M122" s="1"/>
      <c r="N122" s="1"/>
      <c r="O122" s="1"/>
      <c r="P122" s="1"/>
      <c r="Q122" s="1"/>
      <c r="R122" s="1"/>
      <c r="S122" s="1"/>
      <c r="T122" s="1"/>
      <c r="U122" s="1"/>
      <c r="V122" s="1"/>
      <c r="W122" s="1"/>
      <c r="X122" s="1"/>
      <c r="Y122" s="8"/>
      <c r="AA122" s="52">
        <v>66.0</v>
      </c>
      <c r="AB122" s="54" t="str">
        <f t="shared" si="23"/>
        <v>#REF!</v>
      </c>
      <c r="AC122" s="54" t="str">
        <f t="shared" si="20"/>
        <v>#REF!</v>
      </c>
      <c r="AD122" s="54" t="str">
        <f t="shared" si="21"/>
        <v>#REF!</v>
      </c>
      <c r="AE122" s="60"/>
    </row>
    <row r="123">
      <c r="A123" s="1"/>
      <c r="B123" s="1"/>
      <c r="C123" s="133"/>
      <c r="D123" s="80"/>
      <c r="E123" s="1"/>
      <c r="F123" s="1"/>
      <c r="G123" s="1"/>
      <c r="H123" s="1"/>
      <c r="I123" s="1"/>
      <c r="J123" s="1"/>
      <c r="K123" s="1"/>
      <c r="L123" s="1"/>
      <c r="M123" s="1"/>
      <c r="N123" s="1"/>
      <c r="O123" s="1"/>
      <c r="P123" s="1"/>
      <c r="Q123" s="1"/>
      <c r="R123" s="1"/>
      <c r="S123" s="1"/>
      <c r="T123" s="1"/>
      <c r="U123" s="1"/>
      <c r="V123" s="1"/>
      <c r="W123" s="1"/>
      <c r="X123" s="1"/>
      <c r="Y123" s="8"/>
      <c r="AA123" s="52">
        <v>67.0</v>
      </c>
      <c r="AB123" s="54" t="str">
        <f t="shared" si="23"/>
        <v>#REF!</v>
      </c>
      <c r="AC123" s="54" t="str">
        <f t="shared" si="20"/>
        <v>#REF!</v>
      </c>
      <c r="AD123" s="54" t="str">
        <f t="shared" si="21"/>
        <v>#REF!</v>
      </c>
      <c r="AE123" s="60"/>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8"/>
      <c r="AA124" s="52">
        <v>68.0</v>
      </c>
      <c r="AB124" s="54" t="str">
        <f t="shared" si="23"/>
        <v>#REF!</v>
      </c>
      <c r="AC124" s="54" t="str">
        <f t="shared" si="20"/>
        <v>#REF!</v>
      </c>
      <c r="AD124" s="54" t="str">
        <f t="shared" si="21"/>
        <v>#REF!</v>
      </c>
      <c r="AE124" s="60"/>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8"/>
      <c r="AA125" s="52">
        <v>69.0</v>
      </c>
      <c r="AB125" s="54" t="str">
        <f t="shared" si="23"/>
        <v>#REF!</v>
      </c>
      <c r="AC125" s="54" t="str">
        <f t="shared" si="20"/>
        <v>#REF!</v>
      </c>
      <c r="AD125" s="54" t="str">
        <f t="shared" si="21"/>
        <v>#REF!</v>
      </c>
      <c r="AE125" s="60"/>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8"/>
      <c r="AA126" s="52">
        <v>70.0</v>
      </c>
      <c r="AB126" s="54" t="str">
        <f t="shared" si="23"/>
        <v>#REF!</v>
      </c>
      <c r="AC126" s="54" t="str">
        <f t="shared" si="20"/>
        <v>#REF!</v>
      </c>
      <c r="AD126" s="54" t="str">
        <f t="shared" si="21"/>
        <v>#REF!</v>
      </c>
      <c r="AE126" s="60"/>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8"/>
      <c r="AA127" s="52">
        <v>71.0</v>
      </c>
      <c r="AB127" s="54" t="str">
        <f t="shared" si="23"/>
        <v>#REF!</v>
      </c>
      <c r="AC127" s="54" t="str">
        <f t="shared" si="20"/>
        <v>#REF!</v>
      </c>
      <c r="AD127" s="54" t="str">
        <f t="shared" si="21"/>
        <v>#REF!</v>
      </c>
      <c r="AE127" s="60"/>
    </row>
    <row r="128">
      <c r="A128" s="1"/>
      <c r="B128" s="1"/>
      <c r="C128" s="1"/>
      <c r="D128" s="80"/>
      <c r="E128" s="1"/>
      <c r="F128" s="1"/>
      <c r="G128" s="1"/>
      <c r="H128" s="1"/>
      <c r="I128" s="1"/>
      <c r="J128" s="1"/>
      <c r="K128" s="1"/>
      <c r="L128" s="1"/>
      <c r="M128" s="1"/>
      <c r="N128" s="1"/>
      <c r="O128" s="1"/>
      <c r="P128" s="1"/>
      <c r="Q128" s="1"/>
      <c r="R128" s="1"/>
      <c r="S128" s="1"/>
      <c r="T128" s="1"/>
      <c r="U128" s="1"/>
      <c r="V128" s="1"/>
      <c r="W128" s="1"/>
      <c r="X128" s="1"/>
      <c r="Y128" s="8"/>
      <c r="AA128" s="52">
        <v>72.0</v>
      </c>
      <c r="AB128" s="54" t="str">
        <f t="shared" si="23"/>
        <v>#REF!</v>
      </c>
      <c r="AC128" s="54" t="str">
        <f t="shared" si="20"/>
        <v>#REF!</v>
      </c>
      <c r="AD128" s="54" t="str">
        <f t="shared" si="21"/>
        <v>#REF!</v>
      </c>
      <c r="AE128" s="60"/>
    </row>
    <row r="129">
      <c r="A129" s="1"/>
      <c r="B129" s="1"/>
      <c r="C129" s="1"/>
      <c r="D129" s="80"/>
      <c r="E129" s="1"/>
      <c r="F129" s="1"/>
      <c r="G129" s="1"/>
      <c r="H129" s="1"/>
      <c r="I129" s="1"/>
      <c r="J129" s="1"/>
      <c r="K129" s="1"/>
      <c r="L129" s="1"/>
      <c r="M129" s="1"/>
      <c r="N129" s="1"/>
      <c r="O129" s="1"/>
      <c r="P129" s="1"/>
      <c r="Q129" s="1"/>
      <c r="R129" s="1"/>
      <c r="S129" s="1"/>
      <c r="T129" s="1"/>
      <c r="U129" s="1"/>
      <c r="V129" s="1"/>
      <c r="W129" s="1"/>
      <c r="X129" s="1"/>
      <c r="Y129" s="8"/>
      <c r="Z129" s="59" t="s">
        <v>161</v>
      </c>
      <c r="AA129" s="52">
        <v>73.0</v>
      </c>
      <c r="AB129" s="54" t="str">
        <f t="shared" si="23"/>
        <v>#REF!</v>
      </c>
      <c r="AC129" s="54" t="str">
        <f t="shared" si="20"/>
        <v>#REF!</v>
      </c>
      <c r="AD129" s="54" t="str">
        <f t="shared" si="21"/>
        <v>#REF!</v>
      </c>
      <c r="AE129" s="60"/>
    </row>
    <row r="130">
      <c r="A130" s="1"/>
      <c r="B130" s="79"/>
      <c r="C130" s="79"/>
      <c r="D130" s="80"/>
      <c r="E130" s="1"/>
      <c r="F130" s="1"/>
      <c r="G130" s="1"/>
      <c r="H130" s="1"/>
      <c r="I130" s="1"/>
      <c r="J130" s="1"/>
      <c r="K130" s="1"/>
      <c r="L130" s="1"/>
      <c r="M130" s="1"/>
      <c r="N130" s="1"/>
      <c r="O130" s="1"/>
      <c r="P130" s="1"/>
      <c r="Q130" s="1"/>
      <c r="R130" s="1"/>
      <c r="S130" s="1"/>
      <c r="T130" s="1"/>
      <c r="U130" s="1"/>
      <c r="V130" s="1"/>
      <c r="W130" s="1"/>
      <c r="X130" s="1"/>
      <c r="Y130" s="8"/>
      <c r="AA130" s="52">
        <v>74.0</v>
      </c>
      <c r="AB130" s="54" t="str">
        <f t="shared" si="23"/>
        <v>#REF!</v>
      </c>
      <c r="AC130" s="54" t="str">
        <f t="shared" si="20"/>
        <v>#REF!</v>
      </c>
      <c r="AD130" s="54" t="str">
        <f t="shared" si="21"/>
        <v>#REF!</v>
      </c>
      <c r="AE130" s="60"/>
    </row>
    <row r="131">
      <c r="A131" s="1"/>
      <c r="B131" s="79"/>
      <c r="C131" s="79"/>
      <c r="D131" s="80"/>
      <c r="E131" s="1"/>
      <c r="F131" s="1"/>
      <c r="G131" s="1"/>
      <c r="H131" s="1"/>
      <c r="I131" s="1"/>
      <c r="J131" s="1"/>
      <c r="K131" s="1"/>
      <c r="L131" s="1"/>
      <c r="M131" s="1"/>
      <c r="N131" s="1"/>
      <c r="O131" s="1"/>
      <c r="P131" s="1"/>
      <c r="Q131" s="1"/>
      <c r="R131" s="1"/>
      <c r="S131" s="1"/>
      <c r="T131" s="1"/>
      <c r="U131" s="1"/>
      <c r="V131" s="1"/>
      <c r="W131" s="1"/>
      <c r="X131" s="1"/>
      <c r="Y131" s="8"/>
      <c r="AA131" s="52">
        <v>75.0</v>
      </c>
      <c r="AB131" s="54" t="str">
        <f t="shared" si="23"/>
        <v>#REF!</v>
      </c>
      <c r="AC131" s="54" t="str">
        <f t="shared" si="20"/>
        <v>#REF!</v>
      </c>
      <c r="AD131" s="54" t="str">
        <f t="shared" si="21"/>
        <v>#REF!</v>
      </c>
      <c r="AE131" s="60"/>
    </row>
    <row r="132">
      <c r="A132" s="1"/>
      <c r="B132" s="79"/>
      <c r="C132" s="79"/>
      <c r="D132" s="80"/>
      <c r="E132" s="1"/>
      <c r="F132" s="1"/>
      <c r="G132" s="1"/>
      <c r="H132" s="1"/>
      <c r="I132" s="1"/>
      <c r="J132" s="1"/>
      <c r="K132" s="1"/>
      <c r="L132" s="1"/>
      <c r="M132" s="1"/>
      <c r="N132" s="1"/>
      <c r="O132" s="1"/>
      <c r="P132" s="1"/>
      <c r="Q132" s="1"/>
      <c r="R132" s="1"/>
      <c r="S132" s="1"/>
      <c r="T132" s="1"/>
      <c r="U132" s="1"/>
      <c r="V132" s="1"/>
      <c r="W132" s="1"/>
      <c r="X132" s="1"/>
      <c r="Y132" s="8"/>
      <c r="AA132" s="52">
        <v>76.0</v>
      </c>
      <c r="AB132" s="54" t="str">
        <f t="shared" si="23"/>
        <v>#REF!</v>
      </c>
      <c r="AC132" s="54" t="str">
        <f t="shared" si="20"/>
        <v>#REF!</v>
      </c>
      <c r="AD132" s="54" t="str">
        <f t="shared" si="21"/>
        <v>#REF!</v>
      </c>
      <c r="AE132" s="60"/>
    </row>
    <row r="133">
      <c r="A133" s="1"/>
      <c r="B133" s="79"/>
      <c r="C133" s="79"/>
      <c r="D133" s="80"/>
      <c r="E133" s="1"/>
      <c r="F133" s="1"/>
      <c r="G133" s="1"/>
      <c r="H133" s="1"/>
      <c r="I133" s="1"/>
      <c r="J133" s="1"/>
      <c r="K133" s="1"/>
      <c r="L133" s="1"/>
      <c r="M133" s="1"/>
      <c r="N133" s="1"/>
      <c r="O133" s="1"/>
      <c r="P133" s="1"/>
      <c r="Q133" s="1"/>
      <c r="R133" s="1"/>
      <c r="S133" s="1"/>
      <c r="T133" s="1"/>
      <c r="U133" s="1"/>
      <c r="V133" s="1"/>
      <c r="W133" s="1"/>
      <c r="X133" s="1"/>
      <c r="Y133" s="8"/>
      <c r="AA133" s="52">
        <v>77.0</v>
      </c>
      <c r="AB133" s="54" t="str">
        <f t="shared" si="23"/>
        <v>#REF!</v>
      </c>
      <c r="AC133" s="54" t="str">
        <f t="shared" si="20"/>
        <v>#REF!</v>
      </c>
      <c r="AD133" s="54" t="str">
        <f t="shared" si="21"/>
        <v>#REF!</v>
      </c>
      <c r="AE133" s="60"/>
    </row>
    <row r="134">
      <c r="A134" s="1"/>
      <c r="B134" s="79"/>
      <c r="C134" s="79"/>
      <c r="D134" s="80"/>
      <c r="E134" s="1"/>
      <c r="F134" s="1"/>
      <c r="G134" s="1"/>
      <c r="H134" s="1"/>
      <c r="I134" s="1"/>
      <c r="J134" s="1"/>
      <c r="K134" s="1"/>
      <c r="L134" s="1"/>
      <c r="M134" s="1"/>
      <c r="N134" s="1"/>
      <c r="O134" s="1"/>
      <c r="P134" s="1"/>
      <c r="Q134" s="1"/>
      <c r="R134" s="1"/>
      <c r="S134" s="1"/>
      <c r="T134" s="1"/>
      <c r="U134" s="1"/>
      <c r="V134" s="1"/>
      <c r="W134" s="1"/>
      <c r="X134" s="1"/>
      <c r="Y134" s="8"/>
      <c r="AA134" s="52">
        <v>78.0</v>
      </c>
      <c r="AB134" s="54" t="str">
        <f t="shared" si="23"/>
        <v>#REF!</v>
      </c>
      <c r="AC134" s="54" t="str">
        <f t="shared" si="20"/>
        <v>#REF!</v>
      </c>
      <c r="AD134" s="54" t="str">
        <f t="shared" si="21"/>
        <v>#REF!</v>
      </c>
      <c r="AE134" s="60"/>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8"/>
      <c r="AA135" s="52">
        <v>79.0</v>
      </c>
      <c r="AB135" s="54" t="str">
        <f t="shared" si="23"/>
        <v>#REF!</v>
      </c>
      <c r="AC135" s="54" t="str">
        <f t="shared" si="20"/>
        <v>#REF!</v>
      </c>
      <c r="AD135" s="54" t="str">
        <f t="shared" si="21"/>
        <v>#REF!</v>
      </c>
      <c r="AE135" s="60"/>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8"/>
      <c r="AA136" s="52">
        <v>80.0</v>
      </c>
      <c r="AB136" s="54" t="str">
        <f t="shared" si="23"/>
        <v>#REF!</v>
      </c>
      <c r="AC136" s="54" t="str">
        <f t="shared" si="20"/>
        <v>#REF!</v>
      </c>
      <c r="AD136" s="54" t="str">
        <f t="shared" si="21"/>
        <v>#REF!</v>
      </c>
      <c r="AE136" s="60"/>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8"/>
      <c r="AA137" s="52">
        <v>81.0</v>
      </c>
      <c r="AB137" s="54" t="str">
        <f t="shared" si="23"/>
        <v>#REF!</v>
      </c>
      <c r="AC137" s="54" t="str">
        <f t="shared" si="20"/>
        <v>#REF!</v>
      </c>
      <c r="AD137" s="54" t="str">
        <f t="shared" si="21"/>
        <v>#REF!</v>
      </c>
      <c r="AE137" s="60"/>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8"/>
      <c r="AA138" s="52">
        <v>82.0</v>
      </c>
      <c r="AB138" s="54" t="str">
        <f t="shared" si="23"/>
        <v>#REF!</v>
      </c>
      <c r="AC138" s="54" t="str">
        <f t="shared" si="20"/>
        <v>#REF!</v>
      </c>
      <c r="AD138" s="54" t="str">
        <f t="shared" si="21"/>
        <v>#REF!</v>
      </c>
      <c r="AE138" s="60"/>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8"/>
      <c r="AA139" s="52">
        <v>83.0</v>
      </c>
      <c r="AB139" s="54" t="str">
        <f t="shared" si="23"/>
        <v>#REF!</v>
      </c>
      <c r="AC139" s="54" t="str">
        <f t="shared" si="20"/>
        <v>#REF!</v>
      </c>
      <c r="AD139" s="54" t="str">
        <f t="shared" si="21"/>
        <v>#REF!</v>
      </c>
      <c r="AE139" s="60"/>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8"/>
      <c r="AA140" s="52">
        <v>84.0</v>
      </c>
      <c r="AB140" s="54" t="str">
        <f t="shared" si="23"/>
        <v>#REF!</v>
      </c>
      <c r="AC140" s="54" t="str">
        <f t="shared" si="20"/>
        <v>#REF!</v>
      </c>
      <c r="AD140" s="54" t="str">
        <f t="shared" si="21"/>
        <v>#REF!</v>
      </c>
      <c r="AE140" s="60"/>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8"/>
      <c r="Z141" s="59" t="s">
        <v>162</v>
      </c>
      <c r="AA141" s="52">
        <v>85.0</v>
      </c>
      <c r="AB141" s="54" t="str">
        <f t="shared" si="23"/>
        <v>#REF!</v>
      </c>
      <c r="AC141" s="54" t="str">
        <f t="shared" si="20"/>
        <v>#REF!</v>
      </c>
      <c r="AD141" s="54" t="str">
        <f t="shared" si="21"/>
        <v>#REF!</v>
      </c>
      <c r="AE141" s="60"/>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8"/>
      <c r="AA142" s="52">
        <v>86.0</v>
      </c>
      <c r="AB142" s="54" t="str">
        <f t="shared" si="23"/>
        <v>#REF!</v>
      </c>
      <c r="AC142" s="54" t="str">
        <f t="shared" si="20"/>
        <v>#REF!</v>
      </c>
      <c r="AD142" s="54" t="str">
        <f t="shared" si="21"/>
        <v>#REF!</v>
      </c>
      <c r="AE142" s="60"/>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8"/>
      <c r="AA143" s="52">
        <v>87.0</v>
      </c>
      <c r="AB143" s="54" t="str">
        <f t="shared" si="23"/>
        <v>#REF!</v>
      </c>
      <c r="AC143" s="54" t="str">
        <f t="shared" si="20"/>
        <v>#REF!</v>
      </c>
      <c r="AD143" s="54" t="str">
        <f t="shared" si="21"/>
        <v>#REF!</v>
      </c>
      <c r="AE143" s="60"/>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8"/>
      <c r="AA144" s="52">
        <v>88.0</v>
      </c>
      <c r="AB144" s="54" t="str">
        <f t="shared" si="23"/>
        <v>#REF!</v>
      </c>
      <c r="AC144" s="54" t="str">
        <f t="shared" si="20"/>
        <v>#REF!</v>
      </c>
      <c r="AD144" s="54" t="str">
        <f t="shared" si="21"/>
        <v>#REF!</v>
      </c>
      <c r="AE144" s="60"/>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8"/>
      <c r="AA145" s="52">
        <v>89.0</v>
      </c>
      <c r="AB145" s="54" t="str">
        <f t="shared" si="23"/>
        <v>#REF!</v>
      </c>
      <c r="AC145" s="54" t="str">
        <f t="shared" si="20"/>
        <v>#REF!</v>
      </c>
      <c r="AD145" s="54" t="str">
        <f t="shared" si="21"/>
        <v>#REF!</v>
      </c>
      <c r="AE145" s="60"/>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8"/>
      <c r="AA146" s="52">
        <v>90.0</v>
      </c>
      <c r="AB146" s="54" t="str">
        <f t="shared" si="23"/>
        <v>#REF!</v>
      </c>
      <c r="AC146" s="54" t="str">
        <f t="shared" si="20"/>
        <v>#REF!</v>
      </c>
      <c r="AD146" s="54" t="str">
        <f t="shared" si="21"/>
        <v>#REF!</v>
      </c>
      <c r="AE146" s="60"/>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8"/>
      <c r="AA147" s="52">
        <v>91.0</v>
      </c>
      <c r="AB147" s="54" t="str">
        <f t="shared" si="23"/>
        <v>#REF!</v>
      </c>
      <c r="AC147" s="54" t="str">
        <f t="shared" si="20"/>
        <v>#REF!</v>
      </c>
      <c r="AD147" s="54" t="str">
        <f t="shared" si="21"/>
        <v>#REF!</v>
      </c>
      <c r="AE147" s="60"/>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8"/>
      <c r="AA148" s="52">
        <v>92.0</v>
      </c>
      <c r="AB148" s="54" t="str">
        <f t="shared" si="23"/>
        <v>#REF!</v>
      </c>
      <c r="AC148" s="54" t="str">
        <f t="shared" si="20"/>
        <v>#REF!</v>
      </c>
      <c r="AD148" s="54" t="str">
        <f t="shared" si="21"/>
        <v>#REF!</v>
      </c>
      <c r="AE148" s="60"/>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8"/>
      <c r="AA149" s="52">
        <v>93.0</v>
      </c>
      <c r="AB149" s="54" t="str">
        <f t="shared" si="23"/>
        <v>#REF!</v>
      </c>
      <c r="AC149" s="54" t="str">
        <f t="shared" si="20"/>
        <v>#REF!</v>
      </c>
      <c r="AD149" s="54" t="str">
        <f t="shared" si="21"/>
        <v>#REF!</v>
      </c>
      <c r="AE149" s="60"/>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8"/>
      <c r="AA150" s="52">
        <v>94.0</v>
      </c>
      <c r="AB150" s="54" t="str">
        <f t="shared" si="23"/>
        <v>#REF!</v>
      </c>
      <c r="AC150" s="54" t="str">
        <f t="shared" si="20"/>
        <v>#REF!</v>
      </c>
      <c r="AD150" s="54" t="str">
        <f t="shared" si="21"/>
        <v>#REF!</v>
      </c>
      <c r="AE150" s="60"/>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8"/>
      <c r="AA151" s="52">
        <v>95.0</v>
      </c>
      <c r="AB151" s="54" t="str">
        <f t="shared" si="23"/>
        <v>#REF!</v>
      </c>
      <c r="AC151" s="54" t="str">
        <f t="shared" si="20"/>
        <v>#REF!</v>
      </c>
      <c r="AD151" s="54" t="str">
        <f t="shared" si="21"/>
        <v>#REF!</v>
      </c>
      <c r="AE151" s="60"/>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8"/>
      <c r="AA152" s="52">
        <v>96.0</v>
      </c>
      <c r="AB152" s="54" t="str">
        <f t="shared" si="23"/>
        <v>#REF!</v>
      </c>
      <c r="AC152" s="54" t="str">
        <f t="shared" si="20"/>
        <v>#REF!</v>
      </c>
      <c r="AD152" s="54" t="str">
        <f t="shared" si="21"/>
        <v>#REF!</v>
      </c>
      <c r="AE152" s="60"/>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8"/>
      <c r="Z153" s="59" t="s">
        <v>163</v>
      </c>
      <c r="AA153" s="52">
        <v>97.0</v>
      </c>
      <c r="AB153" s="53">
        <f t="shared" ref="AB153:AB164" si="24">$X$39/12</f>
        <v>0</v>
      </c>
      <c r="AC153" s="54" t="str">
        <f t="shared" si="20"/>
        <v>#REF!</v>
      </c>
      <c r="AD153" s="54" t="str">
        <f t="shared" si="21"/>
        <v>#REF!</v>
      </c>
      <c r="AE153" s="60"/>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8"/>
      <c r="AA154" s="52">
        <v>98.0</v>
      </c>
      <c r="AB154" s="53">
        <f t="shared" si="24"/>
        <v>0</v>
      </c>
      <c r="AC154" s="54" t="str">
        <f t="shared" si="20"/>
        <v>#REF!</v>
      </c>
      <c r="AD154" s="54" t="str">
        <f t="shared" si="21"/>
        <v>#REF!</v>
      </c>
      <c r="AE154" s="60"/>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8"/>
      <c r="AA155" s="52">
        <v>99.0</v>
      </c>
      <c r="AB155" s="53">
        <f t="shared" si="24"/>
        <v>0</v>
      </c>
      <c r="AC155" s="54" t="str">
        <f t="shared" si="20"/>
        <v>#REF!</v>
      </c>
      <c r="AD155" s="54" t="str">
        <f t="shared" si="21"/>
        <v>#REF!</v>
      </c>
      <c r="AE155" s="60"/>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8"/>
      <c r="AA156" s="52">
        <v>100.0</v>
      </c>
      <c r="AB156" s="53">
        <f t="shared" si="24"/>
        <v>0</v>
      </c>
      <c r="AC156" s="54" t="str">
        <f t="shared" si="20"/>
        <v>#REF!</v>
      </c>
      <c r="AD156" s="54" t="str">
        <f t="shared" si="21"/>
        <v>#REF!</v>
      </c>
      <c r="AE156" s="60"/>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8"/>
      <c r="AA157" s="52">
        <v>101.0</v>
      </c>
      <c r="AB157" s="53">
        <f t="shared" si="24"/>
        <v>0</v>
      </c>
      <c r="AC157" s="54" t="str">
        <f t="shared" si="20"/>
        <v>#REF!</v>
      </c>
      <c r="AD157" s="54" t="str">
        <f t="shared" si="21"/>
        <v>#REF!</v>
      </c>
      <c r="AE157" s="60"/>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8"/>
      <c r="AA158" s="52">
        <v>102.0</v>
      </c>
      <c r="AB158" s="53">
        <f t="shared" si="24"/>
        <v>0</v>
      </c>
      <c r="AC158" s="54" t="str">
        <f t="shared" si="20"/>
        <v>#REF!</v>
      </c>
      <c r="AD158" s="54" t="str">
        <f t="shared" si="21"/>
        <v>#REF!</v>
      </c>
      <c r="AE158" s="60"/>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8"/>
      <c r="AA159" s="52">
        <v>103.0</v>
      </c>
      <c r="AB159" s="53">
        <f t="shared" si="24"/>
        <v>0</v>
      </c>
      <c r="AC159" s="54" t="str">
        <f t="shared" si="20"/>
        <v>#REF!</v>
      </c>
      <c r="AD159" s="54" t="str">
        <f t="shared" si="21"/>
        <v>#REF!</v>
      </c>
      <c r="AE159" s="60"/>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8"/>
      <c r="AA160" s="52">
        <v>104.0</v>
      </c>
      <c r="AB160" s="53">
        <f t="shared" si="24"/>
        <v>0</v>
      </c>
      <c r="AC160" s="54" t="str">
        <f t="shared" si="20"/>
        <v>#REF!</v>
      </c>
      <c r="AD160" s="54" t="str">
        <f t="shared" si="21"/>
        <v>#REF!</v>
      </c>
      <c r="AE160" s="60"/>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8"/>
      <c r="AA161" s="52">
        <v>105.0</v>
      </c>
      <c r="AB161" s="53">
        <f t="shared" si="24"/>
        <v>0</v>
      </c>
      <c r="AC161" s="54" t="str">
        <f t="shared" si="20"/>
        <v>#REF!</v>
      </c>
      <c r="AD161" s="54" t="str">
        <f t="shared" si="21"/>
        <v>#REF!</v>
      </c>
      <c r="AE161" s="60"/>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8"/>
      <c r="AA162" s="52">
        <v>106.0</v>
      </c>
      <c r="AB162" s="53">
        <f t="shared" si="24"/>
        <v>0</v>
      </c>
      <c r="AC162" s="54" t="str">
        <f t="shared" si="20"/>
        <v>#REF!</v>
      </c>
      <c r="AD162" s="54" t="str">
        <f t="shared" si="21"/>
        <v>#REF!</v>
      </c>
      <c r="AE162" s="60"/>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8"/>
      <c r="AA163" s="52">
        <v>107.0</v>
      </c>
      <c r="AB163" s="53">
        <f t="shared" si="24"/>
        <v>0</v>
      </c>
      <c r="AC163" s="54" t="str">
        <f t="shared" si="20"/>
        <v>#REF!</v>
      </c>
      <c r="AD163" s="54" t="str">
        <f t="shared" si="21"/>
        <v>#REF!</v>
      </c>
      <c r="AE163" s="60"/>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8"/>
      <c r="AA164" s="52">
        <v>108.0</v>
      </c>
      <c r="AB164" s="53">
        <f t="shared" si="24"/>
        <v>0</v>
      </c>
      <c r="AC164" s="54" t="str">
        <f t="shared" si="20"/>
        <v>#REF!</v>
      </c>
      <c r="AD164" s="54" t="str">
        <f t="shared" si="21"/>
        <v>#REF!</v>
      </c>
      <c r="AE164" s="60"/>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8"/>
      <c r="Z165" s="59" t="s">
        <v>164</v>
      </c>
      <c r="AA165" s="52">
        <v>109.0</v>
      </c>
      <c r="AB165" s="54" t="str">
        <f t="shared" ref="AB165:AB176" si="25">#REF!/12</f>
        <v>#REF!</v>
      </c>
      <c r="AC165" s="54" t="str">
        <f t="shared" si="20"/>
        <v>#REF!</v>
      </c>
      <c r="AD165" s="54" t="str">
        <f t="shared" si="21"/>
        <v>#REF!</v>
      </c>
      <c r="AE165" s="60"/>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8"/>
      <c r="AA166" s="52">
        <v>110.0</v>
      </c>
      <c r="AB166" s="54" t="str">
        <f t="shared" si="25"/>
        <v>#REF!</v>
      </c>
      <c r="AC166" s="54" t="str">
        <f t="shared" si="20"/>
        <v>#REF!</v>
      </c>
      <c r="AD166" s="54" t="str">
        <f t="shared" si="21"/>
        <v>#REF!</v>
      </c>
      <c r="AE166" s="60"/>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8"/>
      <c r="AA167" s="52">
        <v>111.0</v>
      </c>
      <c r="AB167" s="54" t="str">
        <f t="shared" si="25"/>
        <v>#REF!</v>
      </c>
      <c r="AC167" s="54" t="str">
        <f t="shared" si="20"/>
        <v>#REF!</v>
      </c>
      <c r="AD167" s="54" t="str">
        <f t="shared" si="21"/>
        <v>#REF!</v>
      </c>
      <c r="AE167" s="60"/>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8"/>
      <c r="AA168" s="52">
        <v>112.0</v>
      </c>
      <c r="AB168" s="54" t="str">
        <f t="shared" si="25"/>
        <v>#REF!</v>
      </c>
      <c r="AC168" s="54" t="str">
        <f t="shared" si="20"/>
        <v>#REF!</v>
      </c>
      <c r="AD168" s="54" t="str">
        <f t="shared" si="21"/>
        <v>#REF!</v>
      </c>
      <c r="AE168" s="60"/>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8"/>
      <c r="AA169" s="52">
        <v>113.0</v>
      </c>
      <c r="AB169" s="54" t="str">
        <f t="shared" si="25"/>
        <v>#REF!</v>
      </c>
      <c r="AC169" s="54" t="str">
        <f t="shared" si="20"/>
        <v>#REF!</v>
      </c>
      <c r="AD169" s="54" t="str">
        <f t="shared" si="21"/>
        <v>#REF!</v>
      </c>
      <c r="AE169" s="60"/>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8"/>
      <c r="AA170" s="52">
        <v>114.0</v>
      </c>
      <c r="AB170" s="54" t="str">
        <f t="shared" si="25"/>
        <v>#REF!</v>
      </c>
      <c r="AC170" s="54" t="str">
        <f t="shared" si="20"/>
        <v>#REF!</v>
      </c>
      <c r="AD170" s="54" t="str">
        <f t="shared" si="21"/>
        <v>#REF!</v>
      </c>
      <c r="AE170" s="60"/>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8"/>
      <c r="AA171" s="52">
        <v>115.0</v>
      </c>
      <c r="AB171" s="54" t="str">
        <f t="shared" si="25"/>
        <v>#REF!</v>
      </c>
      <c r="AC171" s="54" t="str">
        <f t="shared" si="20"/>
        <v>#REF!</v>
      </c>
      <c r="AD171" s="54" t="str">
        <f t="shared" si="21"/>
        <v>#REF!</v>
      </c>
      <c r="AE171" s="60"/>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8"/>
      <c r="AA172" s="52">
        <v>116.0</v>
      </c>
      <c r="AB172" s="54" t="str">
        <f t="shared" si="25"/>
        <v>#REF!</v>
      </c>
      <c r="AC172" s="54" t="str">
        <f t="shared" si="20"/>
        <v>#REF!</v>
      </c>
      <c r="AD172" s="54" t="str">
        <f t="shared" si="21"/>
        <v>#REF!</v>
      </c>
      <c r="AE172" s="60"/>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8"/>
      <c r="AA173" s="52">
        <v>117.0</v>
      </c>
      <c r="AB173" s="54" t="str">
        <f t="shared" si="25"/>
        <v>#REF!</v>
      </c>
      <c r="AC173" s="54" t="str">
        <f t="shared" si="20"/>
        <v>#REF!</v>
      </c>
      <c r="AD173" s="54" t="str">
        <f t="shared" si="21"/>
        <v>#REF!</v>
      </c>
      <c r="AE173" s="60"/>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8"/>
      <c r="AA174" s="52">
        <v>118.0</v>
      </c>
      <c r="AB174" s="54" t="str">
        <f t="shared" si="25"/>
        <v>#REF!</v>
      </c>
      <c r="AC174" s="54" t="str">
        <f t="shared" si="20"/>
        <v>#REF!</v>
      </c>
      <c r="AD174" s="54" t="str">
        <f t="shared" si="21"/>
        <v>#REF!</v>
      </c>
      <c r="AE174" s="60"/>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8"/>
      <c r="AA175" s="52">
        <v>119.0</v>
      </c>
      <c r="AB175" s="54" t="str">
        <f t="shared" si="25"/>
        <v>#REF!</v>
      </c>
      <c r="AC175" s="54" t="str">
        <f t="shared" si="20"/>
        <v>#REF!</v>
      </c>
      <c r="AD175" s="54" t="str">
        <f t="shared" si="21"/>
        <v>#REF!</v>
      </c>
      <c r="AE175" s="60"/>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8"/>
      <c r="AA176" s="52">
        <v>120.0</v>
      </c>
      <c r="AB176" s="54" t="str">
        <f t="shared" si="25"/>
        <v>#REF!</v>
      </c>
      <c r="AC176" s="54" t="str">
        <f t="shared" si="20"/>
        <v>#REF!</v>
      </c>
      <c r="AD176" s="54" t="str">
        <f t="shared" si="21"/>
        <v>#REF!</v>
      </c>
      <c r="AE176" s="60"/>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8"/>
      <c r="Z177" s="8"/>
      <c r="AA177" s="1"/>
      <c r="AB177" s="8"/>
      <c r="AC177" s="8"/>
      <c r="AD177" s="8"/>
      <c r="AE177" s="8"/>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8"/>
      <c r="Z178" s="8"/>
      <c r="AA178" s="8"/>
      <c r="AB178" s="8"/>
      <c r="AC178" s="8"/>
      <c r="AD178" s="8"/>
      <c r="AE178" s="8"/>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8"/>
      <c r="Z179" s="8"/>
      <c r="AA179" s="8"/>
      <c r="AB179" s="8"/>
      <c r="AC179" s="8"/>
      <c r="AD179" s="8"/>
      <c r="AE179" s="8"/>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8"/>
      <c r="Z180" s="8"/>
      <c r="AA180" s="8"/>
      <c r="AB180" s="8"/>
      <c r="AC180" s="8"/>
      <c r="AD180" s="8"/>
      <c r="AE180" s="8"/>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8"/>
      <c r="Z181" s="8"/>
      <c r="AA181" s="8"/>
      <c r="AB181" s="8"/>
      <c r="AC181" s="8"/>
      <c r="AD181" s="8"/>
      <c r="AE181" s="8"/>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8"/>
      <c r="Z182" s="8"/>
      <c r="AA182" s="8"/>
      <c r="AB182" s="8"/>
      <c r="AC182" s="8"/>
      <c r="AD182" s="8"/>
      <c r="AE182" s="8"/>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8"/>
      <c r="Z183" s="8"/>
      <c r="AA183" s="8"/>
      <c r="AB183" s="8"/>
      <c r="AC183" s="8"/>
      <c r="AD183" s="8"/>
      <c r="AE183" s="8"/>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8"/>
      <c r="Z184" s="8"/>
      <c r="AA184" s="8"/>
      <c r="AB184" s="8"/>
      <c r="AC184" s="8"/>
      <c r="AD184" s="8"/>
      <c r="AE184" s="8"/>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8"/>
      <c r="Z185" s="8"/>
      <c r="AA185" s="8"/>
      <c r="AB185" s="8"/>
      <c r="AC185" s="8"/>
      <c r="AD185" s="8"/>
      <c r="AE185" s="8"/>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8"/>
      <c r="Z186" s="8"/>
      <c r="AA186" s="8"/>
      <c r="AB186" s="8"/>
      <c r="AC186" s="8"/>
      <c r="AD186" s="8"/>
      <c r="AE186" s="8"/>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8"/>
      <c r="Z187" s="8"/>
      <c r="AA187" s="8"/>
      <c r="AB187" s="8"/>
      <c r="AC187" s="8"/>
      <c r="AD187" s="8"/>
      <c r="AE187" s="8"/>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8"/>
      <c r="Z188" s="8"/>
      <c r="AA188" s="8"/>
      <c r="AB188" s="8"/>
      <c r="AC188" s="8"/>
      <c r="AD188" s="8"/>
      <c r="AE188" s="8"/>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8"/>
      <c r="Z189" s="8"/>
      <c r="AA189" s="8"/>
      <c r="AB189" s="8"/>
      <c r="AC189" s="8"/>
      <c r="AD189" s="8"/>
      <c r="AE189" s="8"/>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8"/>
      <c r="Z190" s="8"/>
      <c r="AA190" s="8"/>
      <c r="AB190" s="8"/>
      <c r="AC190" s="8"/>
      <c r="AD190" s="8"/>
      <c r="AE190" s="8"/>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8"/>
      <c r="Z191" s="8"/>
      <c r="AA191" s="8"/>
      <c r="AB191" s="8"/>
      <c r="AC191" s="8"/>
      <c r="AD191" s="8"/>
      <c r="AE191" s="8"/>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8"/>
      <c r="Z192" s="8"/>
      <c r="AA192" s="8"/>
      <c r="AB192" s="8"/>
      <c r="AC192" s="8"/>
      <c r="AD192" s="8"/>
      <c r="AE192" s="8"/>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8"/>
      <c r="Z193" s="8"/>
      <c r="AA193" s="8"/>
      <c r="AB193" s="8"/>
      <c r="AC193" s="8"/>
      <c r="AD193" s="8"/>
      <c r="AE193" s="8"/>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8"/>
      <c r="Z194" s="8"/>
      <c r="AA194" s="8"/>
      <c r="AB194" s="8"/>
      <c r="AC194" s="8"/>
      <c r="AD194" s="8"/>
      <c r="AE194" s="8"/>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8"/>
      <c r="Z195" s="8"/>
      <c r="AA195" s="8"/>
      <c r="AB195" s="8"/>
      <c r="AC195" s="8"/>
      <c r="AD195" s="8"/>
      <c r="AE195" s="8"/>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8"/>
      <c r="Z196" s="8"/>
      <c r="AA196" s="8"/>
      <c r="AB196" s="8"/>
      <c r="AC196" s="8"/>
      <c r="AD196" s="8"/>
      <c r="AE196" s="8"/>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8"/>
      <c r="Z197" s="8"/>
      <c r="AA197" s="8"/>
      <c r="AB197" s="8"/>
      <c r="AC197" s="8"/>
      <c r="AD197" s="8"/>
      <c r="AE197" s="8"/>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8"/>
      <c r="Z198" s="8"/>
      <c r="AA198" s="8"/>
      <c r="AB198" s="8"/>
      <c r="AC198" s="8"/>
      <c r="AD198" s="8"/>
      <c r="AE198" s="8"/>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8"/>
      <c r="Z199" s="8"/>
      <c r="AA199" s="8"/>
      <c r="AB199" s="8"/>
      <c r="AC199" s="8"/>
      <c r="AD199" s="8"/>
      <c r="AE199" s="8"/>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8"/>
      <c r="Z200" s="8"/>
      <c r="AA200" s="8"/>
      <c r="AB200" s="8"/>
      <c r="AC200" s="8"/>
      <c r="AD200" s="8"/>
      <c r="AE200" s="8"/>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8"/>
      <c r="Z201" s="8"/>
      <c r="AA201" s="8"/>
      <c r="AB201" s="8"/>
      <c r="AC201" s="8"/>
      <c r="AD201" s="8"/>
      <c r="AE201" s="8"/>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8"/>
      <c r="Z202" s="8"/>
      <c r="AA202" s="8"/>
      <c r="AB202" s="8"/>
      <c r="AC202" s="8"/>
      <c r="AD202" s="8"/>
      <c r="AE202" s="8"/>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8"/>
      <c r="Z203" s="8"/>
      <c r="AA203" s="8"/>
      <c r="AB203" s="8"/>
      <c r="AC203" s="8"/>
      <c r="AD203" s="8"/>
      <c r="AE203" s="8"/>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8"/>
      <c r="Z204" s="8"/>
      <c r="AA204" s="8"/>
      <c r="AB204" s="8"/>
      <c r="AC204" s="8"/>
      <c r="AD204" s="8"/>
      <c r="AE204" s="8"/>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8"/>
      <c r="Z205" s="8"/>
      <c r="AA205" s="8"/>
      <c r="AB205" s="8"/>
      <c r="AC205" s="8"/>
      <c r="AD205" s="8"/>
      <c r="AE205" s="8"/>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8"/>
      <c r="Z206" s="8"/>
      <c r="AA206" s="8"/>
      <c r="AB206" s="8"/>
      <c r="AC206" s="8"/>
      <c r="AD206" s="8"/>
      <c r="AE206" s="8"/>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8"/>
      <c r="Z207" s="8"/>
      <c r="AA207" s="8"/>
      <c r="AB207" s="8"/>
      <c r="AC207" s="8"/>
      <c r="AD207" s="8"/>
      <c r="AE207" s="8"/>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8"/>
      <c r="Z208" s="8"/>
      <c r="AA208" s="8"/>
      <c r="AB208" s="8"/>
      <c r="AC208" s="8"/>
      <c r="AD208" s="8"/>
      <c r="AE208" s="8"/>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8"/>
      <c r="Z209" s="8"/>
      <c r="AA209" s="8"/>
      <c r="AB209" s="8"/>
      <c r="AC209" s="8"/>
      <c r="AD209" s="8"/>
      <c r="AE209" s="8"/>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8"/>
      <c r="Z210" s="8"/>
      <c r="AA210" s="8"/>
      <c r="AB210" s="8"/>
      <c r="AC210" s="8"/>
      <c r="AD210" s="8"/>
      <c r="AE210" s="8"/>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8"/>
      <c r="Z211" s="8"/>
      <c r="AA211" s="8"/>
      <c r="AB211" s="8"/>
      <c r="AC211" s="8"/>
      <c r="AD211" s="8"/>
      <c r="AE211" s="8"/>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8"/>
      <c r="Z212" s="8"/>
      <c r="AA212" s="8"/>
      <c r="AB212" s="8"/>
      <c r="AC212" s="8"/>
      <c r="AD212" s="8"/>
      <c r="AE212" s="8"/>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8"/>
      <c r="Z213" s="8"/>
      <c r="AA213" s="8"/>
      <c r="AB213" s="8"/>
      <c r="AC213" s="8"/>
      <c r="AD213" s="8"/>
      <c r="AE213" s="8"/>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8"/>
      <c r="Z214" s="8"/>
      <c r="AA214" s="8"/>
      <c r="AB214" s="8"/>
      <c r="AC214" s="8"/>
      <c r="AD214" s="8"/>
      <c r="AE214" s="8"/>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8"/>
      <c r="Z215" s="8"/>
      <c r="AA215" s="8"/>
      <c r="AB215" s="8"/>
      <c r="AC215" s="8"/>
      <c r="AD215" s="8"/>
      <c r="AE215" s="8"/>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8"/>
      <c r="Z216" s="8"/>
      <c r="AA216" s="8"/>
      <c r="AB216" s="8"/>
      <c r="AC216" s="8"/>
      <c r="AD216" s="8"/>
      <c r="AE216" s="8"/>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8"/>
      <c r="Z217" s="8"/>
      <c r="AA217" s="8"/>
      <c r="AB217" s="8"/>
      <c r="AC217" s="8"/>
      <c r="AD217" s="8"/>
      <c r="AE217" s="8"/>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8"/>
      <c r="Z218" s="8"/>
      <c r="AA218" s="8"/>
      <c r="AB218" s="8"/>
      <c r="AC218" s="8"/>
      <c r="AD218" s="8"/>
      <c r="AE218" s="8"/>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8"/>
      <c r="Z219" s="8"/>
      <c r="AA219" s="8"/>
      <c r="AB219" s="8"/>
      <c r="AC219" s="8"/>
      <c r="AD219" s="8"/>
      <c r="AE219" s="8"/>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8"/>
      <c r="Z220" s="8"/>
      <c r="AA220" s="8"/>
      <c r="AB220" s="8"/>
      <c r="AC220" s="8"/>
      <c r="AD220" s="8"/>
      <c r="AE220" s="8"/>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8"/>
      <c r="Z221" s="8"/>
      <c r="AA221" s="8"/>
      <c r="AB221" s="8"/>
      <c r="AC221" s="8"/>
      <c r="AD221" s="8"/>
      <c r="AE221" s="8"/>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8"/>
      <c r="Z222" s="8"/>
      <c r="AA222" s="8"/>
      <c r="AB222" s="8"/>
      <c r="AC222" s="8"/>
      <c r="AD222" s="8"/>
      <c r="AE222" s="8"/>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8"/>
      <c r="Z223" s="8"/>
      <c r="AA223" s="8"/>
      <c r="AB223" s="8"/>
      <c r="AC223" s="8"/>
      <c r="AD223" s="8"/>
      <c r="AE223" s="8"/>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8"/>
      <c r="Z224" s="8"/>
      <c r="AA224" s="8"/>
      <c r="AB224" s="8"/>
      <c r="AC224" s="8"/>
      <c r="AD224" s="8"/>
      <c r="AE224" s="8"/>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8"/>
      <c r="Z225" s="8"/>
      <c r="AA225" s="8"/>
      <c r="AB225" s="8"/>
      <c r="AC225" s="8"/>
      <c r="AD225" s="8"/>
      <c r="AE225" s="8"/>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8"/>
      <c r="Z226" s="8"/>
      <c r="AA226" s="8"/>
      <c r="AB226" s="8"/>
      <c r="AC226" s="8"/>
      <c r="AD226" s="8"/>
      <c r="AE226" s="8"/>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8"/>
      <c r="Z227" s="8"/>
      <c r="AA227" s="8"/>
      <c r="AB227" s="8"/>
      <c r="AC227" s="8"/>
      <c r="AD227" s="8"/>
      <c r="AE227" s="8"/>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8"/>
      <c r="Z228" s="8"/>
      <c r="AA228" s="8"/>
      <c r="AB228" s="8"/>
      <c r="AC228" s="8"/>
      <c r="AD228" s="8"/>
      <c r="AE228" s="8"/>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8"/>
      <c r="Z229" s="8"/>
      <c r="AA229" s="8"/>
      <c r="AB229" s="8"/>
      <c r="AC229" s="8"/>
      <c r="AD229" s="8"/>
      <c r="AE229" s="8"/>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8"/>
      <c r="Z230" s="8"/>
      <c r="AA230" s="8"/>
      <c r="AB230" s="8"/>
      <c r="AC230" s="8"/>
      <c r="AD230" s="8"/>
      <c r="AE230" s="8"/>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8"/>
      <c r="Z231" s="8"/>
      <c r="AA231" s="8"/>
      <c r="AB231" s="8"/>
      <c r="AC231" s="8"/>
      <c r="AD231" s="8"/>
      <c r="AE231" s="8"/>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8"/>
      <c r="Z232" s="8"/>
      <c r="AA232" s="8"/>
      <c r="AB232" s="8"/>
      <c r="AC232" s="8"/>
      <c r="AD232" s="8"/>
      <c r="AE232" s="8"/>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8"/>
      <c r="Z233" s="8"/>
      <c r="AA233" s="8"/>
      <c r="AB233" s="8"/>
      <c r="AC233" s="8"/>
      <c r="AD233" s="8"/>
      <c r="AE233" s="8"/>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8"/>
      <c r="Z234" s="8"/>
      <c r="AA234" s="8"/>
      <c r="AB234" s="8"/>
      <c r="AC234" s="8"/>
      <c r="AD234" s="8"/>
      <c r="AE234" s="8"/>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8"/>
      <c r="Z235" s="8"/>
      <c r="AA235" s="8"/>
      <c r="AB235" s="8"/>
      <c r="AC235" s="8"/>
      <c r="AD235" s="8"/>
      <c r="AE235" s="8"/>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8"/>
      <c r="Z236" s="8"/>
      <c r="AA236" s="8"/>
      <c r="AB236" s="8"/>
      <c r="AC236" s="8"/>
      <c r="AD236" s="8"/>
      <c r="AE236" s="8"/>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8"/>
      <c r="Z237" s="8"/>
      <c r="AA237" s="8"/>
      <c r="AB237" s="8"/>
      <c r="AC237" s="8"/>
      <c r="AD237" s="8"/>
      <c r="AE237" s="8"/>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8"/>
      <c r="Z238" s="8"/>
      <c r="AA238" s="8"/>
      <c r="AB238" s="8"/>
      <c r="AC238" s="8"/>
      <c r="AD238" s="8"/>
      <c r="AE238" s="8"/>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8"/>
      <c r="Z239" s="8"/>
      <c r="AA239" s="8"/>
      <c r="AB239" s="8"/>
      <c r="AC239" s="8"/>
      <c r="AD239" s="8"/>
      <c r="AE239" s="8"/>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8"/>
      <c r="Z240" s="8"/>
      <c r="AA240" s="8"/>
      <c r="AB240" s="8"/>
      <c r="AC240" s="8"/>
      <c r="AD240" s="8"/>
      <c r="AE240" s="8"/>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8"/>
      <c r="Z241" s="8"/>
      <c r="AA241" s="8"/>
      <c r="AB241" s="8"/>
      <c r="AC241" s="8"/>
      <c r="AD241" s="8"/>
      <c r="AE241" s="8"/>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8"/>
      <c r="Z242" s="8"/>
      <c r="AA242" s="8"/>
      <c r="AB242" s="8"/>
      <c r="AC242" s="8"/>
      <c r="AD242" s="8"/>
      <c r="AE242" s="8"/>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8"/>
      <c r="Z243" s="8"/>
      <c r="AA243" s="8"/>
      <c r="AB243" s="8"/>
      <c r="AC243" s="8"/>
      <c r="AD243" s="8"/>
      <c r="AE243" s="8"/>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8"/>
      <c r="Z244" s="8"/>
      <c r="AA244" s="8"/>
      <c r="AB244" s="8"/>
      <c r="AC244" s="8"/>
      <c r="AD244" s="8"/>
      <c r="AE244" s="8"/>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8"/>
      <c r="Z245" s="8"/>
      <c r="AA245" s="8"/>
      <c r="AB245" s="8"/>
      <c r="AC245" s="8"/>
      <c r="AD245" s="8"/>
      <c r="AE245" s="8"/>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8"/>
      <c r="Z246" s="8"/>
      <c r="AA246" s="8"/>
      <c r="AB246" s="8"/>
      <c r="AC246" s="8"/>
      <c r="AD246" s="8"/>
      <c r="AE246" s="8"/>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8"/>
      <c r="Z247" s="8"/>
      <c r="AA247" s="8"/>
      <c r="AB247" s="8"/>
      <c r="AC247" s="8"/>
      <c r="AD247" s="8"/>
      <c r="AE247" s="8"/>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8"/>
      <c r="Z248" s="8"/>
      <c r="AA248" s="8"/>
      <c r="AB248" s="8"/>
      <c r="AC248" s="8"/>
      <c r="AD248" s="8"/>
      <c r="AE248" s="8"/>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8"/>
      <c r="Z249" s="8"/>
      <c r="AA249" s="8"/>
      <c r="AB249" s="8"/>
      <c r="AC249" s="8"/>
      <c r="AD249" s="8"/>
      <c r="AE249" s="8"/>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8"/>
      <c r="Z250" s="8"/>
      <c r="AA250" s="8"/>
      <c r="AB250" s="8"/>
      <c r="AC250" s="8"/>
      <c r="AD250" s="8"/>
      <c r="AE250" s="8"/>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8"/>
      <c r="Z251" s="8"/>
      <c r="AA251" s="8"/>
      <c r="AB251" s="8"/>
      <c r="AC251" s="8"/>
      <c r="AD251" s="8"/>
      <c r="AE251" s="8"/>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8"/>
      <c r="Z252" s="8"/>
      <c r="AA252" s="8"/>
      <c r="AB252" s="8"/>
      <c r="AC252" s="8"/>
      <c r="AD252" s="8"/>
      <c r="AE252" s="8"/>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8"/>
      <c r="Z253" s="8"/>
      <c r="AA253" s="8"/>
      <c r="AB253" s="8"/>
      <c r="AC253" s="8"/>
      <c r="AD253" s="8"/>
      <c r="AE253" s="8"/>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8"/>
      <c r="Z254" s="8"/>
      <c r="AA254" s="8"/>
      <c r="AB254" s="8"/>
      <c r="AC254" s="8"/>
      <c r="AD254" s="8"/>
      <c r="AE254" s="8"/>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8"/>
      <c r="Z255" s="8"/>
      <c r="AA255" s="8"/>
      <c r="AB255" s="8"/>
      <c r="AC255" s="8"/>
      <c r="AD255" s="8"/>
      <c r="AE255" s="8"/>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8"/>
      <c r="Z256" s="8"/>
      <c r="AA256" s="8"/>
      <c r="AB256" s="8"/>
      <c r="AC256" s="8"/>
      <c r="AD256" s="8"/>
      <c r="AE256" s="8"/>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8"/>
      <c r="Z257" s="8"/>
      <c r="AA257" s="8"/>
      <c r="AB257" s="8"/>
      <c r="AC257" s="8"/>
      <c r="AD257" s="8"/>
      <c r="AE257" s="8"/>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8"/>
      <c r="Z258" s="8"/>
      <c r="AA258" s="8"/>
      <c r="AB258" s="8"/>
      <c r="AC258" s="8"/>
      <c r="AD258" s="8"/>
      <c r="AE258" s="8"/>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8"/>
      <c r="Z259" s="8"/>
      <c r="AA259" s="8"/>
      <c r="AB259" s="8"/>
      <c r="AC259" s="8"/>
      <c r="AD259" s="8"/>
      <c r="AE259" s="8"/>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8"/>
      <c r="Z260" s="8"/>
      <c r="AA260" s="8"/>
      <c r="AB260" s="8"/>
      <c r="AC260" s="8"/>
      <c r="AD260" s="8"/>
      <c r="AE260" s="8"/>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8"/>
      <c r="Z261" s="8"/>
      <c r="AA261" s="8"/>
      <c r="AB261" s="8"/>
      <c r="AC261" s="8"/>
      <c r="AD261" s="8"/>
      <c r="AE261" s="8"/>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8"/>
      <c r="Z262" s="8"/>
      <c r="AA262" s="8"/>
      <c r="AB262" s="8"/>
      <c r="AC262" s="8"/>
      <c r="AD262" s="8"/>
      <c r="AE262" s="8"/>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8"/>
      <c r="Z263" s="8"/>
      <c r="AA263" s="8"/>
      <c r="AB263" s="8"/>
      <c r="AC263" s="8"/>
      <c r="AD263" s="8"/>
      <c r="AE263" s="8"/>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8"/>
      <c r="Z264" s="8"/>
      <c r="AA264" s="8"/>
      <c r="AB264" s="8"/>
      <c r="AC264" s="8"/>
      <c r="AD264" s="8"/>
      <c r="AE264" s="8"/>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8"/>
      <c r="Z265" s="8"/>
      <c r="AA265" s="8"/>
      <c r="AB265" s="8"/>
      <c r="AC265" s="8"/>
      <c r="AD265" s="8"/>
      <c r="AE265" s="8"/>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8"/>
      <c r="Z266" s="8"/>
      <c r="AA266" s="8"/>
      <c r="AB266" s="8"/>
      <c r="AC266" s="8"/>
      <c r="AD266" s="8"/>
      <c r="AE266" s="8"/>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8"/>
      <c r="Z267" s="8"/>
      <c r="AA267" s="8"/>
      <c r="AB267" s="8"/>
      <c r="AC267" s="8"/>
      <c r="AD267" s="8"/>
      <c r="AE267" s="8"/>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8"/>
      <c r="Z268" s="8"/>
      <c r="AA268" s="8"/>
      <c r="AB268" s="8"/>
      <c r="AC268" s="8"/>
      <c r="AD268" s="8"/>
      <c r="AE268" s="8"/>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8"/>
      <c r="Z269" s="8"/>
      <c r="AA269" s="8"/>
      <c r="AB269" s="8"/>
      <c r="AC269" s="8"/>
      <c r="AD269" s="8"/>
      <c r="AE269" s="8"/>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8"/>
      <c r="Z270" s="8"/>
      <c r="AA270" s="8"/>
      <c r="AB270" s="8"/>
      <c r="AC270" s="8"/>
      <c r="AD270" s="8"/>
      <c r="AE270" s="8"/>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8"/>
      <c r="Z271" s="8"/>
      <c r="AA271" s="8"/>
      <c r="AB271" s="8"/>
      <c r="AC271" s="8"/>
      <c r="AD271" s="8"/>
      <c r="AE271" s="8"/>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8"/>
      <c r="Z272" s="8"/>
      <c r="AA272" s="8"/>
      <c r="AB272" s="8"/>
      <c r="AC272" s="8"/>
      <c r="AD272" s="8"/>
      <c r="AE272" s="8"/>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8"/>
      <c r="Z273" s="8"/>
      <c r="AA273" s="8"/>
      <c r="AB273" s="8"/>
      <c r="AC273" s="8"/>
      <c r="AD273" s="8"/>
      <c r="AE273" s="8"/>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8"/>
      <c r="Z274" s="8"/>
      <c r="AA274" s="8"/>
      <c r="AB274" s="8"/>
      <c r="AC274" s="8"/>
      <c r="AD274" s="8"/>
      <c r="AE274" s="8"/>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8"/>
      <c r="Z275" s="8"/>
      <c r="AA275" s="8"/>
      <c r="AB275" s="8"/>
      <c r="AC275" s="8"/>
      <c r="AD275" s="8"/>
      <c r="AE275" s="8"/>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8"/>
      <c r="Z276" s="8"/>
      <c r="AA276" s="8"/>
      <c r="AB276" s="8"/>
      <c r="AC276" s="8"/>
      <c r="AD276" s="8"/>
      <c r="AE276" s="8"/>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8"/>
      <c r="Z277" s="8"/>
      <c r="AA277" s="8"/>
      <c r="AB277" s="8"/>
      <c r="AC277" s="8"/>
      <c r="AD277" s="8"/>
      <c r="AE277" s="8"/>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8"/>
      <c r="Z278" s="8"/>
      <c r="AA278" s="8"/>
      <c r="AB278" s="8"/>
      <c r="AC278" s="8"/>
      <c r="AD278" s="8"/>
      <c r="AE278" s="8"/>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8"/>
      <c r="Z279" s="8"/>
      <c r="AA279" s="8"/>
      <c r="AB279" s="8"/>
      <c r="AC279" s="8"/>
      <c r="AD279" s="8"/>
      <c r="AE279" s="8"/>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8"/>
      <c r="Z280" s="8"/>
      <c r="AA280" s="8"/>
      <c r="AB280" s="8"/>
      <c r="AC280" s="8"/>
      <c r="AD280" s="8"/>
      <c r="AE280" s="8"/>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8"/>
      <c r="Z281" s="8"/>
      <c r="AA281" s="8"/>
      <c r="AB281" s="8"/>
      <c r="AC281" s="8"/>
      <c r="AD281" s="8"/>
      <c r="AE281" s="8"/>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8"/>
      <c r="Z282" s="8"/>
      <c r="AA282" s="8"/>
      <c r="AB282" s="8"/>
      <c r="AC282" s="8"/>
      <c r="AD282" s="8"/>
      <c r="AE282" s="8"/>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8"/>
      <c r="Z283" s="8"/>
      <c r="AA283" s="8"/>
      <c r="AB283" s="8"/>
      <c r="AC283" s="8"/>
      <c r="AD283" s="8"/>
      <c r="AE283" s="8"/>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8"/>
      <c r="Z284" s="8"/>
      <c r="AA284" s="8"/>
      <c r="AB284" s="8"/>
      <c r="AC284" s="8"/>
      <c r="AD284" s="8"/>
      <c r="AE284" s="8"/>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8"/>
      <c r="Z285" s="8"/>
      <c r="AA285" s="8"/>
      <c r="AB285" s="8"/>
      <c r="AC285" s="8"/>
      <c r="AD285" s="8"/>
      <c r="AE285" s="8"/>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8"/>
      <c r="Z286" s="8"/>
      <c r="AA286" s="8"/>
      <c r="AB286" s="8"/>
      <c r="AC286" s="8"/>
      <c r="AD286" s="8"/>
      <c r="AE286" s="8"/>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8"/>
      <c r="Z287" s="8"/>
      <c r="AA287" s="8"/>
      <c r="AB287" s="8"/>
      <c r="AC287" s="8"/>
      <c r="AD287" s="8"/>
      <c r="AE287" s="8"/>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8"/>
      <c r="Z288" s="8"/>
      <c r="AA288" s="8"/>
      <c r="AB288" s="8"/>
      <c r="AC288" s="8"/>
      <c r="AD288" s="8"/>
      <c r="AE288" s="8"/>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8"/>
      <c r="Z289" s="8"/>
      <c r="AA289" s="8"/>
      <c r="AB289" s="8"/>
      <c r="AC289" s="8"/>
      <c r="AD289" s="8"/>
      <c r="AE289" s="8"/>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8"/>
      <c r="Z290" s="8"/>
      <c r="AA290" s="8"/>
      <c r="AB290" s="8"/>
      <c r="AC290" s="8"/>
      <c r="AD290" s="8"/>
      <c r="AE290" s="8"/>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8"/>
      <c r="Z291" s="8"/>
      <c r="AA291" s="8"/>
      <c r="AB291" s="8"/>
      <c r="AC291" s="8"/>
      <c r="AD291" s="8"/>
      <c r="AE291" s="8"/>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8"/>
      <c r="Z292" s="8"/>
      <c r="AA292" s="8"/>
      <c r="AB292" s="8"/>
      <c r="AC292" s="8"/>
      <c r="AD292" s="8"/>
      <c r="AE292" s="8"/>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8"/>
      <c r="Z293" s="8"/>
      <c r="AA293" s="8"/>
      <c r="AB293" s="8"/>
      <c r="AC293" s="8"/>
      <c r="AD293" s="8"/>
      <c r="AE293" s="8"/>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8"/>
      <c r="Z294" s="8"/>
      <c r="AA294" s="8"/>
      <c r="AB294" s="8"/>
      <c r="AC294" s="8"/>
      <c r="AD294" s="8"/>
      <c r="AE294" s="8"/>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8"/>
      <c r="Z295" s="8"/>
      <c r="AA295" s="8"/>
      <c r="AB295" s="8"/>
      <c r="AC295" s="8"/>
      <c r="AD295" s="8"/>
      <c r="AE295" s="8"/>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8"/>
      <c r="Z296" s="8"/>
      <c r="AA296" s="8"/>
      <c r="AB296" s="8"/>
      <c r="AC296" s="8"/>
      <c r="AD296" s="8"/>
      <c r="AE296" s="8"/>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8"/>
      <c r="Z297" s="8"/>
      <c r="AA297" s="8"/>
      <c r="AB297" s="8"/>
      <c r="AC297" s="8"/>
      <c r="AD297" s="8"/>
      <c r="AE297" s="8"/>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8"/>
      <c r="Z298" s="8"/>
      <c r="AA298" s="8"/>
      <c r="AB298" s="8"/>
      <c r="AC298" s="8"/>
      <c r="AD298" s="8"/>
      <c r="AE298" s="8"/>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8"/>
      <c r="Z299" s="8"/>
      <c r="AA299" s="8"/>
      <c r="AB299" s="8"/>
      <c r="AC299" s="8"/>
      <c r="AD299" s="8"/>
      <c r="AE299" s="8"/>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8"/>
      <c r="Z300" s="8"/>
      <c r="AA300" s="8"/>
      <c r="AB300" s="8"/>
      <c r="AC300" s="8"/>
      <c r="AD300" s="8"/>
      <c r="AE300" s="8"/>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8"/>
      <c r="Z301" s="8"/>
      <c r="AA301" s="8"/>
      <c r="AB301" s="8"/>
      <c r="AC301" s="8"/>
      <c r="AD301" s="8"/>
      <c r="AE301" s="8"/>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8"/>
      <c r="Z302" s="8"/>
      <c r="AA302" s="8"/>
      <c r="AB302" s="8"/>
      <c r="AC302" s="8"/>
      <c r="AD302" s="8"/>
      <c r="AE302" s="8"/>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8"/>
      <c r="Z303" s="8"/>
      <c r="AA303" s="8"/>
      <c r="AB303" s="8"/>
      <c r="AC303" s="8"/>
      <c r="AD303" s="8"/>
      <c r="AE303" s="8"/>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8"/>
      <c r="Z304" s="8"/>
      <c r="AA304" s="8"/>
      <c r="AB304" s="8"/>
      <c r="AC304" s="8"/>
      <c r="AD304" s="8"/>
      <c r="AE304" s="8"/>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8"/>
      <c r="Z305" s="8"/>
      <c r="AA305" s="8"/>
      <c r="AB305" s="8"/>
      <c r="AC305" s="8"/>
      <c r="AD305" s="8"/>
      <c r="AE305" s="8"/>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8"/>
      <c r="Z306" s="8"/>
      <c r="AA306" s="8"/>
      <c r="AB306" s="8"/>
      <c r="AC306" s="8"/>
      <c r="AD306" s="8"/>
      <c r="AE306" s="8"/>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8"/>
      <c r="Z307" s="8"/>
      <c r="AA307" s="8"/>
      <c r="AB307" s="8"/>
      <c r="AC307" s="8"/>
      <c r="AD307" s="8"/>
      <c r="AE307" s="8"/>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8"/>
      <c r="Z308" s="8"/>
      <c r="AA308" s="8"/>
      <c r="AB308" s="8"/>
      <c r="AC308" s="8"/>
      <c r="AD308" s="8"/>
      <c r="AE308" s="8"/>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8"/>
      <c r="Z309" s="8"/>
      <c r="AA309" s="8"/>
      <c r="AB309" s="8"/>
      <c r="AC309" s="8"/>
      <c r="AD309" s="8"/>
      <c r="AE309" s="8"/>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8"/>
      <c r="Z310" s="8"/>
      <c r="AA310" s="8"/>
      <c r="AB310" s="8"/>
      <c r="AC310" s="8"/>
      <c r="AD310" s="8"/>
      <c r="AE310" s="8"/>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8"/>
      <c r="Z311" s="8"/>
      <c r="AA311" s="8"/>
      <c r="AB311" s="8"/>
      <c r="AC311" s="8"/>
      <c r="AD311" s="8"/>
      <c r="AE311" s="8"/>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8"/>
      <c r="Z312" s="8"/>
      <c r="AA312" s="8"/>
      <c r="AB312" s="8"/>
      <c r="AC312" s="8"/>
      <c r="AD312" s="8"/>
      <c r="AE312" s="8"/>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8"/>
      <c r="Z313" s="8"/>
      <c r="AA313" s="8"/>
      <c r="AB313" s="8"/>
      <c r="AC313" s="8"/>
      <c r="AD313" s="8"/>
      <c r="AE313" s="8"/>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8"/>
      <c r="Z314" s="8"/>
      <c r="AA314" s="8"/>
      <c r="AB314" s="8"/>
      <c r="AC314" s="8"/>
      <c r="AD314" s="8"/>
      <c r="AE314" s="8"/>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8"/>
      <c r="Z315" s="8"/>
      <c r="AA315" s="8"/>
      <c r="AB315" s="8"/>
      <c r="AC315" s="8"/>
      <c r="AD315" s="8"/>
      <c r="AE315" s="8"/>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8"/>
      <c r="Z316" s="8"/>
      <c r="AA316" s="8"/>
      <c r="AB316" s="8"/>
      <c r="AC316" s="8"/>
      <c r="AD316" s="8"/>
      <c r="AE316" s="8"/>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8"/>
      <c r="Z317" s="8"/>
      <c r="AA317" s="8"/>
      <c r="AB317" s="8"/>
      <c r="AC317" s="8"/>
      <c r="AD317" s="8"/>
      <c r="AE317" s="8"/>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8"/>
      <c r="Z318" s="8"/>
      <c r="AA318" s="8"/>
      <c r="AB318" s="8"/>
      <c r="AC318" s="8"/>
      <c r="AD318" s="8"/>
      <c r="AE318" s="8"/>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8"/>
      <c r="Z319" s="8"/>
      <c r="AA319" s="8"/>
      <c r="AB319" s="8"/>
      <c r="AC319" s="8"/>
      <c r="AD319" s="8"/>
      <c r="AE319" s="8"/>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8"/>
      <c r="Z320" s="8"/>
      <c r="AA320" s="8"/>
      <c r="AB320" s="8"/>
      <c r="AC320" s="8"/>
      <c r="AD320" s="8"/>
      <c r="AE320" s="8"/>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8"/>
      <c r="Z321" s="8"/>
      <c r="AA321" s="8"/>
      <c r="AB321" s="8"/>
      <c r="AC321" s="8"/>
      <c r="AD321" s="8"/>
      <c r="AE321" s="8"/>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8"/>
      <c r="Z322" s="8"/>
      <c r="AA322" s="8"/>
      <c r="AB322" s="8"/>
      <c r="AC322" s="8"/>
      <c r="AD322" s="8"/>
      <c r="AE322" s="8"/>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8"/>
      <c r="Z323" s="8"/>
      <c r="AA323" s="8"/>
      <c r="AB323" s="8"/>
      <c r="AC323" s="8"/>
      <c r="AD323" s="8"/>
      <c r="AE323" s="8"/>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8"/>
      <c r="Z324" s="8"/>
      <c r="AA324" s="8"/>
      <c r="AB324" s="8"/>
      <c r="AC324" s="8"/>
      <c r="AD324" s="8"/>
      <c r="AE324" s="8"/>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8"/>
      <c r="Z325" s="8"/>
      <c r="AA325" s="8"/>
      <c r="AB325" s="8"/>
      <c r="AC325" s="8"/>
      <c r="AD325" s="8"/>
      <c r="AE325" s="8"/>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8"/>
      <c r="Z326" s="8"/>
      <c r="AA326" s="8"/>
      <c r="AB326" s="8"/>
      <c r="AC326" s="8"/>
      <c r="AD326" s="8"/>
      <c r="AE326" s="8"/>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8"/>
      <c r="Z327" s="8"/>
      <c r="AA327" s="8"/>
      <c r="AB327" s="8"/>
      <c r="AC327" s="8"/>
      <c r="AD327" s="8"/>
      <c r="AE327" s="8"/>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8"/>
      <c r="Z328" s="8"/>
      <c r="AA328" s="8"/>
      <c r="AB328" s="8"/>
      <c r="AC328" s="8"/>
      <c r="AD328" s="8"/>
      <c r="AE328" s="8"/>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8"/>
      <c r="Z329" s="8"/>
      <c r="AA329" s="8"/>
      <c r="AB329" s="8"/>
      <c r="AC329" s="8"/>
      <c r="AD329" s="8"/>
      <c r="AE329" s="8"/>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8"/>
      <c r="Z330" s="8"/>
      <c r="AA330" s="8"/>
      <c r="AB330" s="8"/>
      <c r="AC330" s="8"/>
      <c r="AD330" s="8"/>
      <c r="AE330" s="8"/>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8"/>
      <c r="Z331" s="8"/>
      <c r="AA331" s="8"/>
      <c r="AB331" s="8"/>
      <c r="AC331" s="8"/>
      <c r="AD331" s="8"/>
      <c r="AE331" s="8"/>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8"/>
      <c r="Z332" s="8"/>
      <c r="AA332" s="8"/>
      <c r="AB332" s="8"/>
      <c r="AC332" s="8"/>
      <c r="AD332" s="8"/>
      <c r="AE332" s="8"/>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8"/>
      <c r="Z333" s="8"/>
      <c r="AA333" s="8"/>
      <c r="AB333" s="8"/>
      <c r="AC333" s="8"/>
      <c r="AD333" s="8"/>
      <c r="AE333" s="8"/>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8"/>
      <c r="Z334" s="8"/>
      <c r="AA334" s="8"/>
      <c r="AB334" s="8"/>
      <c r="AC334" s="8"/>
      <c r="AD334" s="8"/>
      <c r="AE334" s="8"/>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8"/>
      <c r="Z335" s="8"/>
      <c r="AA335" s="8"/>
      <c r="AB335" s="8"/>
      <c r="AC335" s="8"/>
      <c r="AD335" s="8"/>
      <c r="AE335" s="8"/>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8"/>
      <c r="Z336" s="8"/>
      <c r="AA336" s="8"/>
      <c r="AB336" s="8"/>
      <c r="AC336" s="8"/>
      <c r="AD336" s="8"/>
      <c r="AE336" s="8"/>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8"/>
      <c r="Z337" s="8"/>
      <c r="AA337" s="8"/>
      <c r="AB337" s="8"/>
      <c r="AC337" s="8"/>
      <c r="AD337" s="8"/>
      <c r="AE337" s="8"/>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8"/>
      <c r="Z338" s="8"/>
      <c r="AA338" s="8"/>
      <c r="AB338" s="8"/>
      <c r="AC338" s="8"/>
      <c r="AD338" s="8"/>
      <c r="AE338" s="8"/>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8"/>
      <c r="Z339" s="8"/>
      <c r="AA339" s="8"/>
      <c r="AB339" s="8"/>
      <c r="AC339" s="8"/>
      <c r="AD339" s="8"/>
      <c r="AE339" s="8"/>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8"/>
      <c r="Z340" s="8"/>
      <c r="AA340" s="8"/>
      <c r="AB340" s="8"/>
      <c r="AC340" s="8"/>
      <c r="AD340" s="8"/>
      <c r="AE340" s="8"/>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8"/>
      <c r="Z341" s="8"/>
      <c r="AA341" s="8"/>
      <c r="AB341" s="8"/>
      <c r="AC341" s="8"/>
      <c r="AD341" s="8"/>
      <c r="AE341" s="8"/>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8"/>
      <c r="Z342" s="8"/>
      <c r="AA342" s="8"/>
      <c r="AB342" s="8"/>
      <c r="AC342" s="8"/>
      <c r="AD342" s="8"/>
      <c r="AE342" s="8"/>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8"/>
      <c r="Z343" s="8"/>
      <c r="AA343" s="8"/>
      <c r="AB343" s="8"/>
      <c r="AC343" s="8"/>
      <c r="AD343" s="8"/>
      <c r="AE343" s="8"/>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8"/>
      <c r="Z344" s="8"/>
      <c r="AA344" s="8"/>
      <c r="AB344" s="8"/>
      <c r="AC344" s="8"/>
      <c r="AD344" s="8"/>
      <c r="AE344" s="8"/>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8"/>
      <c r="Z345" s="8"/>
      <c r="AA345" s="8"/>
      <c r="AB345" s="8"/>
      <c r="AC345" s="8"/>
      <c r="AD345" s="8"/>
      <c r="AE345" s="8"/>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8"/>
      <c r="Z346" s="8"/>
      <c r="AA346" s="8"/>
      <c r="AB346" s="8"/>
      <c r="AC346" s="8"/>
      <c r="AD346" s="8"/>
      <c r="AE346" s="8"/>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8"/>
      <c r="Z347" s="8"/>
      <c r="AA347" s="8"/>
      <c r="AB347" s="8"/>
      <c r="AC347" s="8"/>
      <c r="AD347" s="8"/>
      <c r="AE347" s="8"/>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8"/>
      <c r="Z348" s="8"/>
      <c r="AA348" s="8"/>
      <c r="AB348" s="8"/>
      <c r="AC348" s="8"/>
      <c r="AD348" s="8"/>
      <c r="AE348" s="8"/>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8"/>
      <c r="Z349" s="8"/>
      <c r="AA349" s="8"/>
      <c r="AB349" s="8"/>
      <c r="AC349" s="8"/>
      <c r="AD349" s="8"/>
      <c r="AE349" s="8"/>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8"/>
      <c r="Z350" s="8"/>
      <c r="AA350" s="8"/>
      <c r="AB350" s="8"/>
      <c r="AC350" s="8"/>
      <c r="AD350" s="8"/>
      <c r="AE350" s="8"/>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8"/>
      <c r="Z351" s="8"/>
      <c r="AA351" s="8"/>
      <c r="AB351" s="8"/>
      <c r="AC351" s="8"/>
      <c r="AD351" s="8"/>
      <c r="AE351" s="8"/>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8"/>
      <c r="Z352" s="8"/>
      <c r="AA352" s="8"/>
      <c r="AB352" s="8"/>
      <c r="AC352" s="8"/>
      <c r="AD352" s="8"/>
      <c r="AE352" s="8"/>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8"/>
      <c r="Z353" s="8"/>
      <c r="AA353" s="8"/>
      <c r="AB353" s="8"/>
      <c r="AC353" s="8"/>
      <c r="AD353" s="8"/>
      <c r="AE353" s="8"/>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8"/>
      <c r="Z354" s="8"/>
      <c r="AA354" s="8"/>
      <c r="AB354" s="8"/>
      <c r="AC354" s="8"/>
      <c r="AD354" s="8"/>
      <c r="AE354" s="8"/>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8"/>
      <c r="Z355" s="8"/>
      <c r="AA355" s="8"/>
      <c r="AB355" s="8"/>
      <c r="AC355" s="8"/>
      <c r="AD355" s="8"/>
      <c r="AE355" s="8"/>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8"/>
      <c r="Z356" s="8"/>
      <c r="AA356" s="8"/>
      <c r="AB356" s="8"/>
      <c r="AC356" s="8"/>
      <c r="AD356" s="8"/>
      <c r="AE356" s="8"/>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8"/>
      <c r="AA357" s="8"/>
      <c r="AB357" s="8"/>
      <c r="AC357" s="8"/>
      <c r="AD357" s="8"/>
      <c r="AE357" s="8"/>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8"/>
      <c r="AA358" s="8"/>
      <c r="AB358" s="8"/>
      <c r="AC358" s="8"/>
      <c r="AD358" s="8"/>
      <c r="AE358" s="8"/>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8"/>
      <c r="AA359" s="8"/>
      <c r="AB359" s="8"/>
      <c r="AC359" s="8"/>
      <c r="AD359" s="8"/>
      <c r="AE359" s="8"/>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8"/>
      <c r="AA360" s="8"/>
      <c r="AB360" s="8"/>
      <c r="AC360" s="8"/>
      <c r="AD360" s="8"/>
      <c r="AE360" s="8"/>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8"/>
      <c r="AA361" s="8"/>
      <c r="AB361" s="8"/>
      <c r="AC361" s="8"/>
      <c r="AD361" s="8"/>
      <c r="AE361" s="8"/>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8"/>
      <c r="AA362" s="8"/>
      <c r="AB362" s="8"/>
      <c r="AC362" s="8"/>
      <c r="AD362" s="8"/>
      <c r="AE362" s="8"/>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8"/>
      <c r="AA363" s="8"/>
      <c r="AB363" s="8"/>
      <c r="AC363" s="8"/>
      <c r="AD363" s="8"/>
      <c r="AE363" s="8"/>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8"/>
      <c r="AA364" s="8"/>
      <c r="AB364" s="8"/>
      <c r="AC364" s="8"/>
      <c r="AD364" s="8"/>
      <c r="AE364" s="8"/>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8"/>
      <c r="AA365" s="8"/>
      <c r="AB365" s="8"/>
      <c r="AC365" s="8"/>
      <c r="AD365" s="8"/>
      <c r="AE365" s="8"/>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8"/>
      <c r="AA366" s="8"/>
      <c r="AB366" s="8"/>
      <c r="AC366" s="8"/>
      <c r="AD366" s="8"/>
      <c r="AE366" s="8"/>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8"/>
      <c r="AA367" s="8"/>
      <c r="AB367" s="8"/>
      <c r="AC367" s="8"/>
      <c r="AD367" s="8"/>
      <c r="AE367" s="8"/>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8"/>
      <c r="AA368" s="8"/>
      <c r="AB368" s="8"/>
      <c r="AC368" s="8"/>
      <c r="AD368" s="8"/>
      <c r="AE368" s="8"/>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8"/>
      <c r="AA369" s="8"/>
      <c r="AB369" s="8"/>
      <c r="AC369" s="8"/>
      <c r="AD369" s="8"/>
      <c r="AE369" s="8"/>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8"/>
      <c r="AA370" s="8"/>
      <c r="AB370" s="8"/>
      <c r="AC370" s="8"/>
      <c r="AD370" s="8"/>
      <c r="AE370" s="8"/>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8"/>
      <c r="AA371" s="8"/>
      <c r="AB371" s="8"/>
      <c r="AC371" s="8"/>
      <c r="AD371" s="8"/>
      <c r="AE371" s="8"/>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8"/>
      <c r="AA372" s="8"/>
      <c r="AB372" s="8"/>
      <c r="AC372" s="8"/>
      <c r="AD372" s="8"/>
      <c r="AE372" s="8"/>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8"/>
      <c r="AA373" s="8"/>
      <c r="AB373" s="8"/>
      <c r="AC373" s="8"/>
      <c r="AD373" s="8"/>
      <c r="AE373" s="8"/>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8"/>
      <c r="AA374" s="8"/>
      <c r="AB374" s="8"/>
      <c r="AC374" s="8"/>
      <c r="AD374" s="8"/>
      <c r="AE374" s="8"/>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8"/>
      <c r="AA375" s="8"/>
      <c r="AB375" s="8"/>
      <c r="AC375" s="8"/>
      <c r="AD375" s="8"/>
      <c r="AE375" s="8"/>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8"/>
      <c r="AA376" s="8"/>
      <c r="AB376" s="8"/>
      <c r="AC376" s="8"/>
      <c r="AD376" s="8"/>
      <c r="AE376" s="8"/>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8"/>
      <c r="AA377" s="8"/>
      <c r="AB377" s="8"/>
      <c r="AC377" s="8"/>
      <c r="AD377" s="8"/>
      <c r="AE377" s="8"/>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8"/>
      <c r="AA378" s="8"/>
      <c r="AB378" s="8"/>
      <c r="AC378" s="8"/>
      <c r="AD378" s="8"/>
      <c r="AE378" s="8"/>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8"/>
      <c r="AA379" s="8"/>
      <c r="AB379" s="8"/>
      <c r="AC379" s="8"/>
      <c r="AD379" s="8"/>
      <c r="AE379" s="8"/>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8"/>
      <c r="AA380" s="8"/>
      <c r="AB380" s="8"/>
      <c r="AC380" s="8"/>
      <c r="AD380" s="8"/>
      <c r="AE380" s="8"/>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8"/>
      <c r="AA381" s="8"/>
      <c r="AB381" s="8"/>
      <c r="AC381" s="8"/>
      <c r="AD381" s="8"/>
      <c r="AE381" s="8"/>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8"/>
      <c r="AA382" s="8"/>
      <c r="AB382" s="8"/>
      <c r="AC382" s="8"/>
      <c r="AD382" s="8"/>
      <c r="AE382" s="8"/>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8"/>
      <c r="AA383" s="8"/>
      <c r="AB383" s="8"/>
      <c r="AC383" s="8"/>
      <c r="AD383" s="8"/>
      <c r="AE383" s="8"/>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8"/>
      <c r="AA384" s="8"/>
      <c r="AB384" s="8"/>
      <c r="AC384" s="8"/>
      <c r="AD384" s="8"/>
      <c r="AE384" s="8"/>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8"/>
      <c r="AA385" s="8"/>
      <c r="AB385" s="8"/>
      <c r="AC385" s="8"/>
      <c r="AD385" s="8"/>
      <c r="AE385" s="8"/>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8"/>
      <c r="AA386" s="8"/>
      <c r="AB386" s="8"/>
      <c r="AC386" s="8"/>
      <c r="AD386" s="8"/>
      <c r="AE386" s="8"/>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8"/>
      <c r="AA387" s="8"/>
      <c r="AB387" s="8"/>
      <c r="AC387" s="8"/>
      <c r="AD387" s="8"/>
      <c r="AE387" s="8"/>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8"/>
      <c r="AA388" s="8"/>
      <c r="AB388" s="8"/>
      <c r="AC388" s="8"/>
      <c r="AD388" s="8"/>
      <c r="AE388" s="8"/>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8"/>
      <c r="AA389" s="8"/>
      <c r="AB389" s="8"/>
      <c r="AC389" s="8"/>
      <c r="AD389" s="8"/>
      <c r="AE389" s="8"/>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8"/>
      <c r="AA390" s="8"/>
      <c r="AB390" s="8"/>
      <c r="AC390" s="8"/>
      <c r="AD390" s="8"/>
      <c r="AE390" s="8"/>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8"/>
      <c r="AA391" s="8"/>
      <c r="AB391" s="8"/>
      <c r="AC391" s="8"/>
      <c r="AD391" s="8"/>
      <c r="AE391" s="8"/>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8"/>
      <c r="AA392" s="8"/>
      <c r="AB392" s="8"/>
      <c r="AC392" s="8"/>
      <c r="AD392" s="8"/>
      <c r="AE392" s="8"/>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8"/>
      <c r="AA393" s="8"/>
      <c r="AB393" s="8"/>
      <c r="AC393" s="8"/>
      <c r="AD393" s="8"/>
      <c r="AE393" s="8"/>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8"/>
      <c r="AA394" s="8"/>
      <c r="AB394" s="8"/>
      <c r="AC394" s="8"/>
      <c r="AD394" s="8"/>
      <c r="AE394" s="8"/>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8"/>
      <c r="AA395" s="8"/>
      <c r="AB395" s="8"/>
      <c r="AC395" s="8"/>
      <c r="AD395" s="8"/>
      <c r="AE395" s="8"/>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8"/>
      <c r="AA396" s="8"/>
      <c r="AB396" s="8"/>
      <c r="AC396" s="8"/>
      <c r="AD396" s="8"/>
      <c r="AE396" s="8"/>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8"/>
      <c r="AA397" s="8"/>
      <c r="AB397" s="8"/>
      <c r="AC397" s="8"/>
      <c r="AD397" s="8"/>
      <c r="AE397" s="8"/>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8"/>
      <c r="AA398" s="8"/>
      <c r="AB398" s="8"/>
      <c r="AC398" s="8"/>
      <c r="AD398" s="8"/>
      <c r="AE398" s="8"/>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8"/>
      <c r="AA399" s="8"/>
      <c r="AB399" s="8"/>
      <c r="AC399" s="8"/>
      <c r="AD399" s="8"/>
      <c r="AE399" s="8"/>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8"/>
      <c r="AA400" s="8"/>
      <c r="AB400" s="8"/>
      <c r="AC400" s="8"/>
      <c r="AD400" s="8"/>
      <c r="AE400" s="8"/>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8"/>
      <c r="AA401" s="8"/>
      <c r="AB401" s="8"/>
      <c r="AC401" s="8"/>
      <c r="AD401" s="8"/>
      <c r="AE401" s="8"/>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8"/>
      <c r="AA402" s="8"/>
      <c r="AB402" s="8"/>
      <c r="AC402" s="8"/>
      <c r="AD402" s="8"/>
      <c r="AE402" s="8"/>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8"/>
      <c r="AA403" s="8"/>
      <c r="AB403" s="8"/>
      <c r="AC403" s="8"/>
      <c r="AD403" s="8"/>
      <c r="AE403" s="8"/>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8"/>
      <c r="AA404" s="8"/>
      <c r="AB404" s="8"/>
      <c r="AC404" s="8"/>
      <c r="AD404" s="8"/>
      <c r="AE404" s="8"/>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8"/>
      <c r="AA405" s="8"/>
      <c r="AB405" s="8"/>
      <c r="AC405" s="8"/>
      <c r="AD405" s="8"/>
      <c r="AE405" s="8"/>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8"/>
      <c r="AA406" s="8"/>
      <c r="AB406" s="8"/>
      <c r="AC406" s="8"/>
      <c r="AD406" s="8"/>
      <c r="AE406" s="8"/>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8"/>
      <c r="AA407" s="8"/>
      <c r="AB407" s="8"/>
      <c r="AC407" s="8"/>
      <c r="AD407" s="8"/>
      <c r="AE407" s="8"/>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8"/>
      <c r="AA408" s="8"/>
      <c r="AB408" s="8"/>
      <c r="AC408" s="8"/>
      <c r="AD408" s="8"/>
      <c r="AE408" s="8"/>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8"/>
      <c r="AA409" s="8"/>
      <c r="AB409" s="8"/>
      <c r="AC409" s="8"/>
      <c r="AD409" s="8"/>
      <c r="AE409" s="8"/>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8"/>
      <c r="AA410" s="8"/>
      <c r="AB410" s="8"/>
      <c r="AC410" s="8"/>
      <c r="AD410" s="8"/>
      <c r="AE410" s="8"/>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8"/>
      <c r="AA411" s="8"/>
      <c r="AB411" s="8"/>
      <c r="AC411" s="8"/>
      <c r="AD411" s="8"/>
      <c r="AE411" s="8"/>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8"/>
      <c r="AA412" s="8"/>
      <c r="AB412" s="8"/>
      <c r="AC412" s="8"/>
      <c r="AD412" s="8"/>
      <c r="AE412" s="8"/>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8"/>
      <c r="AA413" s="8"/>
      <c r="AB413" s="8"/>
      <c r="AC413" s="8"/>
      <c r="AD413" s="8"/>
      <c r="AE413" s="8"/>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8"/>
      <c r="AA414" s="8"/>
      <c r="AB414" s="8"/>
      <c r="AC414" s="8"/>
      <c r="AD414" s="8"/>
      <c r="AE414" s="8"/>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8"/>
      <c r="AA415" s="8"/>
      <c r="AB415" s="8"/>
      <c r="AC415" s="8"/>
      <c r="AD415" s="8"/>
      <c r="AE415" s="8"/>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8"/>
      <c r="AA416" s="8"/>
      <c r="AB416" s="8"/>
      <c r="AC416" s="8"/>
      <c r="AD416" s="8"/>
      <c r="AE416" s="8"/>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row>
    <row r="1000">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row>
    <row r="100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c r="AB1001" s="1"/>
      <c r="AC1001" s="1"/>
      <c r="AD1001" s="1"/>
      <c r="AE1001" s="1"/>
    </row>
    <row r="1002">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c r="AA1002" s="1"/>
      <c r="AB1002" s="1"/>
      <c r="AC1002" s="1"/>
      <c r="AD1002" s="1"/>
      <c r="AE1002" s="1"/>
    </row>
    <row r="1003">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c r="AA1003" s="1"/>
      <c r="AB1003" s="1"/>
      <c r="AC1003" s="1"/>
      <c r="AD1003" s="1"/>
      <c r="AE1003" s="1"/>
    </row>
    <row r="1004">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c r="AA1004" s="1"/>
      <c r="AB1004" s="1"/>
      <c r="AC1004" s="1"/>
      <c r="AD1004" s="1"/>
      <c r="AE1004" s="1"/>
    </row>
    <row r="1005">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c r="AA1005" s="1"/>
      <c r="AB1005" s="1"/>
      <c r="AC1005" s="1"/>
      <c r="AD1005" s="1"/>
      <c r="AE1005" s="1"/>
    </row>
    <row r="1006">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c r="AA1006" s="1"/>
      <c r="AB1006" s="1"/>
      <c r="AC1006" s="1"/>
      <c r="AD1006" s="1"/>
      <c r="AE1006" s="1"/>
    </row>
    <row r="1007">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c r="AA1007" s="1"/>
      <c r="AB1007" s="1"/>
      <c r="AC1007" s="1"/>
      <c r="AD1007" s="1"/>
      <c r="AE1007" s="1"/>
    </row>
    <row r="1008">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c r="AA1008" s="1"/>
      <c r="AB1008" s="1"/>
      <c r="AC1008" s="1"/>
      <c r="AD1008" s="1"/>
      <c r="AE1008" s="1"/>
    </row>
    <row r="1009">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c r="AA1009" s="1"/>
      <c r="AB1009" s="1"/>
      <c r="AC1009" s="1"/>
      <c r="AD1009" s="1"/>
      <c r="AE1009" s="1"/>
    </row>
    <row r="1010">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c r="AA1010" s="1"/>
      <c r="AB1010" s="1"/>
      <c r="AC1010" s="1"/>
      <c r="AD1010" s="1"/>
      <c r="AE1010" s="1"/>
    </row>
    <row r="1011">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c r="AA1011" s="1"/>
      <c r="AB1011" s="1"/>
      <c r="AC1011" s="1"/>
      <c r="AD1011" s="1"/>
      <c r="AE1011" s="1"/>
    </row>
    <row r="1012">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c r="AA1012" s="1"/>
      <c r="AB1012" s="1"/>
      <c r="AC1012" s="1"/>
      <c r="AD1012" s="1"/>
      <c r="AE1012" s="1"/>
    </row>
    <row r="1013">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c r="AA1013" s="1"/>
      <c r="AB1013" s="1"/>
      <c r="AC1013" s="1"/>
      <c r="AD1013" s="1"/>
      <c r="AE1013" s="1"/>
    </row>
    <row r="1014">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c r="AA1014" s="1"/>
      <c r="AB1014" s="1"/>
      <c r="AC1014" s="1"/>
      <c r="AD1014" s="1"/>
      <c r="AE1014" s="1"/>
    </row>
    <row r="1015">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c r="AA1015" s="1"/>
      <c r="AB1015" s="1"/>
      <c r="AC1015" s="1"/>
      <c r="AD1015" s="1"/>
      <c r="AE1015" s="1"/>
    </row>
    <row r="1016">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c r="AA1016" s="1"/>
      <c r="AB1016" s="1"/>
      <c r="AC1016" s="1"/>
      <c r="AD1016" s="1"/>
      <c r="AE1016" s="1"/>
    </row>
    <row r="1017">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c r="AA1017" s="1"/>
      <c r="AB1017" s="1"/>
      <c r="AC1017" s="1"/>
      <c r="AD1017" s="1"/>
      <c r="AE1017" s="1"/>
    </row>
    <row r="1018">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c r="AA1018" s="1"/>
      <c r="AB1018" s="1"/>
      <c r="AC1018" s="1"/>
      <c r="AD1018" s="1"/>
      <c r="AE1018" s="1"/>
    </row>
    <row r="1019">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c r="AA1019" s="1"/>
      <c r="AB1019" s="1"/>
      <c r="AC1019" s="1"/>
      <c r="AD1019" s="1"/>
      <c r="AE1019" s="1"/>
    </row>
    <row r="1020">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c r="AA1020" s="1"/>
      <c r="AB1020" s="1"/>
      <c r="AC1020" s="1"/>
      <c r="AD1020" s="1"/>
      <c r="AE1020" s="1"/>
    </row>
    <row r="1021">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c r="Z1021" s="1"/>
      <c r="AA1021" s="1"/>
      <c r="AB1021" s="1"/>
      <c r="AC1021" s="1"/>
      <c r="AD1021" s="1"/>
      <c r="AE1021" s="1"/>
    </row>
    <row r="1022">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c r="Z1022" s="1"/>
      <c r="AA1022" s="1"/>
      <c r="AB1022" s="1"/>
      <c r="AC1022" s="1"/>
      <c r="AD1022" s="1"/>
      <c r="AE1022" s="1"/>
    </row>
    <row r="1023">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c r="Z1023" s="1"/>
      <c r="AA1023" s="1"/>
      <c r="AB1023" s="1"/>
      <c r="AC1023" s="1"/>
      <c r="AD1023" s="1"/>
      <c r="AE1023" s="1"/>
    </row>
    <row r="1024">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c r="Z1024" s="1"/>
      <c r="AA1024" s="1"/>
      <c r="AB1024" s="1"/>
      <c r="AC1024" s="1"/>
      <c r="AD1024" s="1"/>
      <c r="AE1024" s="1"/>
    </row>
    <row r="1025">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c r="Z1025" s="1"/>
      <c r="AA1025" s="1"/>
      <c r="AB1025" s="1"/>
      <c r="AC1025" s="1"/>
      <c r="AD1025" s="1"/>
      <c r="AE1025" s="1"/>
    </row>
    <row r="1026">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c r="Z1026" s="1"/>
      <c r="AA1026" s="1"/>
      <c r="AB1026" s="1"/>
      <c r="AC1026" s="1"/>
      <c r="AD1026" s="1"/>
      <c r="AE1026" s="1"/>
    </row>
    <row r="1027">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c r="Z1027" s="1"/>
      <c r="AA1027" s="1"/>
      <c r="AB1027" s="1"/>
      <c r="AC1027" s="1"/>
      <c r="AD1027" s="1"/>
      <c r="AE1027" s="1"/>
    </row>
    <row r="1028">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c r="Z1028" s="1"/>
      <c r="AA1028" s="1"/>
      <c r="AB1028" s="1"/>
      <c r="AC1028" s="1"/>
      <c r="AD1028" s="1"/>
      <c r="AE1028" s="1"/>
    </row>
    <row r="1029">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c r="Z1029" s="1"/>
      <c r="AA1029" s="1"/>
      <c r="AB1029" s="1"/>
      <c r="AC1029" s="1"/>
      <c r="AD1029" s="1"/>
      <c r="AE1029" s="1"/>
    </row>
    <row r="1030">
      <c r="A1030" s="1"/>
      <c r="B1030" s="1"/>
      <c r="C1030" s="1"/>
      <c r="D1030" s="1"/>
      <c r="E1030" s="1"/>
      <c r="F1030" s="1"/>
      <c r="G1030" s="1"/>
      <c r="H1030" s="1"/>
      <c r="I1030" s="1"/>
      <c r="J1030" s="1"/>
      <c r="K1030" s="1"/>
      <c r="L1030" s="1"/>
      <c r="M1030" s="1"/>
      <c r="N1030" s="1"/>
      <c r="O1030" s="1"/>
      <c r="P1030" s="1"/>
      <c r="Q1030" s="1"/>
      <c r="R1030" s="1"/>
      <c r="S1030" s="1"/>
      <c r="T1030" s="1"/>
      <c r="U1030" s="1"/>
      <c r="V1030" s="1"/>
      <c r="W1030" s="1"/>
      <c r="X1030" s="1"/>
      <c r="Y1030" s="1"/>
      <c r="Z1030" s="1"/>
      <c r="AA1030" s="1"/>
      <c r="AB1030" s="1"/>
      <c r="AC1030" s="1"/>
      <c r="AD1030" s="1"/>
      <c r="AE1030" s="1"/>
    </row>
    <row r="1031">
      <c r="A1031" s="1"/>
      <c r="B1031" s="1"/>
      <c r="C1031" s="1"/>
      <c r="D1031" s="1"/>
      <c r="E1031" s="1"/>
      <c r="F1031" s="1"/>
      <c r="G1031" s="1"/>
      <c r="H1031" s="1"/>
      <c r="I1031" s="1"/>
      <c r="J1031" s="1"/>
      <c r="K1031" s="1"/>
      <c r="L1031" s="1"/>
      <c r="M1031" s="1"/>
      <c r="N1031" s="1"/>
      <c r="O1031" s="1"/>
      <c r="P1031" s="1"/>
      <c r="Q1031" s="1"/>
      <c r="R1031" s="1"/>
      <c r="S1031" s="1"/>
      <c r="T1031" s="1"/>
      <c r="U1031" s="1"/>
      <c r="V1031" s="1"/>
      <c r="W1031" s="1"/>
      <c r="X1031" s="1"/>
      <c r="Y1031" s="1"/>
      <c r="Z1031" s="1"/>
      <c r="AA1031" s="1"/>
      <c r="AB1031" s="1"/>
      <c r="AC1031" s="1"/>
      <c r="AD1031" s="1"/>
      <c r="AE1031" s="1"/>
    </row>
    <row r="1032">
      <c r="A1032" s="1"/>
      <c r="B1032" s="1"/>
      <c r="C1032" s="1"/>
      <c r="D1032" s="1"/>
      <c r="E1032" s="1"/>
      <c r="F1032" s="1"/>
      <c r="G1032" s="1"/>
      <c r="H1032" s="1"/>
      <c r="I1032" s="1"/>
      <c r="J1032" s="1"/>
      <c r="K1032" s="1"/>
      <c r="L1032" s="1"/>
      <c r="M1032" s="1"/>
      <c r="N1032" s="1"/>
      <c r="O1032" s="1"/>
      <c r="P1032" s="1"/>
      <c r="Q1032" s="1"/>
      <c r="R1032" s="1"/>
      <c r="S1032" s="1"/>
      <c r="T1032" s="1"/>
      <c r="U1032" s="1"/>
      <c r="V1032" s="1"/>
      <c r="W1032" s="1"/>
      <c r="X1032" s="1"/>
      <c r="Y1032" s="1"/>
      <c r="Z1032" s="1"/>
      <c r="AA1032" s="1"/>
      <c r="AB1032" s="1"/>
      <c r="AC1032" s="1"/>
      <c r="AD1032" s="1"/>
      <c r="AE1032" s="1"/>
    </row>
    <row r="1033">
      <c r="A1033" s="1"/>
      <c r="B1033" s="1"/>
      <c r="C1033" s="1"/>
      <c r="D1033" s="1"/>
      <c r="E1033" s="1"/>
      <c r="F1033" s="1"/>
      <c r="G1033" s="1"/>
      <c r="H1033" s="1"/>
      <c r="I1033" s="1"/>
      <c r="J1033" s="1"/>
      <c r="K1033" s="1"/>
      <c r="L1033" s="1"/>
      <c r="M1033" s="1"/>
      <c r="N1033" s="1"/>
      <c r="O1033" s="1"/>
      <c r="P1033" s="1"/>
      <c r="Q1033" s="1"/>
      <c r="R1033" s="1"/>
      <c r="S1033" s="1"/>
      <c r="T1033" s="1"/>
      <c r="U1033" s="1"/>
      <c r="V1033" s="1"/>
      <c r="W1033" s="1"/>
      <c r="X1033" s="1"/>
      <c r="Y1033" s="1"/>
      <c r="Z1033" s="1"/>
      <c r="AA1033" s="1"/>
      <c r="AB1033" s="1"/>
      <c r="AC1033" s="1"/>
      <c r="AD1033" s="1"/>
      <c r="AE1033" s="1"/>
    </row>
    <row r="1034">
      <c r="A1034" s="1"/>
      <c r="B1034" s="1"/>
      <c r="C1034" s="1"/>
      <c r="D1034" s="1"/>
      <c r="E1034" s="1"/>
      <c r="F1034" s="1"/>
      <c r="G1034" s="1"/>
      <c r="H1034" s="1"/>
      <c r="I1034" s="1"/>
      <c r="J1034" s="1"/>
      <c r="K1034" s="1"/>
      <c r="L1034" s="1"/>
      <c r="M1034" s="1"/>
      <c r="N1034" s="1"/>
      <c r="O1034" s="1"/>
      <c r="P1034" s="1"/>
      <c r="Q1034" s="1"/>
      <c r="R1034" s="1"/>
      <c r="S1034" s="1"/>
      <c r="T1034" s="1"/>
      <c r="U1034" s="1"/>
      <c r="V1034" s="1"/>
      <c r="W1034" s="1"/>
      <c r="X1034" s="1"/>
      <c r="Y1034" s="1"/>
      <c r="Z1034" s="1"/>
      <c r="AA1034" s="1"/>
      <c r="AB1034" s="1"/>
      <c r="AC1034" s="1"/>
      <c r="AD1034" s="1"/>
      <c r="AE1034" s="1"/>
    </row>
    <row r="1035">
      <c r="A1035" s="1"/>
      <c r="B1035" s="1"/>
      <c r="C1035" s="1"/>
      <c r="D1035" s="1"/>
      <c r="E1035" s="1"/>
      <c r="F1035" s="1"/>
      <c r="G1035" s="1"/>
      <c r="H1035" s="1"/>
      <c r="I1035" s="1"/>
      <c r="J1035" s="1"/>
      <c r="K1035" s="1"/>
      <c r="L1035" s="1"/>
      <c r="M1035" s="1"/>
      <c r="N1035" s="1"/>
      <c r="O1035" s="1"/>
      <c r="P1035" s="1"/>
      <c r="Q1035" s="1"/>
      <c r="R1035" s="1"/>
      <c r="S1035" s="1"/>
      <c r="T1035" s="1"/>
      <c r="U1035" s="1"/>
      <c r="V1035" s="1"/>
      <c r="W1035" s="1"/>
      <c r="X1035" s="1"/>
      <c r="Y1035" s="1"/>
      <c r="Z1035" s="1"/>
      <c r="AA1035" s="1"/>
      <c r="AB1035" s="1"/>
      <c r="AC1035" s="1"/>
      <c r="AD1035" s="1"/>
      <c r="AE1035" s="1"/>
    </row>
    <row r="1036">
      <c r="A1036" s="1"/>
      <c r="B1036" s="1"/>
      <c r="C1036" s="1"/>
      <c r="D1036" s="1"/>
      <c r="E1036" s="1"/>
      <c r="F1036" s="1"/>
      <c r="G1036" s="1"/>
      <c r="H1036" s="1"/>
      <c r="I1036" s="1"/>
      <c r="J1036" s="1"/>
      <c r="K1036" s="1"/>
      <c r="L1036" s="1"/>
      <c r="M1036" s="1"/>
      <c r="N1036" s="1"/>
      <c r="O1036" s="1"/>
      <c r="P1036" s="1"/>
      <c r="Q1036" s="1"/>
      <c r="R1036" s="1"/>
      <c r="S1036" s="1"/>
      <c r="T1036" s="1"/>
      <c r="U1036" s="1"/>
      <c r="V1036" s="1"/>
      <c r="W1036" s="1"/>
      <c r="X1036" s="1"/>
      <c r="Y1036" s="1"/>
      <c r="Z1036" s="1"/>
      <c r="AA1036" s="1"/>
      <c r="AB1036" s="1"/>
      <c r="AC1036" s="1"/>
      <c r="AD1036" s="1"/>
      <c r="AE1036" s="1"/>
    </row>
    <row r="1037">
      <c r="A1037" s="1"/>
      <c r="B1037" s="1"/>
      <c r="C1037" s="1"/>
      <c r="D1037" s="1"/>
      <c r="E1037" s="1"/>
      <c r="F1037" s="1"/>
      <c r="G1037" s="1"/>
      <c r="H1037" s="1"/>
      <c r="I1037" s="1"/>
      <c r="J1037" s="1"/>
      <c r="K1037" s="1"/>
      <c r="L1037" s="1"/>
      <c r="M1037" s="1"/>
      <c r="N1037" s="1"/>
      <c r="O1037" s="1"/>
      <c r="P1037" s="1"/>
      <c r="Q1037" s="1"/>
      <c r="R1037" s="1"/>
      <c r="S1037" s="1"/>
      <c r="T1037" s="1"/>
      <c r="U1037" s="1"/>
      <c r="V1037" s="1"/>
      <c r="W1037" s="1"/>
      <c r="X1037" s="1"/>
      <c r="Y1037" s="1"/>
      <c r="Z1037" s="1"/>
      <c r="AA1037" s="1"/>
      <c r="AB1037" s="1"/>
      <c r="AC1037" s="1"/>
      <c r="AD1037" s="1"/>
      <c r="AE1037" s="1"/>
    </row>
    <row r="1038">
      <c r="A1038" s="1"/>
      <c r="B1038" s="1"/>
      <c r="C1038" s="1"/>
      <c r="D1038" s="1"/>
      <c r="E1038" s="1"/>
      <c r="F1038" s="1"/>
      <c r="G1038" s="1"/>
      <c r="H1038" s="1"/>
      <c r="I1038" s="1"/>
      <c r="J1038" s="1"/>
      <c r="K1038" s="1"/>
      <c r="L1038" s="1"/>
      <c r="M1038" s="1"/>
      <c r="N1038" s="1"/>
      <c r="O1038" s="1"/>
      <c r="P1038" s="1"/>
      <c r="Q1038" s="1"/>
      <c r="R1038" s="1"/>
      <c r="S1038" s="1"/>
      <c r="T1038" s="1"/>
      <c r="U1038" s="1"/>
      <c r="V1038" s="1"/>
      <c r="W1038" s="1"/>
      <c r="X1038" s="1"/>
      <c r="Y1038" s="1"/>
      <c r="Z1038" s="1"/>
      <c r="AA1038" s="1"/>
      <c r="AB1038" s="1"/>
      <c r="AC1038" s="1"/>
      <c r="AD1038" s="1"/>
      <c r="AE1038" s="1"/>
    </row>
    <row r="1039">
      <c r="A1039" s="1"/>
      <c r="B1039" s="1"/>
      <c r="C1039" s="1"/>
      <c r="D1039" s="1"/>
      <c r="E1039" s="1"/>
      <c r="F1039" s="1"/>
      <c r="G1039" s="1"/>
      <c r="H1039" s="1"/>
      <c r="I1039" s="1"/>
      <c r="J1039" s="1"/>
      <c r="K1039" s="1"/>
      <c r="L1039" s="1"/>
      <c r="M1039" s="1"/>
      <c r="N1039" s="1"/>
      <c r="O1039" s="1"/>
      <c r="P1039" s="1"/>
      <c r="Q1039" s="1"/>
      <c r="R1039" s="1"/>
      <c r="S1039" s="1"/>
      <c r="T1039" s="1"/>
      <c r="U1039" s="1"/>
      <c r="V1039" s="1"/>
      <c r="W1039" s="1"/>
      <c r="X1039" s="1"/>
      <c r="Y1039" s="1"/>
      <c r="Z1039" s="1"/>
      <c r="AA1039" s="1"/>
      <c r="AB1039" s="1"/>
      <c r="AC1039" s="1"/>
      <c r="AD1039" s="1"/>
      <c r="AE1039" s="1"/>
    </row>
    <row r="1040">
      <c r="A1040" s="1"/>
      <c r="B1040" s="1"/>
      <c r="C1040" s="1"/>
      <c r="D1040" s="1"/>
      <c r="E1040" s="1"/>
      <c r="F1040" s="1"/>
      <c r="G1040" s="1"/>
      <c r="H1040" s="1"/>
      <c r="I1040" s="1"/>
      <c r="J1040" s="1"/>
      <c r="K1040" s="1"/>
      <c r="L1040" s="1"/>
      <c r="M1040" s="1"/>
      <c r="N1040" s="1"/>
      <c r="O1040" s="1"/>
      <c r="P1040" s="1"/>
      <c r="Q1040" s="1"/>
      <c r="R1040" s="1"/>
      <c r="S1040" s="1"/>
      <c r="T1040" s="1"/>
      <c r="U1040" s="1"/>
      <c r="V1040" s="1"/>
      <c r="W1040" s="1"/>
      <c r="X1040" s="1"/>
      <c r="Y1040" s="1"/>
      <c r="Z1040" s="1"/>
      <c r="AA1040" s="1"/>
      <c r="AB1040" s="1"/>
      <c r="AC1040" s="1"/>
      <c r="AD1040" s="1"/>
      <c r="AE1040" s="1"/>
    </row>
    <row r="1041">
      <c r="A1041" s="1"/>
      <c r="B1041" s="1"/>
      <c r="C1041" s="1"/>
      <c r="D1041" s="1"/>
      <c r="E1041" s="1"/>
      <c r="F1041" s="1"/>
      <c r="G1041" s="1"/>
      <c r="H1041" s="1"/>
      <c r="I1041" s="1"/>
      <c r="J1041" s="1"/>
      <c r="K1041" s="1"/>
      <c r="L1041" s="1"/>
      <c r="M1041" s="1"/>
      <c r="N1041" s="1"/>
      <c r="O1041" s="1"/>
      <c r="P1041" s="1"/>
      <c r="Q1041" s="1"/>
      <c r="R1041" s="1"/>
      <c r="S1041" s="1"/>
      <c r="T1041" s="1"/>
      <c r="U1041" s="1"/>
      <c r="V1041" s="1"/>
      <c r="W1041" s="1"/>
      <c r="X1041" s="1"/>
      <c r="Y1041" s="1"/>
      <c r="Z1041" s="1"/>
      <c r="AA1041" s="1"/>
      <c r="AB1041" s="1"/>
      <c r="AC1041" s="1"/>
      <c r="AD1041" s="1"/>
      <c r="AE1041" s="1"/>
    </row>
    <row r="1042">
      <c r="A1042" s="1"/>
      <c r="B1042" s="1"/>
      <c r="C1042" s="1"/>
      <c r="D1042" s="1"/>
      <c r="E1042" s="1"/>
      <c r="F1042" s="1"/>
      <c r="G1042" s="1"/>
      <c r="H1042" s="1"/>
      <c r="I1042" s="1"/>
      <c r="J1042" s="1"/>
      <c r="K1042" s="1"/>
      <c r="L1042" s="1"/>
      <c r="M1042" s="1"/>
      <c r="N1042" s="1"/>
      <c r="O1042" s="1"/>
      <c r="P1042" s="1"/>
      <c r="Q1042" s="1"/>
      <c r="R1042" s="1"/>
      <c r="S1042" s="1"/>
      <c r="T1042" s="1"/>
      <c r="U1042" s="1"/>
      <c r="V1042" s="1"/>
      <c r="W1042" s="1"/>
      <c r="X1042" s="1"/>
      <c r="Y1042" s="1"/>
      <c r="Z1042" s="1"/>
      <c r="AA1042" s="1"/>
      <c r="AB1042" s="1"/>
      <c r="AC1042" s="1"/>
      <c r="AD1042" s="1"/>
      <c r="AE1042" s="1"/>
    </row>
    <row r="1043">
      <c r="A1043" s="1"/>
      <c r="B1043" s="1"/>
      <c r="C1043" s="1"/>
      <c r="D1043" s="1"/>
      <c r="E1043" s="1"/>
      <c r="F1043" s="1"/>
      <c r="G1043" s="1"/>
      <c r="H1043" s="1"/>
      <c r="I1043" s="1"/>
      <c r="J1043" s="1"/>
      <c r="K1043" s="1"/>
      <c r="L1043" s="1"/>
      <c r="M1043" s="1"/>
      <c r="N1043" s="1"/>
      <c r="O1043" s="1"/>
      <c r="P1043" s="1"/>
      <c r="Q1043" s="1"/>
      <c r="R1043" s="1"/>
      <c r="S1043" s="1"/>
      <c r="T1043" s="1"/>
      <c r="U1043" s="1"/>
      <c r="V1043" s="1"/>
      <c r="W1043" s="1"/>
      <c r="X1043" s="1"/>
      <c r="Y1043" s="1"/>
      <c r="Z1043" s="1"/>
      <c r="AA1043" s="1"/>
      <c r="AB1043" s="1"/>
      <c r="AC1043" s="1"/>
      <c r="AD1043" s="1"/>
      <c r="AE1043" s="1"/>
    </row>
    <row r="1044">
      <c r="A1044" s="1"/>
      <c r="B1044" s="1"/>
      <c r="C1044" s="1"/>
      <c r="D1044" s="1"/>
      <c r="E1044" s="1"/>
      <c r="F1044" s="1"/>
      <c r="G1044" s="1"/>
      <c r="H1044" s="1"/>
      <c r="I1044" s="1"/>
      <c r="J1044" s="1"/>
      <c r="K1044" s="1"/>
      <c r="L1044" s="1"/>
      <c r="M1044" s="1"/>
      <c r="N1044" s="1"/>
      <c r="O1044" s="1"/>
      <c r="P1044" s="1"/>
      <c r="Q1044" s="1"/>
      <c r="R1044" s="1"/>
      <c r="S1044" s="1"/>
      <c r="T1044" s="1"/>
      <c r="U1044" s="1"/>
      <c r="V1044" s="1"/>
      <c r="W1044" s="1"/>
      <c r="X1044" s="1"/>
      <c r="Y1044" s="1"/>
      <c r="Z1044" s="1"/>
      <c r="AA1044" s="1"/>
      <c r="AB1044" s="1"/>
      <c r="AC1044" s="1"/>
      <c r="AD1044" s="1"/>
      <c r="AE1044" s="1"/>
    </row>
    <row r="1045">
      <c r="A1045" s="1"/>
      <c r="B1045" s="1"/>
      <c r="C1045" s="1"/>
      <c r="D1045" s="1"/>
      <c r="E1045" s="1"/>
      <c r="F1045" s="1"/>
      <c r="G1045" s="1"/>
      <c r="H1045" s="1"/>
      <c r="I1045" s="1"/>
      <c r="J1045" s="1"/>
      <c r="K1045" s="1"/>
      <c r="L1045" s="1"/>
      <c r="M1045" s="1"/>
      <c r="N1045" s="1"/>
      <c r="O1045" s="1"/>
      <c r="P1045" s="1"/>
      <c r="Q1045" s="1"/>
      <c r="R1045" s="1"/>
      <c r="S1045" s="1"/>
      <c r="T1045" s="1"/>
      <c r="U1045" s="1"/>
      <c r="V1045" s="1"/>
      <c r="W1045" s="1"/>
      <c r="X1045" s="1"/>
      <c r="Y1045" s="1"/>
      <c r="Z1045" s="1"/>
      <c r="AA1045" s="1"/>
      <c r="AB1045" s="1"/>
      <c r="AC1045" s="1"/>
      <c r="AD1045" s="1"/>
      <c r="AE1045" s="1"/>
    </row>
    <row r="1046">
      <c r="A1046" s="1"/>
      <c r="B1046" s="1"/>
      <c r="C1046" s="1"/>
      <c r="D1046" s="1"/>
      <c r="E1046" s="1"/>
      <c r="F1046" s="1"/>
      <c r="G1046" s="1"/>
      <c r="H1046" s="1"/>
      <c r="I1046" s="1"/>
      <c r="J1046" s="1"/>
      <c r="K1046" s="1"/>
      <c r="L1046" s="1"/>
      <c r="M1046" s="1"/>
      <c r="N1046" s="1"/>
      <c r="O1046" s="1"/>
      <c r="P1046" s="1"/>
      <c r="Q1046" s="1"/>
      <c r="R1046" s="1"/>
      <c r="S1046" s="1"/>
      <c r="T1046" s="1"/>
      <c r="U1046" s="1"/>
      <c r="V1046" s="1"/>
      <c r="W1046" s="1"/>
      <c r="X1046" s="1"/>
      <c r="Y1046" s="1"/>
      <c r="Z1046" s="1"/>
      <c r="AA1046" s="1"/>
      <c r="AB1046" s="1"/>
      <c r="AC1046" s="1"/>
      <c r="AD1046" s="1"/>
      <c r="AE1046" s="1"/>
    </row>
    <row r="1047">
      <c r="A1047" s="1"/>
      <c r="B1047" s="1"/>
      <c r="C1047" s="1"/>
      <c r="D1047" s="1"/>
      <c r="E1047" s="1"/>
      <c r="F1047" s="1"/>
      <c r="G1047" s="1"/>
      <c r="H1047" s="1"/>
      <c r="I1047" s="1"/>
      <c r="J1047" s="1"/>
      <c r="K1047" s="1"/>
      <c r="L1047" s="1"/>
      <c r="M1047" s="1"/>
      <c r="N1047" s="1"/>
      <c r="O1047" s="1"/>
      <c r="P1047" s="1"/>
      <c r="Q1047" s="1"/>
      <c r="R1047" s="1"/>
      <c r="S1047" s="1"/>
      <c r="T1047" s="1"/>
      <c r="U1047" s="1"/>
      <c r="V1047" s="1"/>
      <c r="W1047" s="1"/>
      <c r="X1047" s="1"/>
      <c r="Y1047" s="1"/>
      <c r="Z1047" s="1"/>
      <c r="AA1047" s="1"/>
      <c r="AB1047" s="1"/>
      <c r="AC1047" s="1"/>
      <c r="AD1047" s="1"/>
      <c r="AE1047" s="1"/>
    </row>
    <row r="1048">
      <c r="A1048" s="1"/>
      <c r="B1048" s="1"/>
      <c r="C1048" s="1"/>
      <c r="D1048" s="1"/>
      <c r="E1048" s="1"/>
      <c r="F1048" s="1"/>
      <c r="G1048" s="1"/>
      <c r="H1048" s="1"/>
      <c r="I1048" s="1"/>
      <c r="J1048" s="1"/>
      <c r="K1048" s="1"/>
      <c r="L1048" s="1"/>
      <c r="M1048" s="1"/>
      <c r="N1048" s="1"/>
      <c r="O1048" s="1"/>
      <c r="P1048" s="1"/>
      <c r="Q1048" s="1"/>
      <c r="R1048" s="1"/>
      <c r="S1048" s="1"/>
      <c r="T1048" s="1"/>
      <c r="U1048" s="1"/>
      <c r="V1048" s="1"/>
      <c r="W1048" s="1"/>
      <c r="X1048" s="1"/>
      <c r="Y1048" s="1"/>
      <c r="Z1048" s="1"/>
      <c r="AA1048" s="1"/>
      <c r="AB1048" s="1"/>
      <c r="AC1048" s="1"/>
      <c r="AD1048" s="1"/>
      <c r="AE1048" s="1"/>
    </row>
    <row r="1049">
      <c r="A1049" s="1"/>
      <c r="B1049" s="1"/>
      <c r="C1049" s="1"/>
      <c r="D1049" s="1"/>
      <c r="E1049" s="1"/>
      <c r="F1049" s="1"/>
      <c r="G1049" s="1"/>
      <c r="H1049" s="1"/>
      <c r="I1049" s="1"/>
      <c r="J1049" s="1"/>
      <c r="K1049" s="1"/>
      <c r="L1049" s="1"/>
      <c r="M1049" s="1"/>
      <c r="N1049" s="1"/>
      <c r="O1049" s="1"/>
      <c r="P1049" s="1"/>
      <c r="Q1049" s="1"/>
      <c r="R1049" s="1"/>
      <c r="S1049" s="1"/>
      <c r="T1049" s="1"/>
      <c r="U1049" s="1"/>
      <c r="V1049" s="1"/>
      <c r="W1049" s="1"/>
      <c r="X1049" s="1"/>
      <c r="Y1049" s="1"/>
      <c r="Z1049" s="1"/>
      <c r="AA1049" s="1"/>
      <c r="AB1049" s="1"/>
      <c r="AC1049" s="1"/>
      <c r="AD1049" s="1"/>
      <c r="AE1049" s="1"/>
    </row>
    <row r="1050">
      <c r="A1050" s="1"/>
      <c r="B1050" s="1"/>
      <c r="C1050" s="1"/>
      <c r="D1050" s="1"/>
      <c r="E1050" s="1"/>
      <c r="F1050" s="1"/>
      <c r="G1050" s="1"/>
      <c r="H1050" s="1"/>
      <c r="I1050" s="1"/>
      <c r="J1050" s="1"/>
      <c r="K1050" s="1"/>
      <c r="L1050" s="1"/>
      <c r="M1050" s="1"/>
      <c r="N1050" s="1"/>
      <c r="O1050" s="1"/>
      <c r="P1050" s="1"/>
      <c r="Q1050" s="1"/>
      <c r="R1050" s="1"/>
      <c r="S1050" s="1"/>
      <c r="T1050" s="1"/>
      <c r="U1050" s="1"/>
      <c r="V1050" s="1"/>
      <c r="W1050" s="1"/>
      <c r="X1050" s="1"/>
      <c r="Y1050" s="1"/>
      <c r="Z1050" s="1"/>
      <c r="AA1050" s="1"/>
      <c r="AB1050" s="1"/>
      <c r="AC1050" s="1"/>
      <c r="AD1050" s="1"/>
      <c r="AE1050" s="1"/>
    </row>
    <row r="1051">
      <c r="A1051" s="1"/>
      <c r="B1051" s="1"/>
      <c r="C1051" s="1"/>
      <c r="D1051" s="1"/>
      <c r="E1051" s="1"/>
      <c r="F1051" s="1"/>
      <c r="G1051" s="1"/>
      <c r="H1051" s="1"/>
      <c r="I1051" s="1"/>
      <c r="J1051" s="1"/>
      <c r="K1051" s="1"/>
      <c r="L1051" s="1"/>
      <c r="M1051" s="1"/>
      <c r="N1051" s="1"/>
      <c r="O1051" s="1"/>
      <c r="P1051" s="1"/>
      <c r="Q1051" s="1"/>
      <c r="R1051" s="1"/>
      <c r="S1051" s="1"/>
      <c r="T1051" s="1"/>
      <c r="U1051" s="1"/>
      <c r="V1051" s="1"/>
      <c r="W1051" s="1"/>
      <c r="X1051" s="1"/>
      <c r="Y1051" s="1"/>
      <c r="Z1051" s="1"/>
      <c r="AA1051" s="1"/>
      <c r="AB1051" s="1"/>
      <c r="AC1051" s="1"/>
      <c r="AD1051" s="1"/>
      <c r="AE1051" s="1"/>
    </row>
    <row r="1052">
      <c r="A1052" s="1"/>
      <c r="B1052" s="1"/>
      <c r="C1052" s="1"/>
      <c r="D1052" s="1"/>
      <c r="E1052" s="1"/>
      <c r="F1052" s="1"/>
      <c r="G1052" s="1"/>
      <c r="H1052" s="1"/>
      <c r="I1052" s="1"/>
      <c r="J1052" s="1"/>
      <c r="K1052" s="1"/>
      <c r="L1052" s="1"/>
      <c r="M1052" s="1"/>
      <c r="N1052" s="1"/>
      <c r="O1052" s="1"/>
      <c r="P1052" s="1"/>
      <c r="Q1052" s="1"/>
      <c r="R1052" s="1"/>
      <c r="S1052" s="1"/>
      <c r="T1052" s="1"/>
      <c r="U1052" s="1"/>
      <c r="V1052" s="1"/>
      <c r="W1052" s="1"/>
      <c r="X1052" s="1"/>
      <c r="Y1052" s="1"/>
      <c r="Z1052" s="1"/>
      <c r="AA1052" s="1"/>
      <c r="AB1052" s="1"/>
      <c r="AC1052" s="1"/>
      <c r="AD1052" s="1"/>
      <c r="AE1052" s="1"/>
    </row>
    <row r="1053">
      <c r="A1053" s="1"/>
      <c r="B1053" s="1"/>
      <c r="C1053" s="1"/>
      <c r="D1053" s="1"/>
      <c r="E1053" s="1"/>
      <c r="F1053" s="1"/>
      <c r="G1053" s="1"/>
      <c r="H1053" s="1"/>
      <c r="I1053" s="1"/>
      <c r="J1053" s="1"/>
      <c r="K1053" s="1"/>
      <c r="L1053" s="1"/>
      <c r="M1053" s="1"/>
      <c r="N1053" s="1"/>
      <c r="O1053" s="1"/>
      <c r="P1053" s="1"/>
      <c r="Q1053" s="1"/>
      <c r="R1053" s="1"/>
      <c r="S1053" s="1"/>
      <c r="T1053" s="1"/>
      <c r="U1053" s="1"/>
      <c r="V1053" s="1"/>
      <c r="W1053" s="1"/>
      <c r="X1053" s="1"/>
      <c r="Y1053" s="1"/>
      <c r="Z1053" s="1"/>
      <c r="AA1053" s="1"/>
      <c r="AB1053" s="1"/>
      <c r="AC1053" s="1"/>
      <c r="AD1053" s="1"/>
      <c r="AE1053" s="1"/>
    </row>
    <row r="1054">
      <c r="A1054" s="1"/>
      <c r="B1054" s="1"/>
      <c r="C1054" s="1"/>
      <c r="D1054" s="1"/>
      <c r="E1054" s="1"/>
      <c r="F1054" s="1"/>
      <c r="G1054" s="1"/>
      <c r="H1054" s="1"/>
      <c r="I1054" s="1"/>
      <c r="J1054" s="1"/>
      <c r="K1054" s="1"/>
      <c r="L1054" s="1"/>
      <c r="M1054" s="1"/>
      <c r="N1054" s="1"/>
      <c r="O1054" s="1"/>
      <c r="P1054" s="1"/>
      <c r="Q1054" s="1"/>
      <c r="R1054" s="1"/>
      <c r="S1054" s="1"/>
      <c r="T1054" s="1"/>
      <c r="U1054" s="1"/>
      <c r="V1054" s="1"/>
      <c r="W1054" s="1"/>
      <c r="X1054" s="1"/>
      <c r="Y1054" s="1"/>
      <c r="Z1054" s="1"/>
      <c r="AA1054" s="1"/>
      <c r="AB1054" s="1"/>
      <c r="AC1054" s="1"/>
      <c r="AD1054" s="1"/>
      <c r="AE1054" s="1"/>
    </row>
    <row r="1055">
      <c r="A1055" s="1"/>
      <c r="B1055" s="1"/>
      <c r="C1055" s="1"/>
      <c r="D1055" s="1"/>
      <c r="E1055" s="1"/>
      <c r="F1055" s="1"/>
      <c r="G1055" s="1"/>
      <c r="H1055" s="1"/>
      <c r="I1055" s="1"/>
      <c r="J1055" s="1"/>
      <c r="K1055" s="1"/>
      <c r="L1055" s="1"/>
      <c r="M1055" s="1"/>
      <c r="N1055" s="1"/>
      <c r="O1055" s="1"/>
      <c r="P1055" s="1"/>
      <c r="Q1055" s="1"/>
      <c r="R1055" s="1"/>
      <c r="S1055" s="1"/>
      <c r="T1055" s="1"/>
      <c r="U1055" s="1"/>
      <c r="V1055" s="1"/>
      <c r="W1055" s="1"/>
      <c r="X1055" s="1"/>
      <c r="Y1055" s="1"/>
      <c r="Z1055" s="1"/>
      <c r="AA1055" s="1"/>
      <c r="AB1055" s="1"/>
      <c r="AC1055" s="1"/>
      <c r="AD1055" s="1"/>
      <c r="AE1055" s="1"/>
    </row>
    <row r="1056">
      <c r="A1056" s="1"/>
      <c r="B1056" s="1"/>
      <c r="C1056" s="1"/>
      <c r="D1056" s="1"/>
      <c r="E1056" s="1"/>
      <c r="F1056" s="1"/>
      <c r="G1056" s="1"/>
      <c r="H1056" s="1"/>
      <c r="I1056" s="1"/>
      <c r="J1056" s="1"/>
      <c r="K1056" s="1"/>
      <c r="L1056" s="1"/>
      <c r="M1056" s="1"/>
      <c r="N1056" s="1"/>
      <c r="O1056" s="1"/>
      <c r="P1056" s="1"/>
      <c r="Q1056" s="1"/>
      <c r="R1056" s="1"/>
      <c r="S1056" s="1"/>
      <c r="T1056" s="1"/>
      <c r="U1056" s="1"/>
      <c r="V1056" s="1"/>
      <c r="W1056" s="1"/>
      <c r="X1056" s="1"/>
      <c r="Y1056" s="1"/>
      <c r="Z1056" s="1"/>
      <c r="AA1056" s="1"/>
      <c r="AB1056" s="1"/>
      <c r="AC1056" s="1"/>
      <c r="AD1056" s="1"/>
      <c r="AE1056" s="1"/>
    </row>
    <row r="1057">
      <c r="A1057" s="1"/>
      <c r="B1057" s="1"/>
      <c r="C1057" s="1"/>
      <c r="D1057" s="1"/>
      <c r="E1057" s="1"/>
      <c r="F1057" s="1"/>
      <c r="G1057" s="1"/>
      <c r="H1057" s="1"/>
      <c r="I1057" s="1"/>
      <c r="J1057" s="1"/>
      <c r="K1057" s="1"/>
      <c r="L1057" s="1"/>
      <c r="M1057" s="1"/>
      <c r="N1057" s="1"/>
      <c r="O1057" s="1"/>
      <c r="P1057" s="1"/>
      <c r="Q1057" s="1"/>
      <c r="R1057" s="1"/>
      <c r="S1057" s="1"/>
      <c r="T1057" s="1"/>
      <c r="U1057" s="1"/>
      <c r="V1057" s="1"/>
      <c r="W1057" s="1"/>
      <c r="X1057" s="1"/>
      <c r="Y1057" s="1"/>
      <c r="Z1057" s="1"/>
      <c r="AA1057" s="1"/>
      <c r="AB1057" s="1"/>
      <c r="AC1057" s="1"/>
      <c r="AD1057" s="1"/>
      <c r="AE1057" s="1"/>
    </row>
    <row r="1058">
      <c r="A1058" s="1"/>
      <c r="B1058" s="1"/>
      <c r="C1058" s="1"/>
      <c r="D1058" s="1"/>
      <c r="E1058" s="1"/>
      <c r="F1058" s="1"/>
      <c r="G1058" s="1"/>
      <c r="H1058" s="1"/>
      <c r="I1058" s="1"/>
      <c r="J1058" s="1"/>
      <c r="K1058" s="1"/>
      <c r="L1058" s="1"/>
      <c r="M1058" s="1"/>
      <c r="N1058" s="1"/>
      <c r="O1058" s="1"/>
      <c r="P1058" s="1"/>
      <c r="Q1058" s="1"/>
      <c r="R1058" s="1"/>
      <c r="S1058" s="1"/>
      <c r="T1058" s="1"/>
      <c r="U1058" s="1"/>
      <c r="V1058" s="1"/>
      <c r="W1058" s="1"/>
      <c r="X1058" s="1"/>
      <c r="Y1058" s="1"/>
      <c r="Z1058" s="1"/>
      <c r="AA1058" s="1"/>
      <c r="AB1058" s="1"/>
      <c r="AC1058" s="1"/>
      <c r="AD1058" s="1"/>
      <c r="AE1058" s="1"/>
    </row>
    <row r="1059">
      <c r="A1059" s="1"/>
      <c r="B1059" s="1"/>
      <c r="C1059" s="1"/>
      <c r="D1059" s="1"/>
      <c r="E1059" s="1"/>
      <c r="F1059" s="1"/>
      <c r="G1059" s="1"/>
      <c r="H1059" s="1"/>
      <c r="I1059" s="1"/>
      <c r="J1059" s="1"/>
      <c r="K1059" s="1"/>
      <c r="L1059" s="1"/>
      <c r="M1059" s="1"/>
      <c r="N1059" s="1"/>
      <c r="O1059" s="1"/>
      <c r="P1059" s="1"/>
      <c r="Q1059" s="1"/>
      <c r="R1059" s="1"/>
      <c r="S1059" s="1"/>
      <c r="T1059" s="1"/>
      <c r="U1059" s="1"/>
      <c r="V1059" s="1"/>
      <c r="W1059" s="1"/>
      <c r="X1059" s="1"/>
      <c r="Y1059" s="1"/>
      <c r="Z1059" s="1"/>
      <c r="AA1059" s="1"/>
      <c r="AB1059" s="1"/>
      <c r="AC1059" s="1"/>
      <c r="AD1059" s="1"/>
      <c r="AE1059" s="1"/>
    </row>
    <row r="1060">
      <c r="A1060" s="1"/>
      <c r="B1060" s="1"/>
      <c r="C1060" s="1"/>
      <c r="D1060" s="1"/>
      <c r="E1060" s="1"/>
      <c r="F1060" s="1"/>
      <c r="G1060" s="1"/>
      <c r="H1060" s="1"/>
      <c r="I1060" s="1"/>
      <c r="J1060" s="1"/>
      <c r="K1060" s="1"/>
      <c r="L1060" s="1"/>
      <c r="M1060" s="1"/>
      <c r="N1060" s="1"/>
      <c r="O1060" s="1"/>
      <c r="P1060" s="1"/>
      <c r="Q1060" s="1"/>
      <c r="R1060" s="1"/>
      <c r="S1060" s="1"/>
      <c r="T1060" s="1"/>
      <c r="U1060" s="1"/>
      <c r="V1060" s="1"/>
      <c r="W1060" s="1"/>
      <c r="X1060" s="1"/>
      <c r="Y1060" s="1"/>
      <c r="Z1060" s="1"/>
      <c r="AA1060" s="1"/>
      <c r="AB1060" s="1"/>
      <c r="AC1060" s="1"/>
      <c r="AD1060" s="1"/>
      <c r="AE1060" s="1"/>
    </row>
    <row r="1061">
      <c r="A1061" s="1"/>
      <c r="B1061" s="1"/>
      <c r="C1061" s="1"/>
      <c r="D1061" s="1"/>
      <c r="E1061" s="1"/>
      <c r="F1061" s="1"/>
      <c r="G1061" s="1"/>
      <c r="H1061" s="1"/>
      <c r="I1061" s="1"/>
      <c r="J1061" s="1"/>
      <c r="K1061" s="1"/>
      <c r="L1061" s="1"/>
      <c r="M1061" s="1"/>
      <c r="N1061" s="1"/>
      <c r="O1061" s="1"/>
      <c r="P1061" s="1"/>
      <c r="Q1061" s="1"/>
      <c r="R1061" s="1"/>
      <c r="S1061" s="1"/>
      <c r="T1061" s="1"/>
      <c r="U1061" s="1"/>
      <c r="V1061" s="1"/>
      <c r="W1061" s="1"/>
      <c r="X1061" s="1"/>
      <c r="Y1061" s="1"/>
      <c r="Z1061" s="1"/>
      <c r="AA1061" s="1"/>
      <c r="AB1061" s="1"/>
      <c r="AC1061" s="1"/>
      <c r="AD1061" s="1"/>
      <c r="AE1061" s="1"/>
    </row>
    <row r="1062">
      <c r="A1062" s="1"/>
      <c r="B1062" s="1"/>
      <c r="C1062" s="1"/>
      <c r="D1062" s="1"/>
      <c r="E1062" s="1"/>
      <c r="F1062" s="1"/>
      <c r="G1062" s="1"/>
      <c r="H1062" s="1"/>
      <c r="I1062" s="1"/>
      <c r="J1062" s="1"/>
      <c r="K1062" s="1"/>
      <c r="L1062" s="1"/>
      <c r="M1062" s="1"/>
      <c r="N1062" s="1"/>
      <c r="O1062" s="1"/>
      <c r="P1062" s="1"/>
      <c r="Q1062" s="1"/>
      <c r="R1062" s="1"/>
      <c r="S1062" s="1"/>
      <c r="T1062" s="1"/>
      <c r="U1062" s="1"/>
      <c r="V1062" s="1"/>
      <c r="W1062" s="1"/>
      <c r="X1062" s="1"/>
      <c r="Y1062" s="1"/>
      <c r="Z1062" s="1"/>
      <c r="AA1062" s="1"/>
      <c r="AB1062" s="1"/>
      <c r="AC1062" s="1"/>
      <c r="AD1062" s="1"/>
      <c r="AE1062" s="1"/>
    </row>
    <row r="1063">
      <c r="A1063" s="1"/>
      <c r="B1063" s="1"/>
      <c r="C1063" s="1"/>
      <c r="D1063" s="1"/>
      <c r="E1063" s="1"/>
      <c r="F1063" s="1"/>
      <c r="G1063" s="1"/>
      <c r="H1063" s="1"/>
      <c r="I1063" s="1"/>
      <c r="J1063" s="1"/>
      <c r="K1063" s="1"/>
      <c r="L1063" s="1"/>
      <c r="M1063" s="1"/>
      <c r="N1063" s="1"/>
      <c r="O1063" s="1"/>
      <c r="P1063" s="1"/>
      <c r="Q1063" s="1"/>
      <c r="R1063" s="1"/>
      <c r="S1063" s="1"/>
      <c r="T1063" s="1"/>
      <c r="U1063" s="1"/>
      <c r="V1063" s="1"/>
      <c r="W1063" s="1"/>
      <c r="X1063" s="1"/>
      <c r="Y1063" s="1"/>
      <c r="Z1063" s="1"/>
      <c r="AA1063" s="1"/>
      <c r="AB1063" s="1"/>
      <c r="AC1063" s="1"/>
      <c r="AD1063" s="1"/>
      <c r="AE1063" s="1"/>
    </row>
    <row r="1064">
      <c r="A1064" s="1"/>
      <c r="B1064" s="1"/>
      <c r="C1064" s="1"/>
      <c r="D1064" s="1"/>
      <c r="E1064" s="1"/>
      <c r="F1064" s="1"/>
      <c r="G1064" s="1"/>
      <c r="H1064" s="1"/>
      <c r="I1064" s="1"/>
      <c r="J1064" s="1"/>
      <c r="K1064" s="1"/>
      <c r="L1064" s="1"/>
      <c r="M1064" s="1"/>
      <c r="N1064" s="1"/>
      <c r="O1064" s="1"/>
      <c r="P1064" s="1"/>
      <c r="Q1064" s="1"/>
      <c r="R1064" s="1"/>
      <c r="S1064" s="1"/>
      <c r="T1064" s="1"/>
      <c r="U1064" s="1"/>
      <c r="V1064" s="1"/>
      <c r="W1064" s="1"/>
      <c r="X1064" s="1"/>
      <c r="Y1064" s="1"/>
      <c r="Z1064" s="1"/>
      <c r="AA1064" s="1"/>
      <c r="AB1064" s="1"/>
      <c r="AC1064" s="1"/>
      <c r="AD1064" s="1"/>
      <c r="AE1064" s="1"/>
    </row>
    <row r="1065">
      <c r="A1065" s="1"/>
      <c r="B1065" s="1"/>
      <c r="C1065" s="1"/>
      <c r="D1065" s="1"/>
      <c r="E1065" s="1"/>
      <c r="F1065" s="1"/>
      <c r="G1065" s="1"/>
      <c r="H1065" s="1"/>
      <c r="I1065" s="1"/>
      <c r="J1065" s="1"/>
      <c r="K1065" s="1"/>
      <c r="L1065" s="1"/>
      <c r="M1065" s="1"/>
      <c r="N1065" s="1"/>
      <c r="O1065" s="1"/>
      <c r="P1065" s="1"/>
      <c r="Q1065" s="1"/>
      <c r="R1065" s="1"/>
      <c r="S1065" s="1"/>
      <c r="T1065" s="1"/>
      <c r="U1065" s="1"/>
      <c r="V1065" s="1"/>
      <c r="W1065" s="1"/>
      <c r="X1065" s="1"/>
      <c r="Y1065" s="1"/>
      <c r="Z1065" s="1"/>
      <c r="AA1065" s="1"/>
      <c r="AB1065" s="1"/>
      <c r="AC1065" s="1"/>
      <c r="AD1065" s="1"/>
      <c r="AE1065" s="1"/>
    </row>
    <row r="1066">
      <c r="A1066" s="1"/>
      <c r="B1066" s="1"/>
      <c r="C1066" s="1"/>
      <c r="D1066" s="1"/>
      <c r="E1066" s="1"/>
      <c r="F1066" s="1"/>
      <c r="G1066" s="1"/>
      <c r="H1066" s="1"/>
      <c r="I1066" s="1"/>
      <c r="J1066" s="1"/>
      <c r="K1066" s="1"/>
      <c r="L1066" s="1"/>
      <c r="M1066" s="1"/>
      <c r="N1066" s="1"/>
      <c r="O1066" s="1"/>
      <c r="P1066" s="1"/>
      <c r="Q1066" s="1"/>
      <c r="R1066" s="1"/>
      <c r="S1066" s="1"/>
      <c r="T1066" s="1"/>
      <c r="U1066" s="1"/>
      <c r="V1066" s="1"/>
      <c r="W1066" s="1"/>
      <c r="X1066" s="1"/>
      <c r="Y1066" s="1"/>
      <c r="Z1066" s="1"/>
      <c r="AA1066" s="1"/>
      <c r="AB1066" s="1"/>
      <c r="AC1066" s="1"/>
      <c r="AD1066" s="1"/>
      <c r="AE1066" s="1"/>
    </row>
    <row r="1067">
      <c r="A1067" s="1"/>
      <c r="B1067" s="1"/>
      <c r="C1067" s="1"/>
      <c r="D1067" s="1"/>
      <c r="E1067" s="1"/>
      <c r="F1067" s="1"/>
      <c r="G1067" s="1"/>
      <c r="H1067" s="1"/>
      <c r="I1067" s="1"/>
      <c r="J1067" s="1"/>
      <c r="K1067" s="1"/>
      <c r="L1067" s="1"/>
      <c r="M1067" s="1"/>
      <c r="N1067" s="1"/>
      <c r="O1067" s="1"/>
      <c r="P1067" s="1"/>
      <c r="Q1067" s="1"/>
      <c r="R1067" s="1"/>
      <c r="S1067" s="1"/>
      <c r="T1067" s="1"/>
      <c r="U1067" s="1"/>
      <c r="V1067" s="1"/>
      <c r="W1067" s="1"/>
      <c r="X1067" s="1"/>
      <c r="Y1067" s="1"/>
      <c r="Z1067" s="1"/>
      <c r="AA1067" s="1"/>
      <c r="AB1067" s="1"/>
      <c r="AC1067" s="1"/>
      <c r="AD1067" s="1"/>
      <c r="AE1067" s="1"/>
    </row>
    <row r="1068">
      <c r="A1068" s="1"/>
      <c r="B1068" s="1"/>
      <c r="C1068" s="1"/>
      <c r="D1068" s="1"/>
      <c r="E1068" s="1"/>
      <c r="F1068" s="1"/>
      <c r="G1068" s="1"/>
      <c r="H1068" s="1"/>
      <c r="I1068" s="1"/>
      <c r="J1068" s="1"/>
      <c r="K1068" s="1"/>
      <c r="L1068" s="1"/>
      <c r="M1068" s="1"/>
      <c r="N1068" s="1"/>
      <c r="O1068" s="1"/>
      <c r="P1068" s="1"/>
      <c r="Q1068" s="1"/>
      <c r="R1068" s="1"/>
      <c r="S1068" s="1"/>
      <c r="T1068" s="1"/>
      <c r="U1068" s="1"/>
      <c r="V1068" s="1"/>
      <c r="W1068" s="1"/>
      <c r="X1068" s="1"/>
      <c r="Y1068" s="1"/>
      <c r="Z1068" s="1"/>
      <c r="AA1068" s="1"/>
      <c r="AB1068" s="1"/>
      <c r="AC1068" s="1"/>
      <c r="AD1068" s="1"/>
      <c r="AE1068" s="1"/>
    </row>
    <row r="1069">
      <c r="A1069" s="1"/>
      <c r="B1069" s="1"/>
      <c r="C1069" s="1"/>
      <c r="D1069" s="1"/>
      <c r="E1069" s="1"/>
      <c r="F1069" s="1"/>
      <c r="G1069" s="1"/>
      <c r="H1069" s="1"/>
      <c r="I1069" s="1"/>
      <c r="J1069" s="1"/>
      <c r="K1069" s="1"/>
      <c r="L1069" s="1"/>
      <c r="M1069" s="1"/>
      <c r="N1069" s="1"/>
      <c r="O1069" s="1"/>
      <c r="P1069" s="1"/>
      <c r="Q1069" s="1"/>
      <c r="R1069" s="1"/>
      <c r="S1069" s="1"/>
      <c r="T1069" s="1"/>
      <c r="U1069" s="1"/>
      <c r="V1069" s="1"/>
      <c r="W1069" s="1"/>
      <c r="X1069" s="1"/>
      <c r="Y1069" s="1"/>
      <c r="Z1069" s="1"/>
      <c r="AA1069" s="1"/>
      <c r="AB1069" s="1"/>
      <c r="AC1069" s="1"/>
      <c r="AD1069" s="1"/>
      <c r="AE1069" s="1"/>
    </row>
    <row r="1070">
      <c r="A1070" s="1"/>
      <c r="B1070" s="1"/>
      <c r="C1070" s="1"/>
      <c r="D1070" s="1"/>
      <c r="E1070" s="1"/>
      <c r="F1070" s="1"/>
      <c r="G1070" s="1"/>
      <c r="H1070" s="1"/>
      <c r="I1070" s="1"/>
      <c r="J1070" s="1"/>
      <c r="K1070" s="1"/>
      <c r="L1070" s="1"/>
      <c r="M1070" s="1"/>
      <c r="N1070" s="1"/>
      <c r="O1070" s="1"/>
      <c r="P1070" s="1"/>
      <c r="Q1070" s="1"/>
      <c r="R1070" s="1"/>
      <c r="S1070" s="1"/>
      <c r="T1070" s="1"/>
      <c r="U1070" s="1"/>
      <c r="V1070" s="1"/>
      <c r="W1070" s="1"/>
      <c r="X1070" s="1"/>
      <c r="Y1070" s="1"/>
      <c r="Z1070" s="1"/>
      <c r="AA1070" s="1"/>
      <c r="AB1070" s="1"/>
      <c r="AC1070" s="1"/>
      <c r="AD1070" s="1"/>
      <c r="AE1070" s="1"/>
    </row>
    <row r="1071">
      <c r="A1071" s="1"/>
      <c r="B1071" s="1"/>
      <c r="C1071" s="1"/>
      <c r="D1071" s="1"/>
      <c r="E1071" s="1"/>
      <c r="F1071" s="1"/>
      <c r="G1071" s="1"/>
      <c r="H1071" s="1"/>
      <c r="I1071" s="1"/>
      <c r="J1071" s="1"/>
      <c r="K1071" s="1"/>
      <c r="L1071" s="1"/>
      <c r="M1071" s="1"/>
      <c r="N1071" s="1"/>
      <c r="O1071" s="1"/>
      <c r="P1071" s="1"/>
      <c r="Q1071" s="1"/>
      <c r="R1071" s="1"/>
      <c r="S1071" s="1"/>
      <c r="T1071" s="1"/>
      <c r="U1071" s="1"/>
      <c r="V1071" s="1"/>
      <c r="W1071" s="1"/>
      <c r="X1071" s="1"/>
      <c r="Y1071" s="1"/>
      <c r="Z1071" s="1"/>
      <c r="AA1071" s="1"/>
      <c r="AB1071" s="1"/>
      <c r="AC1071" s="1"/>
      <c r="AD1071" s="1"/>
      <c r="AE1071" s="1"/>
    </row>
    <row r="1072">
      <c r="A1072" s="1"/>
      <c r="B1072" s="1"/>
      <c r="C1072" s="1"/>
      <c r="D1072" s="1"/>
      <c r="E1072" s="1"/>
      <c r="F1072" s="1"/>
      <c r="G1072" s="1"/>
      <c r="H1072" s="1"/>
      <c r="I1072" s="1"/>
      <c r="J1072" s="1"/>
      <c r="K1072" s="1"/>
      <c r="L1072" s="1"/>
      <c r="M1072" s="1"/>
      <c r="N1072" s="1"/>
      <c r="O1072" s="1"/>
      <c r="P1072" s="1"/>
      <c r="Q1072" s="1"/>
      <c r="R1072" s="1"/>
      <c r="S1072" s="1"/>
      <c r="T1072" s="1"/>
      <c r="U1072" s="1"/>
      <c r="V1072" s="1"/>
      <c r="W1072" s="1"/>
      <c r="X1072" s="1"/>
      <c r="Y1072" s="1"/>
      <c r="Z1072" s="1"/>
      <c r="AA1072" s="1"/>
      <c r="AB1072" s="1"/>
      <c r="AC1072" s="1"/>
      <c r="AD1072" s="1"/>
      <c r="AE1072" s="1"/>
    </row>
    <row r="1073">
      <c r="A1073" s="1"/>
      <c r="B1073" s="1"/>
      <c r="C1073" s="1"/>
      <c r="D1073" s="1"/>
      <c r="E1073" s="1"/>
      <c r="F1073" s="1"/>
      <c r="G1073" s="1"/>
      <c r="H1073" s="1"/>
      <c r="I1073" s="1"/>
      <c r="J1073" s="1"/>
      <c r="K1073" s="1"/>
      <c r="L1073" s="1"/>
      <c r="M1073" s="1"/>
      <c r="N1073" s="1"/>
      <c r="O1073" s="1"/>
      <c r="P1073" s="1"/>
      <c r="Q1073" s="1"/>
      <c r="R1073" s="1"/>
      <c r="S1073" s="1"/>
      <c r="T1073" s="1"/>
      <c r="U1073" s="1"/>
      <c r="V1073" s="1"/>
      <c r="W1073" s="1"/>
      <c r="X1073" s="1"/>
      <c r="Y1073" s="1"/>
      <c r="Z1073" s="1"/>
      <c r="AA1073" s="1"/>
      <c r="AB1073" s="1"/>
      <c r="AC1073" s="1"/>
      <c r="AD1073" s="1"/>
      <c r="AE1073" s="1"/>
    </row>
    <row r="1074">
      <c r="A1074" s="1"/>
      <c r="B1074" s="1"/>
      <c r="C1074" s="1"/>
      <c r="D1074" s="1"/>
      <c r="E1074" s="1"/>
      <c r="F1074" s="1"/>
      <c r="G1074" s="1"/>
      <c r="H1074" s="1"/>
      <c r="I1074" s="1"/>
      <c r="J1074" s="1"/>
      <c r="K1074" s="1"/>
      <c r="L1074" s="1"/>
      <c r="M1074" s="1"/>
      <c r="N1074" s="1"/>
      <c r="O1074" s="1"/>
      <c r="P1074" s="1"/>
      <c r="Q1074" s="1"/>
      <c r="R1074" s="1"/>
      <c r="S1074" s="1"/>
      <c r="T1074" s="1"/>
      <c r="U1074" s="1"/>
      <c r="V1074" s="1"/>
      <c r="W1074" s="1"/>
      <c r="X1074" s="1"/>
      <c r="Y1074" s="1"/>
      <c r="Z1074" s="1"/>
      <c r="AA1074" s="1"/>
      <c r="AB1074" s="1"/>
      <c r="AC1074" s="1"/>
      <c r="AD1074" s="1"/>
      <c r="AE1074" s="1"/>
    </row>
    <row r="1075">
      <c r="A1075" s="1"/>
      <c r="B1075" s="1"/>
      <c r="C1075" s="1"/>
      <c r="D1075" s="1"/>
      <c r="E1075" s="1"/>
      <c r="F1075" s="1"/>
      <c r="G1075" s="1"/>
      <c r="H1075" s="1"/>
      <c r="I1075" s="1"/>
      <c r="J1075" s="1"/>
      <c r="K1075" s="1"/>
      <c r="L1075" s="1"/>
      <c r="M1075" s="1"/>
      <c r="N1075" s="1"/>
      <c r="O1075" s="1"/>
      <c r="P1075" s="1"/>
      <c r="Q1075" s="1"/>
      <c r="R1075" s="1"/>
      <c r="S1075" s="1"/>
      <c r="T1075" s="1"/>
      <c r="U1075" s="1"/>
      <c r="V1075" s="1"/>
      <c r="W1075" s="1"/>
      <c r="X1075" s="1"/>
      <c r="Y1075" s="1"/>
      <c r="Z1075" s="1"/>
      <c r="AA1075" s="1"/>
      <c r="AB1075" s="1"/>
      <c r="AC1075" s="1"/>
      <c r="AD1075" s="1"/>
      <c r="AE1075" s="1"/>
    </row>
    <row r="1076">
      <c r="A1076" s="1"/>
      <c r="B1076" s="1"/>
      <c r="C1076" s="1"/>
      <c r="D1076" s="1"/>
      <c r="E1076" s="1"/>
      <c r="F1076" s="1"/>
      <c r="G1076" s="1"/>
      <c r="H1076" s="1"/>
      <c r="I1076" s="1"/>
      <c r="J1076" s="1"/>
      <c r="K1076" s="1"/>
      <c r="L1076" s="1"/>
      <c r="M1076" s="1"/>
      <c r="N1076" s="1"/>
      <c r="O1076" s="1"/>
      <c r="P1076" s="1"/>
      <c r="Q1076" s="1"/>
      <c r="R1076" s="1"/>
      <c r="S1076" s="1"/>
      <c r="T1076" s="1"/>
      <c r="U1076" s="1"/>
      <c r="V1076" s="1"/>
      <c r="W1076" s="1"/>
      <c r="X1076" s="1"/>
      <c r="Y1076" s="1"/>
      <c r="Z1076" s="1"/>
      <c r="AA1076" s="1"/>
      <c r="AB1076" s="1"/>
      <c r="AC1076" s="1"/>
      <c r="AD1076" s="1"/>
      <c r="AE1076" s="1"/>
    </row>
  </sheetData>
  <mergeCells count="137">
    <mergeCell ref="B11:C11"/>
    <mergeCell ref="B12:C12"/>
    <mergeCell ref="F13:G13"/>
    <mergeCell ref="B14:D14"/>
    <mergeCell ref="B15:C15"/>
    <mergeCell ref="B16:C16"/>
    <mergeCell ref="K16:M16"/>
    <mergeCell ref="F16:I16"/>
    <mergeCell ref="F17:G17"/>
    <mergeCell ref="K17:L17"/>
    <mergeCell ref="B18:C18"/>
    <mergeCell ref="F18:G18"/>
    <mergeCell ref="K18:L18"/>
    <mergeCell ref="B19:C19"/>
    <mergeCell ref="B22:C22"/>
    <mergeCell ref="B23:C23"/>
    <mergeCell ref="F23:G23"/>
    <mergeCell ref="F19:G19"/>
    <mergeCell ref="F20:G20"/>
    <mergeCell ref="K20:M20"/>
    <mergeCell ref="B21:D21"/>
    <mergeCell ref="F21:G21"/>
    <mergeCell ref="F22:G22"/>
    <mergeCell ref="K22:L22"/>
    <mergeCell ref="B25:C25"/>
    <mergeCell ref="B26:C26"/>
    <mergeCell ref="F26:I26"/>
    <mergeCell ref="K26:L26"/>
    <mergeCell ref="O22:Q22"/>
    <mergeCell ref="O23:Q23"/>
    <mergeCell ref="B24:C24"/>
    <mergeCell ref="F24:G24"/>
    <mergeCell ref="K24:L24"/>
    <mergeCell ref="O24:Q24"/>
    <mergeCell ref="K25:L25"/>
    <mergeCell ref="B28:C28"/>
    <mergeCell ref="B29:C29"/>
    <mergeCell ref="F29:G29"/>
    <mergeCell ref="B30:C30"/>
    <mergeCell ref="B32:D32"/>
    <mergeCell ref="K32:L32"/>
    <mergeCell ref="K33:L33"/>
    <mergeCell ref="F36:G36"/>
    <mergeCell ref="F37:G37"/>
    <mergeCell ref="F40:G40"/>
    <mergeCell ref="F43:G43"/>
    <mergeCell ref="F44:G44"/>
    <mergeCell ref="F32:G32"/>
    <mergeCell ref="F33:G33"/>
    <mergeCell ref="B35:C35"/>
    <mergeCell ref="F35:G35"/>
    <mergeCell ref="K35:M35"/>
    <mergeCell ref="B36:C36"/>
    <mergeCell ref="B37:C37"/>
    <mergeCell ref="B42:C42"/>
    <mergeCell ref="B43:C43"/>
    <mergeCell ref="B44:C44"/>
    <mergeCell ref="B45:C45"/>
    <mergeCell ref="B46:C46"/>
    <mergeCell ref="B47:C47"/>
    <mergeCell ref="B48:C48"/>
    <mergeCell ref="B49:C49"/>
    <mergeCell ref="B38:C38"/>
    <mergeCell ref="F38:G38"/>
    <mergeCell ref="B39:C39"/>
    <mergeCell ref="F39:G39"/>
    <mergeCell ref="K39:L39"/>
    <mergeCell ref="K40:L40"/>
    <mergeCell ref="B41:D41"/>
    <mergeCell ref="B1:R1"/>
    <mergeCell ref="B3:D3"/>
    <mergeCell ref="F3:I3"/>
    <mergeCell ref="K3:M3"/>
    <mergeCell ref="O3:R3"/>
    <mergeCell ref="F4:G4"/>
    <mergeCell ref="O4:Q4"/>
    <mergeCell ref="B4:C4"/>
    <mergeCell ref="B5:C5"/>
    <mergeCell ref="F5:I5"/>
    <mergeCell ref="O5:Q5"/>
    <mergeCell ref="F6:H6"/>
    <mergeCell ref="Z6:AD6"/>
    <mergeCell ref="B8:C8"/>
    <mergeCell ref="O8:Q8"/>
    <mergeCell ref="F7:H7"/>
    <mergeCell ref="F8:H8"/>
    <mergeCell ref="B9:C9"/>
    <mergeCell ref="F9:G9"/>
    <mergeCell ref="B10:C10"/>
    <mergeCell ref="F10:I10"/>
    <mergeCell ref="F11:G11"/>
    <mergeCell ref="O15:P15"/>
    <mergeCell ref="O16:P16"/>
    <mergeCell ref="O18:R18"/>
    <mergeCell ref="O19:Q19"/>
    <mergeCell ref="O20:Q20"/>
    <mergeCell ref="O21:Q21"/>
    <mergeCell ref="B27:C27"/>
    <mergeCell ref="F27:G27"/>
    <mergeCell ref="O27:Q27"/>
    <mergeCell ref="K28:M28"/>
    <mergeCell ref="O28:Q28"/>
    <mergeCell ref="B33:C33"/>
    <mergeCell ref="B34:C34"/>
    <mergeCell ref="F34:G34"/>
    <mergeCell ref="O26:R26"/>
    <mergeCell ref="O29:Q29"/>
    <mergeCell ref="O6:Q6"/>
    <mergeCell ref="O7:Q7"/>
    <mergeCell ref="O10:R10"/>
    <mergeCell ref="O12:P12"/>
    <mergeCell ref="O13:P13"/>
    <mergeCell ref="O14:P14"/>
    <mergeCell ref="O44:Q44"/>
    <mergeCell ref="O31:R31"/>
    <mergeCell ref="O32:P32"/>
    <mergeCell ref="O33:Q33"/>
    <mergeCell ref="O34:Q34"/>
    <mergeCell ref="O35:Q35"/>
    <mergeCell ref="O36:Q36"/>
    <mergeCell ref="O38:R38"/>
    <mergeCell ref="O39:Q39"/>
    <mergeCell ref="O40:Q40"/>
    <mergeCell ref="O41:Q41"/>
    <mergeCell ref="O42:Q42"/>
    <mergeCell ref="O43:Q43"/>
    <mergeCell ref="Z129:Z140"/>
    <mergeCell ref="Z141:Z152"/>
    <mergeCell ref="Z153:Z164"/>
    <mergeCell ref="Z165:Z176"/>
    <mergeCell ref="Z9:Z55"/>
    <mergeCell ref="Z57:Z68"/>
    <mergeCell ref="Z69:Z80"/>
    <mergeCell ref="Z81:Z92"/>
    <mergeCell ref="Z93:Z104"/>
    <mergeCell ref="Z105:Z116"/>
    <mergeCell ref="Z117:Z128"/>
  </mergeCells>
  <dataValidations>
    <dataValidation type="list" allowBlank="1" showErrorMessage="1" sqref="D26 D38 D48">
      <formula1>"Yes,No"</formula1>
    </dataValidation>
    <dataValidation type="list" allowBlank="1" showErrorMessage="1" sqref="R7">
      <formula1>"10%,12%,22%,24%,32%,35%,37%"</formula1>
    </dataValidation>
    <dataValidation type="list" allowBlank="1" showErrorMessage="1" sqref="P11">
      <formula1>"1,2,3,4,5,6,7,8,9,10"</formula1>
    </dataValidation>
    <dataValidation type="list" allowBlank="1" showErrorMessage="1" sqref="D22 D33 D42">
      <formula1>"Yes,No"</formula1>
    </dataValidation>
  </dataValidation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row>
    <row r="2">
      <c r="A2" s="1"/>
      <c r="B2" s="136" t="s">
        <v>165</v>
      </c>
      <c r="C2" s="137">
        <v>1.0</v>
      </c>
      <c r="D2" s="137">
        <v>2.0</v>
      </c>
      <c r="E2" s="137">
        <v>3.0</v>
      </c>
      <c r="F2" s="137">
        <v>4.0</v>
      </c>
      <c r="G2" s="137">
        <v>5.0</v>
      </c>
      <c r="H2" s="137">
        <v>6.0</v>
      </c>
      <c r="I2" s="137">
        <v>7.0</v>
      </c>
      <c r="J2" s="137">
        <v>8.0</v>
      </c>
      <c r="K2" s="137">
        <v>9.0</v>
      </c>
      <c r="L2" s="137">
        <v>10.0</v>
      </c>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row>
    <row r="3">
      <c r="A3" s="1"/>
      <c r="B3" s="138" t="s">
        <v>166</v>
      </c>
      <c r="C3" s="139"/>
      <c r="D3" s="139"/>
      <c r="E3" s="139"/>
      <c r="F3" s="139"/>
      <c r="G3" s="139"/>
      <c r="H3" s="139"/>
      <c r="I3" s="139"/>
      <c r="J3" s="139"/>
      <c r="K3" s="139"/>
      <c r="L3" s="140"/>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row>
    <row r="4">
      <c r="A4" s="1"/>
      <c r="B4" s="26" t="s">
        <v>64</v>
      </c>
      <c r="C4" s="65">
        <f>'Deal Analysis'!I14</f>
        <v>80300</v>
      </c>
      <c r="D4" s="65">
        <f t="shared" ref="D4:L4" si="1">C4*(1+D5)</f>
        <v>82709</v>
      </c>
      <c r="E4" s="65">
        <f t="shared" si="1"/>
        <v>85190.27</v>
      </c>
      <c r="F4" s="65">
        <f t="shared" si="1"/>
        <v>87745.9781</v>
      </c>
      <c r="G4" s="65">
        <f t="shared" si="1"/>
        <v>90378.35744</v>
      </c>
      <c r="H4" s="65">
        <f t="shared" si="1"/>
        <v>93089.70817</v>
      </c>
      <c r="I4" s="65">
        <f t="shared" si="1"/>
        <v>95882.39941</v>
      </c>
      <c r="J4" s="65">
        <f t="shared" si="1"/>
        <v>98758.87139</v>
      </c>
      <c r="K4" s="65">
        <f t="shared" si="1"/>
        <v>101721.6375</v>
      </c>
      <c r="L4" s="40">
        <f t="shared" si="1"/>
        <v>104773.2867</v>
      </c>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row>
    <row r="5">
      <c r="A5" s="1"/>
      <c r="B5" s="75" t="s">
        <v>167</v>
      </c>
      <c r="C5" s="141"/>
      <c r="D5" s="142">
        <f>'Deal Analysis'!R4</f>
        <v>0.03</v>
      </c>
      <c r="E5" s="142">
        <f t="shared" ref="E5:L5" si="2">D5</f>
        <v>0.03</v>
      </c>
      <c r="F5" s="142">
        <f t="shared" si="2"/>
        <v>0.03</v>
      </c>
      <c r="G5" s="142">
        <f t="shared" si="2"/>
        <v>0.03</v>
      </c>
      <c r="H5" s="142">
        <f t="shared" si="2"/>
        <v>0.03</v>
      </c>
      <c r="I5" s="142">
        <f t="shared" si="2"/>
        <v>0.03</v>
      </c>
      <c r="J5" s="142">
        <f t="shared" si="2"/>
        <v>0.03</v>
      </c>
      <c r="K5" s="142">
        <f t="shared" si="2"/>
        <v>0.03</v>
      </c>
      <c r="L5" s="81">
        <f t="shared" si="2"/>
        <v>0.03</v>
      </c>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row>
    <row r="6">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row>
    <row r="7">
      <c r="A7" s="1"/>
      <c r="B7" s="143" t="s">
        <v>168</v>
      </c>
      <c r="C7" s="144"/>
      <c r="D7" s="144"/>
      <c r="E7" s="144"/>
      <c r="F7" s="144"/>
      <c r="G7" s="144"/>
      <c r="H7" s="144"/>
      <c r="I7" s="144"/>
      <c r="J7" s="144"/>
      <c r="K7" s="144"/>
      <c r="L7" s="145"/>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row>
    <row r="8">
      <c r="A8" s="1"/>
      <c r="B8" s="26" t="s">
        <v>67</v>
      </c>
      <c r="C8" s="65">
        <f>'Deal Analysis'!I42+'Deal Analysis'!I18+'Deal Analysis'!I19+'Deal Analysis'!I20</f>
        <v>38315</v>
      </c>
      <c r="D8" s="65">
        <f t="shared" ref="D8:L8" si="3">C8*(1+D9)</f>
        <v>39464.45</v>
      </c>
      <c r="E8" s="65">
        <f t="shared" si="3"/>
        <v>40648.3835</v>
      </c>
      <c r="F8" s="65">
        <f t="shared" si="3"/>
        <v>41867.83501</v>
      </c>
      <c r="G8" s="65">
        <f t="shared" si="3"/>
        <v>43123.87006</v>
      </c>
      <c r="H8" s="65">
        <f t="shared" si="3"/>
        <v>44417.58616</v>
      </c>
      <c r="I8" s="65">
        <f t="shared" si="3"/>
        <v>45750.11374</v>
      </c>
      <c r="J8" s="65">
        <f t="shared" si="3"/>
        <v>47122.61715</v>
      </c>
      <c r="K8" s="65">
        <f t="shared" si="3"/>
        <v>48536.29567</v>
      </c>
      <c r="L8" s="40">
        <f t="shared" si="3"/>
        <v>49992.38454</v>
      </c>
      <c r="M8" s="1"/>
      <c r="N8" s="1"/>
      <c r="O8" s="132"/>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row>
    <row r="9">
      <c r="A9" s="1"/>
      <c r="B9" s="75" t="s">
        <v>169</v>
      </c>
      <c r="C9" s="141"/>
      <c r="D9" s="142">
        <f>'Deal Analysis'!R5</f>
        <v>0.03</v>
      </c>
      <c r="E9" s="142">
        <f t="shared" ref="E9:L9" si="4">D9</f>
        <v>0.03</v>
      </c>
      <c r="F9" s="142">
        <f t="shared" si="4"/>
        <v>0.03</v>
      </c>
      <c r="G9" s="142">
        <f t="shared" si="4"/>
        <v>0.03</v>
      </c>
      <c r="H9" s="142">
        <f t="shared" si="4"/>
        <v>0.03</v>
      </c>
      <c r="I9" s="142">
        <f t="shared" si="4"/>
        <v>0.03</v>
      </c>
      <c r="J9" s="142">
        <f t="shared" si="4"/>
        <v>0.03</v>
      </c>
      <c r="K9" s="142">
        <f t="shared" si="4"/>
        <v>0.03</v>
      </c>
      <c r="L9" s="81">
        <f t="shared" si="4"/>
        <v>0.03</v>
      </c>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row>
    <row r="10">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row>
    <row r="11">
      <c r="A11" s="1"/>
      <c r="B11" s="146" t="s">
        <v>170</v>
      </c>
      <c r="C11" s="147"/>
      <c r="D11" s="147"/>
      <c r="E11" s="147"/>
      <c r="F11" s="147"/>
      <c r="G11" s="147"/>
      <c r="H11" s="147"/>
      <c r="I11" s="147"/>
      <c r="J11" s="147"/>
      <c r="K11" s="147"/>
      <c r="L11" s="148"/>
      <c r="M11" s="1"/>
      <c r="N11" s="1"/>
      <c r="O11" s="1"/>
      <c r="P11" s="1"/>
      <c r="Q11" s="1"/>
      <c r="R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row>
    <row r="12">
      <c r="A12" s="1"/>
      <c r="B12" s="26" t="s">
        <v>71</v>
      </c>
      <c r="C12" s="65">
        <f t="shared" ref="C12:L12" si="5">C4-C8</f>
        <v>41985</v>
      </c>
      <c r="D12" s="65">
        <f t="shared" si="5"/>
        <v>43244.55</v>
      </c>
      <c r="E12" s="65">
        <f t="shared" si="5"/>
        <v>44541.8865</v>
      </c>
      <c r="F12" s="65">
        <f t="shared" si="5"/>
        <v>45878.1431</v>
      </c>
      <c r="G12" s="65">
        <f t="shared" si="5"/>
        <v>47254.48739</v>
      </c>
      <c r="H12" s="65">
        <f t="shared" si="5"/>
        <v>48672.12201</v>
      </c>
      <c r="I12" s="65">
        <f t="shared" si="5"/>
        <v>50132.28567</v>
      </c>
      <c r="J12" s="65">
        <f t="shared" si="5"/>
        <v>51636.25424</v>
      </c>
      <c r="K12" s="65">
        <f t="shared" si="5"/>
        <v>53185.34187</v>
      </c>
      <c r="L12" s="40">
        <f t="shared" si="5"/>
        <v>54780.90212</v>
      </c>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c r="DE12" s="1"/>
      <c r="DF12" s="1"/>
      <c r="DG12" s="1"/>
      <c r="DH12" s="1"/>
      <c r="DI12" s="1"/>
      <c r="DJ12" s="1"/>
      <c r="DK12" s="1"/>
      <c r="DL12" s="1"/>
      <c r="DM12" s="1"/>
      <c r="DN12" s="1"/>
      <c r="DO12" s="1"/>
      <c r="DP12" s="1"/>
      <c r="DQ12" s="1"/>
      <c r="DR12" s="1"/>
      <c r="DS12" s="1"/>
      <c r="DT12" s="1"/>
      <c r="DU12" s="1"/>
      <c r="DV12" s="1"/>
      <c r="DW12" s="1"/>
      <c r="DX12" s="1"/>
      <c r="DY12" s="1"/>
      <c r="DZ12" s="1"/>
      <c r="EA12" s="1"/>
      <c r="EB12" s="1"/>
      <c r="EC12" s="1"/>
      <c r="ED12" s="1"/>
      <c r="EE12" s="1"/>
      <c r="EF12" s="1"/>
      <c r="EG12" s="1"/>
      <c r="EH12" s="1"/>
      <c r="EI12" s="1"/>
      <c r="EJ12" s="1"/>
      <c r="EK12" s="1"/>
      <c r="EL12" s="1"/>
    </row>
    <row r="13">
      <c r="A13" s="1"/>
      <c r="B13" s="26" t="s">
        <v>73</v>
      </c>
      <c r="C13" s="65">
        <f>sum(offset(offset('Amortization Schedules'!$A$3,C2*12-11,0,1,1),0,1,12,1))+sum(offset(offset('Amortization Schedules'!$G$3,C2*12-11,0,1,1),0,1,12,1))+sum(offset(offset('Amortization Schedules'!$M$3,C2*12-11,0,1,1),0,1,12,1))</f>
        <v>40559.69705</v>
      </c>
      <c r="D13" s="65">
        <f>sum(offset(offset('Amortization Schedules'!$A$3,D2*12-11,0,1,1),0,1,12,1))+sum(offset(offset('Amortization Schedules'!$G$3,D2*12-11,0,1,1),0,1,12,1))+sum(offset(offset('Amortization Schedules'!$M$3,D2*12-11,0,1,1),0,1,12,1))</f>
        <v>40559.69705</v>
      </c>
      <c r="E13" s="65">
        <f>sum(offset(offset('Amortization Schedules'!$A$3,E2*12-11,0,1,1),0,1,12,1))+sum(offset(offset('Amortization Schedules'!$G$3,E2*12-11,0,1,1),0,1,12,1))+sum(offset(offset('Amortization Schedules'!$M$3,E2*12-11,0,1,1),0,1,12,1))</f>
        <v>40559.69705</v>
      </c>
      <c r="F13" s="65">
        <f>sum(offset(offset('Amortization Schedules'!$A$3,F2*12-11,0,1,1),0,1,12,1))+sum(offset(offset('Amortization Schedules'!$G$3,F2*12-11,0,1,1),0,1,12,1))+sum(offset(offset('Amortization Schedules'!$M$3,F2*12-11,0,1,1),0,1,12,1))</f>
        <v>40559.69705</v>
      </c>
      <c r="G13" s="65">
        <f>sum(offset(offset('Amortization Schedules'!$A$3,G2*12-11,0,1,1),0,1,12,1))+sum(offset(offset('Amortization Schedules'!$G$3,G2*12-11,0,1,1),0,1,12,1))+sum(offset(offset('Amortization Schedules'!$M$3,G2*12-11,0,1,1),0,1,12,1))</f>
        <v>40559.69705</v>
      </c>
      <c r="H13" s="65">
        <f>sum(offset(offset('Amortization Schedules'!$A$3,H2*12-11,0,1,1),0,1,12,1))+sum(offset(offset('Amortization Schedules'!$G$3,H2*12-11,0,1,1),0,1,12,1))+sum(offset(offset('Amortization Schedules'!$M$3,H2*12-11,0,1,1),0,1,12,1))</f>
        <v>40559.69705</v>
      </c>
      <c r="I13" s="65">
        <f>sum(offset(offset('Amortization Schedules'!$A$3,I2*12-11,0,1,1),0,1,12,1))+sum(offset(offset('Amortization Schedules'!$G$3,I2*12-11,0,1,1),0,1,12,1))+sum(offset(offset('Amortization Schedules'!$M$3,I2*12-11,0,1,1),0,1,12,1))</f>
        <v>40559.69705</v>
      </c>
      <c r="J13" s="65">
        <f>sum(offset(offset('Amortization Schedules'!$A$3,J2*12-11,0,1,1),0,1,12,1))+sum(offset(offset('Amortization Schedules'!$G$3,J2*12-11,0,1,1),0,1,12,1))+sum(offset(offset('Amortization Schedules'!$M$3,J2*12-11,0,1,1),0,1,12,1))</f>
        <v>40559.69705</v>
      </c>
      <c r="K13" s="65">
        <f>sum(offset(offset('Amortization Schedules'!$A$3,K2*12-11,0,1,1),0,1,12,1))+sum(offset(offset('Amortization Schedules'!$G$3,K2*12-11,0,1,1),0,1,12,1))+sum(offset(offset('Amortization Schedules'!$M$3,K2*12-11,0,1,1),0,1,12,1))</f>
        <v>40559.69705</v>
      </c>
      <c r="L13" s="65">
        <f>sum(offset(offset('Amortization Schedules'!$A$3,L2*12-11,0,1,1),0,1,12,1))+sum(offset(offset('Amortization Schedules'!$G$3,L2*12-11,0,1,1),0,1,12,1))+sum(offset(offset('Amortization Schedules'!$M$3,L2*12-11,0,1,1),0,1,12,1))</f>
        <v>40559.69705</v>
      </c>
      <c r="M13" s="1"/>
      <c r="N13" s="1"/>
      <c r="O13" s="1"/>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1"/>
      <c r="DJ13" s="1"/>
      <c r="DK13" s="1"/>
      <c r="DL13" s="1"/>
      <c r="DM13" s="1"/>
      <c r="DN13" s="1"/>
      <c r="DO13" s="1"/>
      <c r="DP13" s="1"/>
      <c r="DQ13" s="1"/>
      <c r="DR13" s="1"/>
      <c r="DS13" s="1"/>
      <c r="DT13" s="1"/>
      <c r="DU13" s="1"/>
      <c r="DV13" s="1"/>
      <c r="DW13" s="1"/>
      <c r="DX13" s="1"/>
      <c r="DY13" s="1"/>
      <c r="DZ13" s="1"/>
      <c r="EA13" s="1"/>
      <c r="EB13" s="1"/>
      <c r="EC13" s="1"/>
      <c r="ED13" s="1"/>
      <c r="EE13" s="1"/>
      <c r="EF13" s="1"/>
      <c r="EG13" s="1"/>
      <c r="EH13" s="1"/>
      <c r="EI13" s="1"/>
      <c r="EJ13" s="1"/>
      <c r="EK13" s="1"/>
      <c r="EL13" s="1"/>
    </row>
    <row r="14">
      <c r="A14" s="1"/>
      <c r="B14" s="26" t="s">
        <v>171</v>
      </c>
      <c r="C14" s="65">
        <f>if('Deal Analysis'!$D$37=C2,vlookup(C2*12,'Amortization Schedules'!$G$4:$K$363,5),0)+if('Deal Analysis'!$D$47=C2,vlookup((C2+'Deal Analysis'!$D$45-'Deal Analysis'!$D$46)*12,'Amortization Schedules'!$M$4:$Q$363,5),0)</f>
        <v>0</v>
      </c>
      <c r="D14" s="65">
        <f>if('Deal Analysis'!$D$37=D2,vlookup(D2*12,'Amortization Schedules'!$G$4:$K$363,5),0)+if('Deal Analysis'!$D$47=D2,vlookup((D2+'Deal Analysis'!$D$45-'Deal Analysis'!$D$46)*12,'Amortization Schedules'!$M$4:$Q$363,5),0)</f>
        <v>0</v>
      </c>
      <c r="E14" s="65">
        <f>if('Deal Analysis'!$D$37=E2,vlookup(E2*12,'Amortization Schedules'!$G$4:$K$363,5),0)+if('Deal Analysis'!$D$47=E2,vlookup((E2+'Deal Analysis'!$D$45-'Deal Analysis'!$D$46)*12,'Amortization Schedules'!$M$4:$Q$363,5),0)</f>
        <v>0</v>
      </c>
      <c r="F14" s="65">
        <f>if('Deal Analysis'!$D$37=F2,vlookup(F2*12,'Amortization Schedules'!$G$4:$K$363,5),0)+if('Deal Analysis'!$D$47=F2,vlookup((F2+'Deal Analysis'!$D$45-'Deal Analysis'!$D$46)*12,'Amortization Schedules'!$M$4:$Q$363,5),0)</f>
        <v>0</v>
      </c>
      <c r="G14" s="65">
        <f>if('Deal Analysis'!$D$37=G2,vlookup(G2*12,'Amortization Schedules'!$G$4:$K$363,5),0)+if('Deal Analysis'!$D$47=G2,vlookup((G2+'Deal Analysis'!$D$45-'Deal Analysis'!$D$46)*12,'Amortization Schedules'!$M$4:$Q$363,5),0)</f>
        <v>0</v>
      </c>
      <c r="H14" s="65">
        <f>if('Deal Analysis'!$D$37=H2,vlookup(H2*12,'Amortization Schedules'!$G$4:$K$363,5),0)+if('Deal Analysis'!$D$47=H2,vlookup((H2+'Deal Analysis'!$D$45-'Deal Analysis'!$D$46)*12,'Amortization Schedules'!$M$4:$Q$363,5),0)</f>
        <v>0</v>
      </c>
      <c r="I14" s="65">
        <f>if('Deal Analysis'!$D$37=I2,vlookup(I2*12,'Amortization Schedules'!$G$4:$K$363,5),0)+if('Deal Analysis'!$D$47=I2,vlookup((I2+'Deal Analysis'!$D$45-'Deal Analysis'!$D$46)*12,'Amortization Schedules'!$M$4:$Q$363,5),0)</f>
        <v>0</v>
      </c>
      <c r="J14" s="65">
        <f>if('Deal Analysis'!$D$37=J2,vlookup(J2*12,'Amortization Schedules'!$G$4:$K$363,5),0)+if('Deal Analysis'!$D$47=J2,vlookup((J2+'Deal Analysis'!$D$45-'Deal Analysis'!$D$46)*12,'Amortization Schedules'!$M$4:$Q$363,5),0)</f>
        <v>0</v>
      </c>
      <c r="K14" s="65">
        <f>if('Deal Analysis'!$D$37=K2,vlookup(K2*12,'Amortization Schedules'!$G$4:$K$363,5),0)+if('Deal Analysis'!$D$47=K2,vlookup((K2+'Deal Analysis'!$D$45-'Deal Analysis'!$D$46)*12,'Amortization Schedules'!$M$4:$Q$363,5),0)</f>
        <v>0</v>
      </c>
      <c r="L14" s="65">
        <f>if('Deal Analysis'!$D$37=L2,vlookup(L2*12,'Amortization Schedules'!$G$4:$K$363,5),0)+if('Deal Analysis'!$D$47=L2,vlookup((L2+'Deal Analysis'!$D$45-'Deal Analysis'!$D$46)*12,'Amortization Schedules'!$M$4:$Q$363,5),0)</f>
        <v>0</v>
      </c>
      <c r="M14" s="1"/>
      <c r="N14" s="132"/>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c r="CY14" s="1"/>
      <c r="CZ14" s="1"/>
      <c r="DA14" s="1"/>
      <c r="DB14" s="1"/>
      <c r="DC14" s="1"/>
      <c r="DD14" s="1"/>
      <c r="DE14" s="1"/>
      <c r="DF14" s="1"/>
      <c r="DG14" s="1"/>
      <c r="DH14" s="1"/>
      <c r="DI14" s="1"/>
      <c r="DJ14" s="1"/>
      <c r="DK14" s="1"/>
      <c r="DL14" s="1"/>
      <c r="DM14" s="1"/>
      <c r="DN14" s="1"/>
      <c r="DO14" s="1"/>
      <c r="DP14" s="1"/>
      <c r="DQ14" s="1"/>
      <c r="DR14" s="1"/>
      <c r="DS14" s="1"/>
      <c r="DT14" s="1"/>
      <c r="DU14" s="1"/>
      <c r="DV14" s="1"/>
      <c r="DW14" s="1"/>
      <c r="DX14" s="1"/>
      <c r="DY14" s="1"/>
      <c r="DZ14" s="1"/>
      <c r="EA14" s="1"/>
      <c r="EB14" s="1"/>
      <c r="EC14" s="1"/>
      <c r="ED14" s="1"/>
      <c r="EE14" s="1"/>
      <c r="EF14" s="1"/>
      <c r="EG14" s="1"/>
      <c r="EH14" s="1"/>
      <c r="EI14" s="1"/>
      <c r="EJ14" s="1"/>
      <c r="EK14" s="1"/>
      <c r="EL14" s="1"/>
    </row>
    <row r="15">
      <c r="A15" s="1"/>
      <c r="B15" s="149" t="s">
        <v>172</v>
      </c>
      <c r="C15" s="150">
        <f t="shared" ref="C15:L15" si="6">C12-C13-C14</f>
        <v>1425.302948</v>
      </c>
      <c r="D15" s="150">
        <f t="shared" si="6"/>
        <v>2684.852948</v>
      </c>
      <c r="E15" s="150">
        <f t="shared" si="6"/>
        <v>3982.189448</v>
      </c>
      <c r="F15" s="150">
        <f t="shared" si="6"/>
        <v>5318.446043</v>
      </c>
      <c r="G15" s="150">
        <f t="shared" si="6"/>
        <v>6694.790336</v>
      </c>
      <c r="H15" s="150">
        <f t="shared" si="6"/>
        <v>8112.424957</v>
      </c>
      <c r="I15" s="150">
        <f t="shared" si="6"/>
        <v>9572.588618</v>
      </c>
      <c r="J15" s="150">
        <f t="shared" si="6"/>
        <v>11076.55719</v>
      </c>
      <c r="K15" s="150">
        <f t="shared" si="6"/>
        <v>12625.64482</v>
      </c>
      <c r="L15" s="151">
        <f t="shared" si="6"/>
        <v>14221.20507</v>
      </c>
      <c r="M15" s="1"/>
      <c r="N15" s="132"/>
      <c r="O15" s="1"/>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row>
    <row r="16">
      <c r="A16" s="1"/>
      <c r="B16" s="149" t="s">
        <v>173</v>
      </c>
      <c r="C16" s="150">
        <f>C15</f>
        <v>1425.302948</v>
      </c>
      <c r="D16" s="150">
        <f t="shared" ref="D16:L16" si="7">C16+D15</f>
        <v>4110.155896</v>
      </c>
      <c r="E16" s="150">
        <f t="shared" si="7"/>
        <v>8092.345344</v>
      </c>
      <c r="F16" s="150">
        <f t="shared" si="7"/>
        <v>13410.79139</v>
      </c>
      <c r="G16" s="150">
        <f t="shared" si="7"/>
        <v>20105.58172</v>
      </c>
      <c r="H16" s="150">
        <f t="shared" si="7"/>
        <v>28218.00668</v>
      </c>
      <c r="I16" s="150">
        <f t="shared" si="7"/>
        <v>37790.5953</v>
      </c>
      <c r="J16" s="150">
        <f t="shared" si="7"/>
        <v>48867.15249</v>
      </c>
      <c r="K16" s="150">
        <f t="shared" si="7"/>
        <v>61492.7973</v>
      </c>
      <c r="L16" s="151">
        <f t="shared" si="7"/>
        <v>75714.00237</v>
      </c>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row>
    <row r="17">
      <c r="A17" s="1"/>
      <c r="B17" s="152" t="s">
        <v>174</v>
      </c>
      <c r="C17" s="153">
        <f>'Deal Analysis'!$R$7*C15</f>
        <v>342.0727075</v>
      </c>
      <c r="D17" s="153">
        <f>'Deal Analysis'!$R$7*D15</f>
        <v>644.3647075</v>
      </c>
      <c r="E17" s="153">
        <f>'Deal Analysis'!$R$7*E15</f>
        <v>955.7254675</v>
      </c>
      <c r="F17" s="153">
        <f>'Deal Analysis'!$R$7*F15</f>
        <v>1276.42705</v>
      </c>
      <c r="G17" s="153">
        <f>'Deal Analysis'!$R$7*G15</f>
        <v>1606.749681</v>
      </c>
      <c r="H17" s="153">
        <f>'Deal Analysis'!$R$7*H15</f>
        <v>1946.98199</v>
      </c>
      <c r="I17" s="153">
        <f>'Deal Analysis'!$R$7*I15</f>
        <v>2297.421268</v>
      </c>
      <c r="J17" s="153">
        <f>'Deal Analysis'!$R$7*J15</f>
        <v>2658.373725</v>
      </c>
      <c r="K17" s="153">
        <f>'Deal Analysis'!$R$7*K15</f>
        <v>3030.154756</v>
      </c>
      <c r="L17" s="153">
        <f>'Deal Analysis'!$R$7*L15</f>
        <v>3413.089217</v>
      </c>
      <c r="M17" s="1"/>
      <c r="N17" s="1"/>
      <c r="O17" s="1"/>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c r="CY17" s="1"/>
      <c r="CZ17" s="1"/>
      <c r="DA17" s="1"/>
      <c r="DB17" s="1"/>
      <c r="DC17" s="1"/>
      <c r="DD17" s="1"/>
      <c r="DE17" s="1"/>
      <c r="DF17" s="1"/>
      <c r="DG17" s="1"/>
      <c r="DH17" s="1"/>
      <c r="DI17" s="1"/>
      <c r="DJ17" s="1"/>
      <c r="DK17" s="1"/>
      <c r="DL17" s="1"/>
      <c r="DM17" s="1"/>
      <c r="DN17" s="1"/>
      <c r="DO17" s="1"/>
      <c r="DP17" s="1"/>
      <c r="DQ17" s="1"/>
      <c r="DR17" s="1"/>
      <c r="DS17" s="1"/>
      <c r="DT17" s="1"/>
      <c r="DU17" s="1"/>
      <c r="DV17" s="1"/>
      <c r="DW17" s="1"/>
      <c r="DX17" s="1"/>
      <c r="DY17" s="1"/>
      <c r="DZ17" s="1"/>
      <c r="EA17" s="1"/>
      <c r="EB17" s="1"/>
      <c r="EC17" s="1"/>
      <c r="ED17" s="1"/>
      <c r="EE17" s="1"/>
      <c r="EF17" s="1"/>
      <c r="EG17" s="1"/>
      <c r="EH17" s="1"/>
      <c r="EI17" s="1"/>
      <c r="EJ17" s="1"/>
      <c r="EK17" s="1"/>
      <c r="EL17" s="1"/>
    </row>
    <row r="18">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c r="CY18" s="1"/>
      <c r="CZ18" s="1"/>
      <c r="DA18" s="1"/>
      <c r="DB18" s="1"/>
      <c r="DC18" s="1"/>
      <c r="DD18" s="1"/>
      <c r="DE18" s="1"/>
      <c r="DF18" s="1"/>
      <c r="DG18" s="1"/>
      <c r="DH18" s="1"/>
      <c r="DI18" s="1"/>
      <c r="DJ18" s="1"/>
      <c r="DK18" s="1"/>
      <c r="DL18" s="1"/>
      <c r="DM18" s="1"/>
      <c r="DN18" s="1"/>
      <c r="DO18" s="1"/>
      <c r="DP18" s="1"/>
      <c r="DQ18" s="1"/>
      <c r="DR18" s="1"/>
      <c r="DS18" s="1"/>
      <c r="DT18" s="1"/>
      <c r="DU18" s="1"/>
      <c r="DV18" s="1"/>
      <c r="DW18" s="1"/>
      <c r="DX18" s="1"/>
      <c r="DY18" s="1"/>
      <c r="DZ18" s="1"/>
      <c r="EA18" s="1"/>
      <c r="EB18" s="1"/>
      <c r="EC18" s="1"/>
      <c r="ED18" s="1"/>
      <c r="EE18" s="1"/>
      <c r="EF18" s="1"/>
      <c r="EG18" s="1"/>
      <c r="EH18" s="1"/>
      <c r="EI18" s="1"/>
      <c r="EJ18" s="1"/>
      <c r="EK18" s="1"/>
      <c r="EL18" s="1"/>
    </row>
    <row r="19">
      <c r="A19" s="1"/>
      <c r="B19" s="154" t="s">
        <v>175</v>
      </c>
      <c r="C19" s="155"/>
      <c r="D19" s="155"/>
      <c r="E19" s="155"/>
      <c r="F19" s="155"/>
      <c r="G19" s="155"/>
      <c r="H19" s="155"/>
      <c r="I19" s="155"/>
      <c r="J19" s="155"/>
      <c r="K19" s="155"/>
      <c r="L19" s="156"/>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row>
    <row r="20">
      <c r="A20" s="1"/>
      <c r="B20" s="26" t="s">
        <v>85</v>
      </c>
      <c r="C20" s="65">
        <f>sum('Deal Analysis'!D16:D18)+sum('Deal Analysis'!D8:D11)</f>
        <v>28750</v>
      </c>
      <c r="D20" s="80"/>
      <c r="E20" s="80"/>
      <c r="F20" s="80"/>
      <c r="G20" s="80"/>
      <c r="H20" s="80"/>
      <c r="I20" s="80"/>
      <c r="J20" s="80"/>
      <c r="K20" s="80"/>
      <c r="L20" s="157"/>
      <c r="M20" s="1"/>
      <c r="N20" s="1"/>
      <c r="O20" s="1"/>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row>
    <row r="21">
      <c r="A21" s="1"/>
      <c r="B21" s="26" t="s">
        <v>88</v>
      </c>
      <c r="C21" s="65">
        <f>('Deal Analysis'!$D$4+'Deal Analysis'!$D$15+'Deal Analysis'!$D$7-'Deal Analysis'!$R$8)/39</f>
        <v>10767.17949</v>
      </c>
      <c r="D21" s="65">
        <f t="shared" ref="D21:L21" si="8">C21</f>
        <v>10767.17949</v>
      </c>
      <c r="E21" s="65">
        <f t="shared" si="8"/>
        <v>10767.17949</v>
      </c>
      <c r="F21" s="65">
        <f t="shared" si="8"/>
        <v>10767.17949</v>
      </c>
      <c r="G21" s="65">
        <f t="shared" si="8"/>
        <v>10767.17949</v>
      </c>
      <c r="H21" s="65">
        <f t="shared" si="8"/>
        <v>10767.17949</v>
      </c>
      <c r="I21" s="65">
        <f t="shared" si="8"/>
        <v>10767.17949</v>
      </c>
      <c r="J21" s="65">
        <f t="shared" si="8"/>
        <v>10767.17949</v>
      </c>
      <c r="K21" s="65">
        <f t="shared" si="8"/>
        <v>10767.17949</v>
      </c>
      <c r="L21" s="40">
        <f t="shared" si="8"/>
        <v>10767.17949</v>
      </c>
      <c r="M21" s="1"/>
      <c r="N21" s="1"/>
      <c r="O21" s="1"/>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c r="DG21" s="1"/>
      <c r="DH21" s="1"/>
      <c r="DI21" s="1"/>
      <c r="DJ21" s="1"/>
      <c r="DK21" s="1"/>
      <c r="DL21" s="1"/>
      <c r="DM21" s="1"/>
      <c r="DN21" s="1"/>
      <c r="DO21" s="1"/>
      <c r="DP21" s="1"/>
      <c r="DQ21" s="1"/>
      <c r="DR21" s="1"/>
      <c r="DS21" s="1"/>
      <c r="DT21" s="1"/>
      <c r="DU21" s="1"/>
      <c r="DV21" s="1"/>
      <c r="DW21" s="1"/>
      <c r="DX21" s="1"/>
      <c r="DY21" s="1"/>
      <c r="DZ21" s="1"/>
      <c r="EA21" s="1"/>
      <c r="EB21" s="1"/>
      <c r="EC21" s="1"/>
      <c r="ED21" s="1"/>
      <c r="EE21" s="1"/>
      <c r="EF21" s="1"/>
      <c r="EG21" s="1"/>
      <c r="EH21" s="1"/>
      <c r="EI21" s="1"/>
      <c r="EJ21" s="1"/>
      <c r="EK21" s="1"/>
      <c r="EL21" s="1"/>
    </row>
    <row r="22">
      <c r="A22" s="1"/>
      <c r="B22" s="26" t="s">
        <v>91</v>
      </c>
      <c r="C22" s="65">
        <f t="shared" ref="C22:L22" si="9">SUM(C20:C21)</f>
        <v>39517.17949</v>
      </c>
      <c r="D22" s="65">
        <f t="shared" si="9"/>
        <v>10767.17949</v>
      </c>
      <c r="E22" s="65">
        <f t="shared" si="9"/>
        <v>10767.17949</v>
      </c>
      <c r="F22" s="65">
        <f t="shared" si="9"/>
        <v>10767.17949</v>
      </c>
      <c r="G22" s="65">
        <f t="shared" si="9"/>
        <v>10767.17949</v>
      </c>
      <c r="H22" s="65">
        <f t="shared" si="9"/>
        <v>10767.17949</v>
      </c>
      <c r="I22" s="65">
        <f t="shared" si="9"/>
        <v>10767.17949</v>
      </c>
      <c r="J22" s="65">
        <f t="shared" si="9"/>
        <v>10767.17949</v>
      </c>
      <c r="K22" s="65">
        <f t="shared" si="9"/>
        <v>10767.17949</v>
      </c>
      <c r="L22" s="40">
        <f t="shared" si="9"/>
        <v>10767.17949</v>
      </c>
      <c r="M22" s="1"/>
      <c r="N22" s="1"/>
      <c r="O22" s="1"/>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row>
    <row r="23">
      <c r="A23" s="1"/>
      <c r="B23" s="26" t="s">
        <v>95</v>
      </c>
      <c r="C23" s="65">
        <f t="shared" ref="C23:L23" si="10">C15-C22</f>
        <v>-38091.87654</v>
      </c>
      <c r="D23" s="65">
        <f t="shared" si="10"/>
        <v>-8082.326539</v>
      </c>
      <c r="E23" s="65">
        <f t="shared" si="10"/>
        <v>-6784.990039</v>
      </c>
      <c r="F23" s="65">
        <f t="shared" si="10"/>
        <v>-5448.733444</v>
      </c>
      <c r="G23" s="65">
        <f t="shared" si="10"/>
        <v>-4072.389151</v>
      </c>
      <c r="H23" s="65">
        <f t="shared" si="10"/>
        <v>-2654.75453</v>
      </c>
      <c r="I23" s="65">
        <f t="shared" si="10"/>
        <v>-1194.590869</v>
      </c>
      <c r="J23" s="65">
        <f t="shared" si="10"/>
        <v>309.3777007</v>
      </c>
      <c r="K23" s="65">
        <f t="shared" si="10"/>
        <v>1858.465328</v>
      </c>
      <c r="L23" s="40">
        <f t="shared" si="10"/>
        <v>3454.025584</v>
      </c>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row>
    <row r="24">
      <c r="A24" s="1"/>
      <c r="B24" s="158" t="s">
        <v>176</v>
      </c>
      <c r="C24" s="159">
        <f>'Deal Analysis'!$R$7*C23</f>
        <v>-9142.050369</v>
      </c>
      <c r="D24" s="159">
        <f>'Deal Analysis'!$R$7*D23</f>
        <v>-1939.758369</v>
      </c>
      <c r="E24" s="159">
        <f>'Deal Analysis'!$R$7*E23</f>
        <v>-1628.397609</v>
      </c>
      <c r="F24" s="159">
        <f>'Deal Analysis'!$R$7*F23</f>
        <v>-1307.696027</v>
      </c>
      <c r="G24" s="159">
        <f>'Deal Analysis'!$R$7*G23</f>
        <v>-977.3733963</v>
      </c>
      <c r="H24" s="159">
        <f>'Deal Analysis'!$R$7*H23</f>
        <v>-637.1410871</v>
      </c>
      <c r="I24" s="159">
        <f>'Deal Analysis'!$R$7*I23</f>
        <v>-286.7018087</v>
      </c>
      <c r="J24" s="159">
        <f>'Deal Analysis'!$R$7*J23</f>
        <v>74.25064816</v>
      </c>
      <c r="K24" s="159">
        <f>'Deal Analysis'!$R$7*K23</f>
        <v>446.0316787</v>
      </c>
      <c r="L24" s="159">
        <f>'Deal Analysis'!$R$7*L23</f>
        <v>828.9661401</v>
      </c>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row>
    <row r="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row>
    <row r="26">
      <c r="A26" s="1"/>
      <c r="B26" s="160" t="s">
        <v>177</v>
      </c>
      <c r="C26" s="161"/>
      <c r="D26" s="161"/>
      <c r="E26" s="161"/>
      <c r="F26" s="161"/>
      <c r="G26" s="161"/>
      <c r="H26" s="161"/>
      <c r="I26" s="161"/>
      <c r="J26" s="161"/>
      <c r="K26" s="161"/>
      <c r="L26" s="162"/>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row>
    <row r="27">
      <c r="A27" s="1"/>
      <c r="B27" s="26" t="s">
        <v>178</v>
      </c>
      <c r="C27" s="65">
        <f t="shared" ref="C27:L27" si="11">C15-C17</f>
        <v>1083.23024</v>
      </c>
      <c r="D27" s="65">
        <f t="shared" si="11"/>
        <v>2040.48824</v>
      </c>
      <c r="E27" s="65">
        <f t="shared" si="11"/>
        <v>3026.46398</v>
      </c>
      <c r="F27" s="65">
        <f t="shared" si="11"/>
        <v>4042.018993</v>
      </c>
      <c r="G27" s="65">
        <f t="shared" si="11"/>
        <v>5088.040655</v>
      </c>
      <c r="H27" s="65">
        <f t="shared" si="11"/>
        <v>6165.442968</v>
      </c>
      <c r="I27" s="65">
        <f t="shared" si="11"/>
        <v>7275.167349</v>
      </c>
      <c r="J27" s="65">
        <f t="shared" si="11"/>
        <v>8418.183463</v>
      </c>
      <c r="K27" s="65">
        <f t="shared" si="11"/>
        <v>9595.490059</v>
      </c>
      <c r="L27" s="40">
        <f t="shared" si="11"/>
        <v>10808.11585</v>
      </c>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row>
    <row r="28">
      <c r="A28" s="1"/>
      <c r="B28" s="26" t="s">
        <v>101</v>
      </c>
      <c r="C28" s="65">
        <f t="shared" ref="C28:L28" si="12">C15-C24</f>
        <v>10567.35332</v>
      </c>
      <c r="D28" s="65">
        <f t="shared" si="12"/>
        <v>4624.611317</v>
      </c>
      <c r="E28" s="65">
        <f t="shared" si="12"/>
        <v>5610.587057</v>
      </c>
      <c r="F28" s="65">
        <f t="shared" si="12"/>
        <v>6626.14207</v>
      </c>
      <c r="G28" s="65">
        <f t="shared" si="12"/>
        <v>7672.163732</v>
      </c>
      <c r="H28" s="65">
        <f t="shared" si="12"/>
        <v>8749.566045</v>
      </c>
      <c r="I28" s="65">
        <f t="shared" si="12"/>
        <v>9859.290426</v>
      </c>
      <c r="J28" s="65">
        <f t="shared" si="12"/>
        <v>11002.30654</v>
      </c>
      <c r="K28" s="65">
        <f t="shared" si="12"/>
        <v>12179.61314</v>
      </c>
      <c r="L28" s="40">
        <f t="shared" si="12"/>
        <v>13392.23893</v>
      </c>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row>
    <row r="29">
      <c r="A29" s="1"/>
      <c r="B29" s="163" t="s">
        <v>98</v>
      </c>
      <c r="C29" s="164">
        <f t="shared" ref="C29:L29" si="13">C28-C27</f>
        <v>9484.123077</v>
      </c>
      <c r="D29" s="164">
        <f t="shared" si="13"/>
        <v>2584.123077</v>
      </c>
      <c r="E29" s="164">
        <f t="shared" si="13"/>
        <v>2584.123077</v>
      </c>
      <c r="F29" s="164">
        <f t="shared" si="13"/>
        <v>2584.123077</v>
      </c>
      <c r="G29" s="164">
        <f t="shared" si="13"/>
        <v>2584.123077</v>
      </c>
      <c r="H29" s="164">
        <f t="shared" si="13"/>
        <v>2584.123077</v>
      </c>
      <c r="I29" s="164">
        <f t="shared" si="13"/>
        <v>2584.123077</v>
      </c>
      <c r="J29" s="164">
        <f t="shared" si="13"/>
        <v>2584.123077</v>
      </c>
      <c r="K29" s="164">
        <f t="shared" si="13"/>
        <v>2584.123077</v>
      </c>
      <c r="L29" s="165">
        <f t="shared" si="13"/>
        <v>2584.123077</v>
      </c>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row>
    <row r="30">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row>
    <row r="31">
      <c r="A31" s="1"/>
      <c r="B31" s="166" t="s">
        <v>108</v>
      </c>
      <c r="C31" s="167"/>
      <c r="D31" s="167"/>
      <c r="E31" s="167"/>
      <c r="F31" s="167"/>
      <c r="G31" s="167"/>
      <c r="H31" s="167"/>
      <c r="I31" s="167"/>
      <c r="J31" s="167"/>
      <c r="K31" s="167"/>
      <c r="L31" s="168"/>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row>
    <row r="32">
      <c r="A32" s="1"/>
      <c r="B32" s="26" t="s">
        <v>110</v>
      </c>
      <c r="C32" s="65">
        <f>'Deal Analysis'!D5</f>
        <v>432000</v>
      </c>
      <c r="D32" s="65">
        <f t="shared" ref="D32:L32" si="14">C32*(1+D33)</f>
        <v>449280</v>
      </c>
      <c r="E32" s="65">
        <f t="shared" si="14"/>
        <v>467251.2</v>
      </c>
      <c r="F32" s="65">
        <f t="shared" si="14"/>
        <v>485941.248</v>
      </c>
      <c r="G32" s="65">
        <f t="shared" si="14"/>
        <v>505378.8979</v>
      </c>
      <c r="H32" s="65">
        <f t="shared" si="14"/>
        <v>525594.0538</v>
      </c>
      <c r="I32" s="65">
        <f t="shared" si="14"/>
        <v>546617.816</v>
      </c>
      <c r="J32" s="65">
        <f t="shared" si="14"/>
        <v>568482.5286</v>
      </c>
      <c r="K32" s="65">
        <f t="shared" si="14"/>
        <v>591221.8298</v>
      </c>
      <c r="L32" s="40">
        <f t="shared" si="14"/>
        <v>614870.703</v>
      </c>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row>
    <row r="33">
      <c r="A33" s="1"/>
      <c r="B33" s="26" t="s">
        <v>179</v>
      </c>
      <c r="C33" s="169">
        <f>'Deal Analysis'!R6</f>
        <v>0.04</v>
      </c>
      <c r="D33" s="169">
        <f t="shared" ref="D33:L33" si="15">C33</f>
        <v>0.04</v>
      </c>
      <c r="E33" s="169">
        <f t="shared" si="15"/>
        <v>0.04</v>
      </c>
      <c r="F33" s="169">
        <f t="shared" si="15"/>
        <v>0.04</v>
      </c>
      <c r="G33" s="169">
        <f t="shared" si="15"/>
        <v>0.04</v>
      </c>
      <c r="H33" s="169">
        <f t="shared" si="15"/>
        <v>0.04</v>
      </c>
      <c r="I33" s="169">
        <f t="shared" si="15"/>
        <v>0.04</v>
      </c>
      <c r="J33" s="169">
        <f t="shared" si="15"/>
        <v>0.04</v>
      </c>
      <c r="K33" s="169">
        <f t="shared" si="15"/>
        <v>0.04</v>
      </c>
      <c r="L33" s="170">
        <f t="shared" si="15"/>
        <v>0.04</v>
      </c>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row>
    <row r="34">
      <c r="A34" s="1"/>
      <c r="B34" s="171" t="s">
        <v>114</v>
      </c>
      <c r="C34" s="65">
        <f>vlookup(C2*12,'Amortization Schedules'!$A$4:$E$363,5)+vlookup(C2*12,'Amortization Schedules'!$G$4:$K$363,5)+vlookup((C2+'Deal Analysis'!$D$45-'Deal Analysis'!$D$46)*12,'Amortization Schedules'!$M$4:$Q$363,5)-C14</f>
        <v>405664.3525</v>
      </c>
      <c r="D34" s="65">
        <f>vlookup(D2*12,'Amortization Schedules'!$A$4:$E$363,5)+vlookup(D2*12,'Amortization Schedules'!$G$4:$K$363,5)+vlookup((D2+'Deal Analysis'!$D$45-'Deal Analysis'!$D$46)*12,'Amortization Schedules'!$M$4:$Q$363,5)-D14</f>
        <v>400921.9913</v>
      </c>
      <c r="E34" s="65">
        <f>vlookup(E2*12,'Amortization Schedules'!$A$4:$E$363,5)+vlookup(E2*12,'Amortization Schedules'!$G$4:$K$363,5)+vlookup((E2+'Deal Analysis'!$D$45-'Deal Analysis'!$D$46)*12,'Amortization Schedules'!$M$4:$Q$363,5)-E14</f>
        <v>395734.764</v>
      </c>
      <c r="F34" s="65">
        <f>vlookup(F2*12,'Amortization Schedules'!$A$4:$E$363,5)+vlookup(F2*12,'Amortization Schedules'!$G$4:$K$363,5)+vlookup((F2+'Deal Analysis'!$D$45-'Deal Analysis'!$D$46)*12,'Amortization Schedules'!$M$4:$Q$363,5)-F14</f>
        <v>390060.939</v>
      </c>
      <c r="G34" s="65">
        <f>vlookup(G2*12,'Amortization Schedules'!$A$4:$E$363,5)+vlookup(G2*12,'Amortization Schedules'!$G$4:$K$363,5)+vlookup((G2+'Deal Analysis'!$D$45-'Deal Analysis'!$D$46)*12,'Amortization Schedules'!$M$4:$Q$363,5)-G14</f>
        <v>383854.87</v>
      </c>
      <c r="H34" s="65">
        <f>vlookup(H2*12,'Amortization Schedules'!$A$4:$E$363,5)+vlookup(H2*12,'Amortization Schedules'!$G$4:$K$363,5)+vlookup((H2+'Deal Analysis'!$D$45-'Deal Analysis'!$D$46)*12,'Amortization Schedules'!$M$4:$Q$363,5)-H14</f>
        <v>377066.629</v>
      </c>
      <c r="I34" s="65">
        <f>vlookup(I2*12,'Amortization Schedules'!$A$4:$E$363,5)+vlookup(I2*12,'Amortization Schedules'!$G$4:$K$363,5)+vlookup((I2+'Deal Analysis'!$D$45-'Deal Analysis'!$D$46)*12,'Amortization Schedules'!$M$4:$Q$363,5)-I14</f>
        <v>369641.6041</v>
      </c>
      <c r="J34" s="65">
        <f>vlookup(J2*12,'Amortization Schedules'!$A$4:$E$363,5)+vlookup(J2*12,'Amortization Schedules'!$G$4:$K$363,5)+vlookup((J2+'Deal Analysis'!$D$45-'Deal Analysis'!$D$46)*12,'Amortization Schedules'!$M$4:$Q$363,5)-J14</f>
        <v>361520.0607</v>
      </c>
      <c r="K34" s="65">
        <f>vlookup(K2*12,'Amortization Schedules'!$A$4:$E$363,5)+vlookup(K2*12,'Amortization Schedules'!$G$4:$K$363,5)+vlookup((K2+'Deal Analysis'!$D$45-'Deal Analysis'!$D$46)*12,'Amortization Schedules'!$M$4:$Q$363,5)-K14</f>
        <v>352636.6604</v>
      </c>
      <c r="L34" s="65">
        <f>vlookup(L2*12,'Amortization Schedules'!$A$4:$E$363,5)+vlookup(L2*12,'Amortization Schedules'!$G$4:$K$363,5)+vlookup((L2+'Deal Analysis'!$D$45-'Deal Analysis'!$D$46)*12,'Amortization Schedules'!$M$4:$Q$363,5)-L14</f>
        <v>342919.936</v>
      </c>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c r="EB34" s="1"/>
      <c r="EC34" s="1"/>
      <c r="ED34" s="1"/>
      <c r="EE34" s="1"/>
      <c r="EF34" s="1"/>
      <c r="EG34" s="1"/>
      <c r="EH34" s="1"/>
      <c r="EI34" s="1"/>
      <c r="EJ34" s="1"/>
      <c r="EK34" s="1"/>
      <c r="EL34" s="1"/>
    </row>
    <row r="35">
      <c r="A35" s="1"/>
      <c r="B35" s="172" t="s">
        <v>118</v>
      </c>
      <c r="C35" s="173">
        <f t="shared" ref="C35:L35" si="16">C32-C34</f>
        <v>26335.64751</v>
      </c>
      <c r="D35" s="173">
        <f t="shared" si="16"/>
        <v>48358.00866</v>
      </c>
      <c r="E35" s="173">
        <f t="shared" si="16"/>
        <v>71516.43599</v>
      </c>
      <c r="F35" s="173">
        <f t="shared" si="16"/>
        <v>95880.30904</v>
      </c>
      <c r="G35" s="173">
        <f t="shared" si="16"/>
        <v>121524.0279</v>
      </c>
      <c r="H35" s="173">
        <f t="shared" si="16"/>
        <v>148527.4249</v>
      </c>
      <c r="I35" s="173">
        <f t="shared" si="16"/>
        <v>176976.2119</v>
      </c>
      <c r="J35" s="173">
        <f t="shared" si="16"/>
        <v>206962.468</v>
      </c>
      <c r="K35" s="173">
        <f t="shared" si="16"/>
        <v>238585.1693</v>
      </c>
      <c r="L35" s="174">
        <f t="shared" si="16"/>
        <v>271950.767</v>
      </c>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c r="EB35" s="1"/>
      <c r="EC35" s="1"/>
      <c r="ED35" s="1"/>
      <c r="EE35" s="1"/>
      <c r="EF35" s="1"/>
      <c r="EG35" s="1"/>
      <c r="EH35" s="1"/>
      <c r="EI35" s="1"/>
      <c r="EJ35" s="1"/>
      <c r="EK35" s="1"/>
      <c r="EL35" s="1"/>
    </row>
    <row r="36">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row>
    <row r="37">
      <c r="A37" s="1"/>
      <c r="B37" s="175" t="s">
        <v>123</v>
      </c>
      <c r="C37" s="176"/>
      <c r="D37" s="176"/>
      <c r="E37" s="176"/>
      <c r="F37" s="176"/>
      <c r="G37" s="176"/>
      <c r="H37" s="176"/>
      <c r="I37" s="176"/>
      <c r="J37" s="176"/>
      <c r="K37" s="176"/>
      <c r="L37" s="177"/>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row>
    <row r="38">
      <c r="A38" s="1"/>
      <c r="B38" s="26" t="s">
        <v>121</v>
      </c>
      <c r="C38" s="65">
        <f t="shared" ref="C38:L38" si="17">C35</f>
        <v>26335.64751</v>
      </c>
      <c r="D38" s="65">
        <f t="shared" si="17"/>
        <v>48358.00866</v>
      </c>
      <c r="E38" s="65">
        <f t="shared" si="17"/>
        <v>71516.43599</v>
      </c>
      <c r="F38" s="65">
        <f t="shared" si="17"/>
        <v>95880.30904</v>
      </c>
      <c r="G38" s="65">
        <f t="shared" si="17"/>
        <v>121524.0279</v>
      </c>
      <c r="H38" s="65">
        <f t="shared" si="17"/>
        <v>148527.4249</v>
      </c>
      <c r="I38" s="65">
        <f t="shared" si="17"/>
        <v>176976.2119</v>
      </c>
      <c r="J38" s="65">
        <f t="shared" si="17"/>
        <v>206962.468</v>
      </c>
      <c r="K38" s="65">
        <f t="shared" si="17"/>
        <v>238585.1693</v>
      </c>
      <c r="L38" s="40">
        <f t="shared" si="17"/>
        <v>271950.767</v>
      </c>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row>
    <row r="39">
      <c r="A39" s="1"/>
      <c r="B39" s="26" t="s">
        <v>126</v>
      </c>
      <c r="C39" s="65">
        <f>-C32*'Deal Analysis'!$Q$32</f>
        <v>-30240</v>
      </c>
      <c r="D39" s="65">
        <f>-D32*'Deal Analysis'!$Q$32</f>
        <v>-31449.6</v>
      </c>
      <c r="E39" s="65">
        <f>-E32*'Deal Analysis'!$Q$32</f>
        <v>-32707.584</v>
      </c>
      <c r="F39" s="65">
        <f>-F32*'Deal Analysis'!$Q$32</f>
        <v>-34015.88736</v>
      </c>
      <c r="G39" s="65">
        <f>-G32*'Deal Analysis'!$Q$32</f>
        <v>-35376.52285</v>
      </c>
      <c r="H39" s="65">
        <f>-H32*'Deal Analysis'!$Q$32</f>
        <v>-36791.58377</v>
      </c>
      <c r="I39" s="65">
        <f>-I32*'Deal Analysis'!$Q$32</f>
        <v>-38263.24712</v>
      </c>
      <c r="J39" s="65">
        <f>-J32*'Deal Analysis'!$Q$32</f>
        <v>-39793.777</v>
      </c>
      <c r="K39" s="65">
        <f>-K32*'Deal Analysis'!$Q$32</f>
        <v>-41385.52808</v>
      </c>
      <c r="L39" s="65">
        <f>-L32*'Deal Analysis'!$Q$32</f>
        <v>-43040.94921</v>
      </c>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row>
    <row r="40">
      <c r="A40" s="1"/>
      <c r="B40" s="178" t="s">
        <v>128</v>
      </c>
      <c r="C40" s="179">
        <f t="shared" ref="C40:L40" si="18">C38+C39</f>
        <v>-3904.352492</v>
      </c>
      <c r="D40" s="179">
        <f t="shared" si="18"/>
        <v>16908.40866</v>
      </c>
      <c r="E40" s="179">
        <f t="shared" si="18"/>
        <v>38808.85199</v>
      </c>
      <c r="F40" s="179">
        <f t="shared" si="18"/>
        <v>61864.42168</v>
      </c>
      <c r="G40" s="179">
        <f t="shared" si="18"/>
        <v>86147.50507</v>
      </c>
      <c r="H40" s="179">
        <f t="shared" si="18"/>
        <v>111735.8411</v>
      </c>
      <c r="I40" s="179">
        <f t="shared" si="18"/>
        <v>138712.9648</v>
      </c>
      <c r="J40" s="179">
        <f t="shared" si="18"/>
        <v>167168.691</v>
      </c>
      <c r="K40" s="179">
        <f t="shared" si="18"/>
        <v>197199.6413</v>
      </c>
      <c r="L40" s="180">
        <f t="shared" si="18"/>
        <v>228909.8178</v>
      </c>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row>
    <row r="41">
      <c r="A41" s="1"/>
      <c r="B41" s="26" t="s">
        <v>133</v>
      </c>
      <c r="C41" s="65">
        <f>-'Deal Analysis'!$M$22</f>
        <v>-146270</v>
      </c>
      <c r="D41" s="65">
        <f t="shared" ref="D41:L41" si="19">C41</f>
        <v>-146270</v>
      </c>
      <c r="E41" s="65">
        <f t="shared" si="19"/>
        <v>-146270</v>
      </c>
      <c r="F41" s="65">
        <f t="shared" si="19"/>
        <v>-146270</v>
      </c>
      <c r="G41" s="65">
        <f t="shared" si="19"/>
        <v>-146270</v>
      </c>
      <c r="H41" s="65">
        <f t="shared" si="19"/>
        <v>-146270</v>
      </c>
      <c r="I41" s="65">
        <f t="shared" si="19"/>
        <v>-146270</v>
      </c>
      <c r="J41" s="65">
        <f t="shared" si="19"/>
        <v>-146270</v>
      </c>
      <c r="K41" s="65">
        <f t="shared" si="19"/>
        <v>-146270</v>
      </c>
      <c r="L41" s="40">
        <f t="shared" si="19"/>
        <v>-146270</v>
      </c>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row>
    <row r="42">
      <c r="A42" s="1"/>
      <c r="B42" s="26" t="s">
        <v>180</v>
      </c>
      <c r="C42" s="65">
        <f>C28</f>
        <v>10567.35332</v>
      </c>
      <c r="D42" s="65">
        <f t="shared" ref="D42:L42" si="20">C42+D28</f>
        <v>15191.96463</v>
      </c>
      <c r="E42" s="65">
        <f t="shared" si="20"/>
        <v>20802.55169</v>
      </c>
      <c r="F42" s="65">
        <f t="shared" si="20"/>
        <v>27428.69376</v>
      </c>
      <c r="G42" s="65">
        <f t="shared" si="20"/>
        <v>35100.85749</v>
      </c>
      <c r="H42" s="65">
        <f t="shared" si="20"/>
        <v>43850.42354</v>
      </c>
      <c r="I42" s="65">
        <f t="shared" si="20"/>
        <v>53709.71396</v>
      </c>
      <c r="J42" s="65">
        <f t="shared" si="20"/>
        <v>64712.0205</v>
      </c>
      <c r="K42" s="65">
        <f t="shared" si="20"/>
        <v>76891.63364</v>
      </c>
      <c r="L42" s="40">
        <f t="shared" si="20"/>
        <v>90283.87257</v>
      </c>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row>
    <row r="43">
      <c r="A43" s="1"/>
      <c r="B43" s="181" t="s">
        <v>181</v>
      </c>
      <c r="C43" s="182">
        <f t="shared" ref="C43:L43" si="21">C40+C42+C41</f>
        <v>-139606.9992</v>
      </c>
      <c r="D43" s="182">
        <f t="shared" si="21"/>
        <v>-114169.6267</v>
      </c>
      <c r="E43" s="182">
        <f t="shared" si="21"/>
        <v>-86658.59631</v>
      </c>
      <c r="F43" s="182">
        <f t="shared" si="21"/>
        <v>-56976.88456</v>
      </c>
      <c r="G43" s="182">
        <f t="shared" si="21"/>
        <v>-25021.63744</v>
      </c>
      <c r="H43" s="182">
        <f t="shared" si="21"/>
        <v>9316.264651</v>
      </c>
      <c r="I43" s="182">
        <f t="shared" si="21"/>
        <v>46152.67876</v>
      </c>
      <c r="J43" s="182">
        <f t="shared" si="21"/>
        <v>85610.71147</v>
      </c>
      <c r="K43" s="182">
        <f t="shared" si="21"/>
        <v>127821.2749</v>
      </c>
      <c r="L43" s="183">
        <f t="shared" si="21"/>
        <v>172923.6903</v>
      </c>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row>
    <row r="44">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row>
    <row r="45">
      <c r="A45" s="1"/>
      <c r="B45" s="184" t="s">
        <v>182</v>
      </c>
      <c r="C45" s="185"/>
      <c r="D45" s="185"/>
      <c r="E45" s="185"/>
      <c r="F45" s="185"/>
      <c r="G45" s="185"/>
      <c r="H45" s="185"/>
      <c r="I45" s="185"/>
      <c r="J45" s="185"/>
      <c r="K45" s="185"/>
      <c r="L45" s="186"/>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row>
    <row r="46">
      <c r="A46" s="1"/>
      <c r="B46" s="26" t="s">
        <v>141</v>
      </c>
      <c r="C46" s="187">
        <f>C12/'Deal Analysis'!$D$4</f>
        <v>0.0971875</v>
      </c>
      <c r="D46" s="187">
        <f>D12/'Deal Analysis'!$D$4</f>
        <v>0.100103125</v>
      </c>
      <c r="E46" s="187">
        <f>E12/'Deal Analysis'!$D$4</f>
        <v>0.1031062188</v>
      </c>
      <c r="F46" s="187">
        <f>F12/'Deal Analysis'!$D$4</f>
        <v>0.1061994053</v>
      </c>
      <c r="G46" s="187">
        <f>G12/'Deal Analysis'!$D$4</f>
        <v>0.1093853875</v>
      </c>
      <c r="H46" s="187">
        <f>H12/'Deal Analysis'!$D$4</f>
        <v>0.1126669491</v>
      </c>
      <c r="I46" s="187">
        <f>I12/'Deal Analysis'!$D$4</f>
        <v>0.1160469576</v>
      </c>
      <c r="J46" s="187">
        <f>J12/'Deal Analysis'!$D$4</f>
        <v>0.1195283663</v>
      </c>
      <c r="K46" s="187">
        <f>K12/'Deal Analysis'!$D$4</f>
        <v>0.1231142173</v>
      </c>
      <c r="L46" s="187">
        <f>L12/'Deal Analysis'!$D$4</f>
        <v>0.1268076438</v>
      </c>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c r="EB46" s="1"/>
      <c r="EC46" s="1"/>
      <c r="ED46" s="1"/>
      <c r="EE46" s="1"/>
      <c r="EF46" s="1"/>
      <c r="EG46" s="1"/>
      <c r="EH46" s="1"/>
      <c r="EI46" s="1"/>
      <c r="EJ46" s="1"/>
      <c r="EK46" s="1"/>
      <c r="EL46" s="1"/>
    </row>
    <row r="47">
      <c r="A47" s="1"/>
      <c r="B47" s="26" t="s">
        <v>143</v>
      </c>
      <c r="C47" s="187">
        <f t="shared" ref="C47:L47" si="22">C28/C35</f>
        <v>0.4012566357</v>
      </c>
      <c r="D47" s="187">
        <f t="shared" si="22"/>
        <v>0.09563279063</v>
      </c>
      <c r="E47" s="187">
        <f t="shared" si="22"/>
        <v>0.07845171504</v>
      </c>
      <c r="F47" s="187">
        <f t="shared" si="22"/>
        <v>0.06910847635</v>
      </c>
      <c r="G47" s="187">
        <f t="shared" si="22"/>
        <v>0.06313289531</v>
      </c>
      <c r="H47" s="187">
        <f t="shared" si="22"/>
        <v>0.05890875743</v>
      </c>
      <c r="I47" s="187">
        <f t="shared" si="22"/>
        <v>0.05570969296</v>
      </c>
      <c r="J47" s="187">
        <f t="shared" si="22"/>
        <v>0.05316087814</v>
      </c>
      <c r="K47" s="187">
        <f t="shared" si="22"/>
        <v>0.05104933039</v>
      </c>
      <c r="L47" s="97">
        <f t="shared" si="22"/>
        <v>0.04924508609</v>
      </c>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row>
    <row r="48">
      <c r="A48" s="1"/>
      <c r="B48" s="26" t="s">
        <v>146</v>
      </c>
      <c r="C48" s="187">
        <f t="shared" ref="C48:L48" si="23">C16/-C41</f>
        <v>0.009744328625</v>
      </c>
      <c r="D48" s="187">
        <f t="shared" si="23"/>
        <v>0.02809978735</v>
      </c>
      <c r="E48" s="187">
        <f t="shared" si="23"/>
        <v>0.05532471008</v>
      </c>
      <c r="F48" s="187">
        <f t="shared" si="23"/>
        <v>0.09168518074</v>
      </c>
      <c r="G48" s="187">
        <f t="shared" si="23"/>
        <v>0.1374552658</v>
      </c>
      <c r="H48" s="187">
        <f t="shared" si="23"/>
        <v>0.1929172536</v>
      </c>
      <c r="I48" s="187">
        <f t="shared" si="23"/>
        <v>0.2583619013</v>
      </c>
      <c r="J48" s="187">
        <f t="shared" si="23"/>
        <v>0.3340886886</v>
      </c>
      <c r="K48" s="187">
        <f t="shared" si="23"/>
        <v>0.4204060799</v>
      </c>
      <c r="L48" s="97">
        <f t="shared" si="23"/>
        <v>0.5176317931</v>
      </c>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row>
    <row r="49">
      <c r="A49" s="1"/>
      <c r="B49" s="188" t="s">
        <v>147</v>
      </c>
      <c r="C49" s="189">
        <f t="shared" ref="C49:L49" si="24">C42/-C41</f>
        <v>0.07224552757</v>
      </c>
      <c r="D49" s="189">
        <f t="shared" si="24"/>
        <v>0.1038624778</v>
      </c>
      <c r="E49" s="189">
        <f t="shared" si="24"/>
        <v>0.1422202208</v>
      </c>
      <c r="F49" s="189">
        <f t="shared" si="24"/>
        <v>0.1875209801</v>
      </c>
      <c r="G49" s="189">
        <f t="shared" si="24"/>
        <v>0.2399730464</v>
      </c>
      <c r="H49" s="189">
        <f t="shared" si="24"/>
        <v>0.2997909588</v>
      </c>
      <c r="I49" s="189">
        <f t="shared" si="24"/>
        <v>0.3671956927</v>
      </c>
      <c r="J49" s="189">
        <f t="shared" si="24"/>
        <v>0.4424148527</v>
      </c>
      <c r="K49" s="189">
        <f t="shared" si="24"/>
        <v>0.5256828717</v>
      </c>
      <c r="L49" s="190">
        <f t="shared" si="24"/>
        <v>0.6172412154</v>
      </c>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row>
    <row r="50">
      <c r="A50" s="1"/>
      <c r="B50" s="26" t="s">
        <v>149</v>
      </c>
      <c r="C50" s="191" t="str">
        <f>IFERROR(__xludf.DUMMYFUNCTION("irr({C41,split(rept(C16/(C2*12)&amp;"";"",C2*12),"";""),C40})*12"),"#NUM!")</f>
        <v>#NUM!</v>
      </c>
      <c r="D50" s="187">
        <f>IFERROR(__xludf.DUMMYFUNCTION("irr({D41,split(rept(D16/(D2*12)&amp;"";"",D2*12),"";""),D40})*12"),-0.9495582639961657)</f>
        <v>-0.949558264</v>
      </c>
      <c r="E50" s="187">
        <f>IFERROR(__xludf.DUMMYFUNCTION("irr({E41,split(rept(E16/(E2*12)&amp;"";"",E2*12),"";""),E40})*12"),-0.3870646507063318)</f>
        <v>-0.3870646507</v>
      </c>
      <c r="F50" s="187">
        <f>IFERROR(__xludf.DUMMYFUNCTION("irr({F41,split(rept(F16/(F2*12)&amp;"";"",F2*12),"";""),F40})*12"),-0.17425085440129565)</f>
        <v>-0.1742508544</v>
      </c>
      <c r="G50" s="187">
        <f>IFERROR(__xludf.DUMMYFUNCTION("irr({G41,split(rept(G16/(G2*12)&amp;"";"",G2*12),"";""),G40})*12"),-0.06858538007018772)</f>
        <v>-0.06858538007</v>
      </c>
      <c r="H50" s="187">
        <f>IFERROR(__xludf.DUMMYFUNCTION("irr({H41,split(rept(H16/(H2*12)&amp;"";"",H2*12),"";""),H40})*12"),-0.008054638993017258)</f>
        <v>-0.008054638993</v>
      </c>
      <c r="I50" s="187">
        <f>IFERROR(__xludf.DUMMYFUNCTION("irr({I41,split(rept(I16/(I2*12)&amp;"";"",I2*12),"";""),I40})*12"),0.029962225887133535)</f>
        <v>0.02996222589</v>
      </c>
      <c r="J50" s="187">
        <f>IFERROR(__xludf.DUMMYFUNCTION("irr({J41,split(rept(J16/(J2*12)&amp;"";"",J2*12),"";""),J40})*12"),0.055467227438553444)</f>
        <v>0.05546722744</v>
      </c>
      <c r="K50" s="187">
        <f>IFERROR(__xludf.DUMMYFUNCTION("irr({K41,split(rept(K16/(K2*12)&amp;"";"",K2*12),"";""),K40})*12"),0.07347565045897235)</f>
        <v>0.07347565046</v>
      </c>
      <c r="L50" s="97">
        <f>IFERROR(__xludf.DUMMYFUNCTION("irr({L41,split(rept(L16/(L2*12)&amp;"";"",L2*12),"";""),L40})*12"),0.08673923872289192)</f>
        <v>0.08673923872</v>
      </c>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row>
    <row r="51">
      <c r="A51" s="1"/>
      <c r="B51" s="125" t="s">
        <v>151</v>
      </c>
      <c r="C51" s="192" t="str">
        <f>IFERROR(__xludf.DUMMYFUNCTION("irr({C41,split(rept(C42/(C2*12)&amp;"";"",C2*12),"";""),C40})*12"),"#NUM!")</f>
        <v>#NUM!</v>
      </c>
      <c r="D51" s="193">
        <f>IFERROR(__xludf.DUMMYFUNCTION("irr({D41,split(rept(D42/(D2*12)&amp;"";"",D2*12),"";""),D40})*12"),-0.8398135679435645)</f>
        <v>-0.8398135679</v>
      </c>
      <c r="E51" s="193">
        <f>IFERROR(__xludf.DUMMYFUNCTION("irr({E41,split(rept(E42/(E2*12)&amp;"";"",E2*12),"";""),E40})*12"),-0.33252885017195255)</f>
        <v>-0.3325288502</v>
      </c>
      <c r="F51" s="193">
        <f>IFERROR(__xludf.DUMMYFUNCTION("irr({F41,split(rept(F42/(F2*12)&amp;"";"",F2*12),"";""),F40})*12"),-0.13864865590740033)</f>
        <v>-0.1386486559</v>
      </c>
      <c r="G51" s="193">
        <f>IFERROR(__xludf.DUMMYFUNCTION("irr({G41,split(rept(G42/(G2*12)&amp;"";"",G2*12),"";""),G40})*12"),-0.04268547036306779)</f>
        <v>-0.04268547036</v>
      </c>
      <c r="H51" s="193">
        <f>IFERROR(__xludf.DUMMYFUNCTION("irr({H41,split(rept(H42/(H2*12)&amp;"";"",H2*12),"";""),H40})*12"),0.01185782698849765)</f>
        <v>0.01185782699</v>
      </c>
      <c r="I51" s="193">
        <f>IFERROR(__xludf.DUMMYFUNCTION("irr({I41,split(rept(I42/(I2*12)&amp;"";"",I2*12),"";""),I40})*12"),0.045743124056942766)</f>
        <v>0.04574312406</v>
      </c>
      <c r="J51" s="193">
        <f>IFERROR(__xludf.DUMMYFUNCTION("irr({J41,split(rept(J42/(J2*12)&amp;"";"",J2*12),"";""),J40})*12"),0.06817226754236731)</f>
        <v>0.06817226754</v>
      </c>
      <c r="K51" s="193">
        <f>IFERROR(__xludf.DUMMYFUNCTION("irr({K41,split(rept(K42/(K2*12)&amp;"";"",K2*12),"";""),K40})*12"),0.08375934254532628)</f>
        <v>0.08375934255</v>
      </c>
      <c r="L51" s="194">
        <f>IFERROR(__xludf.DUMMYFUNCTION("irr({L41,split(rept(L42/(L2*12)&amp;"";"",L2*12),"";""),L40})*12"),0.09503224485650993)</f>
        <v>0.09503224486</v>
      </c>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row>
    <row r="52">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row>
    <row r="53">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row>
    <row r="54">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c r="DV54" s="1"/>
      <c r="DW54" s="1"/>
      <c r="DX54" s="1"/>
      <c r="DY54" s="1"/>
      <c r="DZ54" s="1"/>
      <c r="EA54" s="1"/>
      <c r="EB54" s="1"/>
      <c r="EC54" s="1"/>
      <c r="ED54" s="1"/>
      <c r="EE54" s="1"/>
      <c r="EF54" s="1"/>
      <c r="EG54" s="1"/>
      <c r="EH54" s="1"/>
      <c r="EI54" s="1"/>
      <c r="EJ54" s="1"/>
      <c r="EK54" s="1"/>
      <c r="EL54" s="1"/>
    </row>
    <row r="55">
      <c r="A55" s="1"/>
      <c r="B55" s="1"/>
      <c r="C55" s="1"/>
      <c r="D55" s="132"/>
      <c r="E55" s="132"/>
      <c r="F55" s="1"/>
      <c r="G55" s="1"/>
      <c r="H55" s="1"/>
      <c r="I55" s="1"/>
      <c r="J55" s="135"/>
      <c r="K55" s="135"/>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row>
    <row r="56">
      <c r="A56" s="1"/>
      <c r="B56" s="1"/>
      <c r="C56" s="1"/>
      <c r="D56" s="1"/>
      <c r="E56" s="195"/>
      <c r="F56" s="196"/>
      <c r="G56" s="196"/>
      <c r="H56" s="196"/>
      <c r="I56" s="196"/>
      <c r="J56" s="135"/>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row>
    <row r="57">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row>
    <row r="58">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row>
    <row r="59">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row>
    <row r="60">
      <c r="A60" s="1"/>
      <c r="B60" s="1"/>
      <c r="C60" s="1"/>
      <c r="D60" s="1"/>
      <c r="E60" s="1"/>
      <c r="F60" s="1"/>
      <c r="G60" s="1"/>
      <c r="H60" s="1"/>
      <c r="I60" s="1"/>
      <c r="J60" s="1"/>
      <c r="K60" s="1"/>
      <c r="L60" s="1"/>
      <c r="M60" s="135"/>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row>
    <row r="6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row>
    <row r="62">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row>
    <row r="63">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c r="EH63" s="1"/>
      <c r="EI63" s="1"/>
      <c r="EJ63" s="1"/>
      <c r="EK63" s="1"/>
      <c r="EL63" s="1"/>
    </row>
    <row r="64">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row>
    <row r="6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row>
    <row r="66">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row>
    <row r="67">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row>
    <row r="68">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row>
    <row r="69">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row>
    <row r="70">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row>
    <row r="7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row>
    <row r="72">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row>
    <row r="73">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c r="DZ73" s="1"/>
      <c r="EA73" s="1"/>
      <c r="EB73" s="1"/>
      <c r="EC73" s="1"/>
      <c r="ED73" s="1"/>
      <c r="EE73" s="1"/>
      <c r="EF73" s="1"/>
      <c r="EG73" s="1"/>
      <c r="EH73" s="1"/>
      <c r="EI73" s="1"/>
      <c r="EJ73" s="1"/>
      <c r="EK73" s="1"/>
      <c r="EL73" s="1"/>
    </row>
    <row r="74">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row>
    <row r="7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row>
    <row r="76">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row>
    <row r="77">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c r="DZ77" s="1"/>
      <c r="EA77" s="1"/>
      <c r="EB77" s="1"/>
      <c r="EC77" s="1"/>
      <c r="ED77" s="1"/>
      <c r="EE77" s="1"/>
      <c r="EF77" s="1"/>
      <c r="EG77" s="1"/>
      <c r="EH77" s="1"/>
      <c r="EI77" s="1"/>
      <c r="EJ77" s="1"/>
      <c r="EK77" s="1"/>
      <c r="EL77" s="1"/>
    </row>
    <row r="78">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row>
    <row r="79">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row>
    <row r="80">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row>
    <row r="8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row>
    <row r="82">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row>
    <row r="83">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row>
    <row r="84">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row>
    <row r="8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row>
    <row r="86">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row>
    <row r="87">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row>
    <row r="88">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row>
    <row r="89">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row>
    <row r="90">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row>
    <row r="9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row>
    <row r="92">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row>
    <row r="93">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row>
    <row r="94">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row>
    <row r="9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row>
    <row r="96">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row>
    <row r="97">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row>
    <row r="98">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row>
    <row r="99">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c r="EB131" s="1"/>
      <c r="EC131" s="1"/>
      <c r="ED131" s="1"/>
      <c r="EE131" s="1"/>
      <c r="EF131" s="1"/>
      <c r="EG131" s="1"/>
      <c r="EH131" s="1"/>
      <c r="EI131" s="1"/>
      <c r="EJ131" s="1"/>
      <c r="EK131" s="1"/>
      <c r="EL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c r="DZ132" s="1"/>
      <c r="EA132" s="1"/>
      <c r="EB132" s="1"/>
      <c r="EC132" s="1"/>
      <c r="ED132" s="1"/>
      <c r="EE132" s="1"/>
      <c r="EF132" s="1"/>
      <c r="EG132" s="1"/>
      <c r="EH132" s="1"/>
      <c r="EI132" s="1"/>
      <c r="EJ132" s="1"/>
      <c r="EK132" s="1"/>
      <c r="EL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c r="DZ133" s="1"/>
      <c r="EA133" s="1"/>
      <c r="EB133" s="1"/>
      <c r="EC133" s="1"/>
      <c r="ED133" s="1"/>
      <c r="EE133" s="1"/>
      <c r="EF133" s="1"/>
      <c r="EG133" s="1"/>
      <c r="EH133" s="1"/>
      <c r="EI133" s="1"/>
      <c r="EJ133" s="1"/>
      <c r="EK133" s="1"/>
      <c r="EL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
      <c r="CQ134" s="1"/>
      <c r="CR134" s="1"/>
      <c r="CS134" s="1"/>
      <c r="CT134" s="1"/>
      <c r="CU134" s="1"/>
      <c r="CV134" s="1"/>
      <c r="CW134" s="1"/>
      <c r="CX134" s="1"/>
      <c r="CY134" s="1"/>
      <c r="CZ134" s="1"/>
      <c r="DA134" s="1"/>
      <c r="DB134" s="1"/>
      <c r="DC134" s="1"/>
      <c r="DD134" s="1"/>
      <c r="DE134" s="1"/>
      <c r="DF134" s="1"/>
      <c r="DG134" s="1"/>
      <c r="DH134" s="1"/>
      <c r="DI134" s="1"/>
      <c r="DJ134" s="1"/>
      <c r="DK134" s="1"/>
      <c r="DL134" s="1"/>
      <c r="DM134" s="1"/>
      <c r="DN134" s="1"/>
      <c r="DO134" s="1"/>
      <c r="DP134" s="1"/>
      <c r="DQ134" s="1"/>
      <c r="DR134" s="1"/>
      <c r="DS134" s="1"/>
      <c r="DT134" s="1"/>
      <c r="DU134" s="1"/>
      <c r="DV134" s="1"/>
      <c r="DW134" s="1"/>
      <c r="DX134" s="1"/>
      <c r="DY134" s="1"/>
      <c r="DZ134" s="1"/>
      <c r="EA134" s="1"/>
      <c r="EB134" s="1"/>
      <c r="EC134" s="1"/>
      <c r="ED134" s="1"/>
      <c r="EE134" s="1"/>
      <c r="EF134" s="1"/>
      <c r="EG134" s="1"/>
      <c r="EH134" s="1"/>
      <c r="EI134" s="1"/>
      <c r="EJ134" s="1"/>
      <c r="EK134" s="1"/>
      <c r="EL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
      <c r="CP136" s="1"/>
      <c r="CQ136" s="1"/>
      <c r="CR136" s="1"/>
      <c r="CS136" s="1"/>
      <c r="CT136" s="1"/>
      <c r="CU136" s="1"/>
      <c r="CV136" s="1"/>
      <c r="CW136" s="1"/>
      <c r="CX136" s="1"/>
      <c r="CY136" s="1"/>
      <c r="CZ136" s="1"/>
      <c r="DA136" s="1"/>
      <c r="DB136" s="1"/>
      <c r="DC136" s="1"/>
      <c r="DD136" s="1"/>
      <c r="DE136" s="1"/>
      <c r="DF136" s="1"/>
      <c r="DG136" s="1"/>
      <c r="DH136" s="1"/>
      <c r="DI136" s="1"/>
      <c r="DJ136" s="1"/>
      <c r="DK136" s="1"/>
      <c r="DL136" s="1"/>
      <c r="DM136" s="1"/>
      <c r="DN136" s="1"/>
      <c r="DO136" s="1"/>
      <c r="DP136" s="1"/>
      <c r="DQ136" s="1"/>
      <c r="DR136" s="1"/>
      <c r="DS136" s="1"/>
      <c r="DT136" s="1"/>
      <c r="DU136" s="1"/>
      <c r="DV136" s="1"/>
      <c r="DW136" s="1"/>
      <c r="DX136" s="1"/>
      <c r="DY136" s="1"/>
      <c r="DZ136" s="1"/>
      <c r="EA136" s="1"/>
      <c r="EB136" s="1"/>
      <c r="EC136" s="1"/>
      <c r="ED136" s="1"/>
      <c r="EE136" s="1"/>
      <c r="EF136" s="1"/>
      <c r="EG136" s="1"/>
      <c r="EH136" s="1"/>
      <c r="EI136" s="1"/>
      <c r="EJ136" s="1"/>
      <c r="EK136" s="1"/>
      <c r="EL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c r="EB137" s="1"/>
      <c r="EC137" s="1"/>
      <c r="ED137" s="1"/>
      <c r="EE137" s="1"/>
      <c r="EF137" s="1"/>
      <c r="EG137" s="1"/>
      <c r="EH137" s="1"/>
      <c r="EI137" s="1"/>
      <c r="EJ137" s="1"/>
      <c r="EK137" s="1"/>
      <c r="EL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c r="EB138" s="1"/>
      <c r="EC138" s="1"/>
      <c r="ED138" s="1"/>
      <c r="EE138" s="1"/>
      <c r="EF138" s="1"/>
      <c r="EG138" s="1"/>
      <c r="EH138" s="1"/>
      <c r="EI138" s="1"/>
      <c r="EJ138" s="1"/>
      <c r="EK138" s="1"/>
      <c r="EL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c r="DZ139" s="1"/>
      <c r="EA139" s="1"/>
      <c r="EB139" s="1"/>
      <c r="EC139" s="1"/>
      <c r="ED139" s="1"/>
      <c r="EE139" s="1"/>
      <c r="EF139" s="1"/>
      <c r="EG139" s="1"/>
      <c r="EH139" s="1"/>
      <c r="EI139" s="1"/>
      <c r="EJ139" s="1"/>
      <c r="EK139" s="1"/>
      <c r="EL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c r="CE140" s="1"/>
      <c r="CF140" s="1"/>
      <c r="CG140" s="1"/>
      <c r="CH140" s="1"/>
      <c r="CI140" s="1"/>
      <c r="CJ140" s="1"/>
      <c r="CK140" s="1"/>
      <c r="CL140" s="1"/>
      <c r="CM140" s="1"/>
      <c r="CN140" s="1"/>
      <c r="CO140" s="1"/>
      <c r="CP140" s="1"/>
      <c r="CQ140" s="1"/>
      <c r="CR140" s="1"/>
      <c r="CS140" s="1"/>
      <c r="CT140" s="1"/>
      <c r="CU140" s="1"/>
      <c r="CV140" s="1"/>
      <c r="CW140" s="1"/>
      <c r="CX140" s="1"/>
      <c r="CY140" s="1"/>
      <c r="CZ140" s="1"/>
      <c r="DA140" s="1"/>
      <c r="DB140" s="1"/>
      <c r="DC140" s="1"/>
      <c r="DD140" s="1"/>
      <c r="DE140" s="1"/>
      <c r="DF140" s="1"/>
      <c r="DG140" s="1"/>
      <c r="DH140" s="1"/>
      <c r="DI140" s="1"/>
      <c r="DJ140" s="1"/>
      <c r="DK140" s="1"/>
      <c r="DL140" s="1"/>
      <c r="DM140" s="1"/>
      <c r="DN140" s="1"/>
      <c r="DO140" s="1"/>
      <c r="DP140" s="1"/>
      <c r="DQ140" s="1"/>
      <c r="DR140" s="1"/>
      <c r="DS140" s="1"/>
      <c r="DT140" s="1"/>
      <c r="DU140" s="1"/>
      <c r="DV140" s="1"/>
      <c r="DW140" s="1"/>
      <c r="DX140" s="1"/>
      <c r="DY140" s="1"/>
      <c r="DZ140" s="1"/>
      <c r="EA140" s="1"/>
      <c r="EB140" s="1"/>
      <c r="EC140" s="1"/>
      <c r="ED140" s="1"/>
      <c r="EE140" s="1"/>
      <c r="EF140" s="1"/>
      <c r="EG140" s="1"/>
      <c r="EH140" s="1"/>
      <c r="EI140" s="1"/>
      <c r="EJ140" s="1"/>
      <c r="EK140" s="1"/>
      <c r="EL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c r="EB141" s="1"/>
      <c r="EC141" s="1"/>
      <c r="ED141" s="1"/>
      <c r="EE141" s="1"/>
      <c r="EF141" s="1"/>
      <c r="EG141" s="1"/>
      <c r="EH141" s="1"/>
      <c r="EI141" s="1"/>
      <c r="EJ141" s="1"/>
      <c r="EK141" s="1"/>
      <c r="EL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c r="BS142" s="1"/>
      <c r="BT142" s="1"/>
      <c r="BU142" s="1"/>
      <c r="BV142" s="1"/>
      <c r="BW142" s="1"/>
      <c r="BX142" s="1"/>
      <c r="BY142" s="1"/>
      <c r="BZ142" s="1"/>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1"/>
      <c r="DJ142" s="1"/>
      <c r="DK142" s="1"/>
      <c r="DL142" s="1"/>
      <c r="DM142" s="1"/>
      <c r="DN142" s="1"/>
      <c r="DO142" s="1"/>
      <c r="DP142" s="1"/>
      <c r="DQ142" s="1"/>
      <c r="DR142" s="1"/>
      <c r="DS142" s="1"/>
      <c r="DT142" s="1"/>
      <c r="DU142" s="1"/>
      <c r="DV142" s="1"/>
      <c r="DW142" s="1"/>
      <c r="DX142" s="1"/>
      <c r="DY142" s="1"/>
      <c r="DZ142" s="1"/>
      <c r="EA142" s="1"/>
      <c r="EB142" s="1"/>
      <c r="EC142" s="1"/>
      <c r="ED142" s="1"/>
      <c r="EE142" s="1"/>
      <c r="EF142" s="1"/>
      <c r="EG142" s="1"/>
      <c r="EH142" s="1"/>
      <c r="EI142" s="1"/>
      <c r="EJ142" s="1"/>
      <c r="EK142" s="1"/>
      <c r="EL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c r="BS143" s="1"/>
      <c r="BT143" s="1"/>
      <c r="BU143" s="1"/>
      <c r="BV143" s="1"/>
      <c r="BW143" s="1"/>
      <c r="BX143" s="1"/>
      <c r="BY143" s="1"/>
      <c r="BZ143" s="1"/>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1"/>
      <c r="DJ143" s="1"/>
      <c r="DK143" s="1"/>
      <c r="DL143" s="1"/>
      <c r="DM143" s="1"/>
      <c r="DN143" s="1"/>
      <c r="DO143" s="1"/>
      <c r="DP143" s="1"/>
      <c r="DQ143" s="1"/>
      <c r="DR143" s="1"/>
      <c r="DS143" s="1"/>
      <c r="DT143" s="1"/>
      <c r="DU143" s="1"/>
      <c r="DV143" s="1"/>
      <c r="DW143" s="1"/>
      <c r="DX143" s="1"/>
      <c r="DY143" s="1"/>
      <c r="DZ143" s="1"/>
      <c r="EA143" s="1"/>
      <c r="EB143" s="1"/>
      <c r="EC143" s="1"/>
      <c r="ED143" s="1"/>
      <c r="EE143" s="1"/>
      <c r="EF143" s="1"/>
      <c r="EG143" s="1"/>
      <c r="EH143" s="1"/>
      <c r="EI143" s="1"/>
      <c r="EJ143" s="1"/>
      <c r="EK143" s="1"/>
      <c r="EL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c r="BS144" s="1"/>
      <c r="BT144" s="1"/>
      <c r="BU144" s="1"/>
      <c r="BV144" s="1"/>
      <c r="BW144" s="1"/>
      <c r="BX144" s="1"/>
      <c r="BY144" s="1"/>
      <c r="BZ144" s="1"/>
      <c r="CA144" s="1"/>
      <c r="CB144" s="1"/>
      <c r="CC144" s="1"/>
      <c r="CD144" s="1"/>
      <c r="CE144" s="1"/>
      <c r="CF144" s="1"/>
      <c r="CG144" s="1"/>
      <c r="CH144" s="1"/>
      <c r="CI144" s="1"/>
      <c r="CJ144" s="1"/>
      <c r="CK144" s="1"/>
      <c r="CL144" s="1"/>
      <c r="CM144" s="1"/>
      <c r="CN144" s="1"/>
      <c r="CO144" s="1"/>
      <c r="CP144" s="1"/>
      <c r="CQ144" s="1"/>
      <c r="CR144" s="1"/>
      <c r="CS144" s="1"/>
      <c r="CT144" s="1"/>
      <c r="CU144" s="1"/>
      <c r="CV144" s="1"/>
      <c r="CW144" s="1"/>
      <c r="CX144" s="1"/>
      <c r="CY144" s="1"/>
      <c r="CZ144" s="1"/>
      <c r="DA144" s="1"/>
      <c r="DB144" s="1"/>
      <c r="DC144" s="1"/>
      <c r="DD144" s="1"/>
      <c r="DE144" s="1"/>
      <c r="DF144" s="1"/>
      <c r="DG144" s="1"/>
      <c r="DH144" s="1"/>
      <c r="DI144" s="1"/>
      <c r="DJ144" s="1"/>
      <c r="DK144" s="1"/>
      <c r="DL144" s="1"/>
      <c r="DM144" s="1"/>
      <c r="DN144" s="1"/>
      <c r="DO144" s="1"/>
      <c r="DP144" s="1"/>
      <c r="DQ144" s="1"/>
      <c r="DR144" s="1"/>
      <c r="DS144" s="1"/>
      <c r="DT144" s="1"/>
      <c r="DU144" s="1"/>
      <c r="DV144" s="1"/>
      <c r="DW144" s="1"/>
      <c r="DX144" s="1"/>
      <c r="DY144" s="1"/>
      <c r="DZ144" s="1"/>
      <c r="EA144" s="1"/>
      <c r="EB144" s="1"/>
      <c r="EC144" s="1"/>
      <c r="ED144" s="1"/>
      <c r="EE144" s="1"/>
      <c r="EF144" s="1"/>
      <c r="EG144" s="1"/>
      <c r="EH144" s="1"/>
      <c r="EI144" s="1"/>
      <c r="EJ144" s="1"/>
      <c r="EK144" s="1"/>
      <c r="EL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1"/>
      <c r="CE145" s="1"/>
      <c r="CF145" s="1"/>
      <c r="CG145" s="1"/>
      <c r="CH145" s="1"/>
      <c r="CI145" s="1"/>
      <c r="CJ145" s="1"/>
      <c r="CK145" s="1"/>
      <c r="CL145" s="1"/>
      <c r="CM145" s="1"/>
      <c r="CN145" s="1"/>
      <c r="CO145" s="1"/>
      <c r="CP145" s="1"/>
      <c r="CQ145" s="1"/>
      <c r="CR145" s="1"/>
      <c r="CS145" s="1"/>
      <c r="CT145" s="1"/>
      <c r="CU145" s="1"/>
      <c r="CV145" s="1"/>
      <c r="CW145" s="1"/>
      <c r="CX145" s="1"/>
      <c r="CY145" s="1"/>
      <c r="CZ145" s="1"/>
      <c r="DA145" s="1"/>
      <c r="DB145" s="1"/>
      <c r="DC145" s="1"/>
      <c r="DD145" s="1"/>
      <c r="DE145" s="1"/>
      <c r="DF145" s="1"/>
      <c r="DG145" s="1"/>
      <c r="DH145" s="1"/>
      <c r="DI145" s="1"/>
      <c r="DJ145" s="1"/>
      <c r="DK145" s="1"/>
      <c r="DL145" s="1"/>
      <c r="DM145" s="1"/>
      <c r="DN145" s="1"/>
      <c r="DO145" s="1"/>
      <c r="DP145" s="1"/>
      <c r="DQ145" s="1"/>
      <c r="DR145" s="1"/>
      <c r="DS145" s="1"/>
      <c r="DT145" s="1"/>
      <c r="DU145" s="1"/>
      <c r="DV145" s="1"/>
      <c r="DW145" s="1"/>
      <c r="DX145" s="1"/>
      <c r="DY145" s="1"/>
      <c r="DZ145" s="1"/>
      <c r="EA145" s="1"/>
      <c r="EB145" s="1"/>
      <c r="EC145" s="1"/>
      <c r="ED145" s="1"/>
      <c r="EE145" s="1"/>
      <c r="EF145" s="1"/>
      <c r="EG145" s="1"/>
      <c r="EH145" s="1"/>
      <c r="EI145" s="1"/>
      <c r="EJ145" s="1"/>
      <c r="EK145" s="1"/>
      <c r="EL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c r="BS146" s="1"/>
      <c r="BT146" s="1"/>
      <c r="BU146" s="1"/>
      <c r="BV146" s="1"/>
      <c r="BW146" s="1"/>
      <c r="BX146" s="1"/>
      <c r="BY146" s="1"/>
      <c r="BZ146" s="1"/>
      <c r="CA146" s="1"/>
      <c r="CB146" s="1"/>
      <c r="CC146" s="1"/>
      <c r="CD146" s="1"/>
      <c r="CE146" s="1"/>
      <c r="CF146" s="1"/>
      <c r="CG146" s="1"/>
      <c r="CH146" s="1"/>
      <c r="CI146" s="1"/>
      <c r="CJ146" s="1"/>
      <c r="CK146" s="1"/>
      <c r="CL146" s="1"/>
      <c r="CM146" s="1"/>
      <c r="CN146" s="1"/>
      <c r="CO146" s="1"/>
      <c r="CP146" s="1"/>
      <c r="CQ146" s="1"/>
      <c r="CR146" s="1"/>
      <c r="CS146" s="1"/>
      <c r="CT146" s="1"/>
      <c r="CU146" s="1"/>
      <c r="CV146" s="1"/>
      <c r="CW146" s="1"/>
      <c r="CX146" s="1"/>
      <c r="CY146" s="1"/>
      <c r="CZ146" s="1"/>
      <c r="DA146" s="1"/>
      <c r="DB146" s="1"/>
      <c r="DC146" s="1"/>
      <c r="DD146" s="1"/>
      <c r="DE146" s="1"/>
      <c r="DF146" s="1"/>
      <c r="DG146" s="1"/>
      <c r="DH146" s="1"/>
      <c r="DI146" s="1"/>
      <c r="DJ146" s="1"/>
      <c r="DK146" s="1"/>
      <c r="DL146" s="1"/>
      <c r="DM146" s="1"/>
      <c r="DN146" s="1"/>
      <c r="DO146" s="1"/>
      <c r="DP146" s="1"/>
      <c r="DQ146" s="1"/>
      <c r="DR146" s="1"/>
      <c r="DS146" s="1"/>
      <c r="DT146" s="1"/>
      <c r="DU146" s="1"/>
      <c r="DV146" s="1"/>
      <c r="DW146" s="1"/>
      <c r="DX146" s="1"/>
      <c r="DY146" s="1"/>
      <c r="DZ146" s="1"/>
      <c r="EA146" s="1"/>
      <c r="EB146" s="1"/>
      <c r="EC146" s="1"/>
      <c r="ED146" s="1"/>
      <c r="EE146" s="1"/>
      <c r="EF146" s="1"/>
      <c r="EG146" s="1"/>
      <c r="EH146" s="1"/>
      <c r="EI146" s="1"/>
      <c r="EJ146" s="1"/>
      <c r="EK146" s="1"/>
      <c r="EL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c r="BS147" s="1"/>
      <c r="BT147" s="1"/>
      <c r="BU147" s="1"/>
      <c r="BV147" s="1"/>
      <c r="BW147" s="1"/>
      <c r="BX147" s="1"/>
      <c r="BY147" s="1"/>
      <c r="BZ147" s="1"/>
      <c r="CA147" s="1"/>
      <c r="CB147" s="1"/>
      <c r="CC147" s="1"/>
      <c r="CD147" s="1"/>
      <c r="CE147" s="1"/>
      <c r="CF147" s="1"/>
      <c r="CG147" s="1"/>
      <c r="CH147" s="1"/>
      <c r="CI147" s="1"/>
      <c r="CJ147" s="1"/>
      <c r="CK147" s="1"/>
      <c r="CL147" s="1"/>
      <c r="CM147" s="1"/>
      <c r="CN147" s="1"/>
      <c r="CO147" s="1"/>
      <c r="CP147" s="1"/>
      <c r="CQ147" s="1"/>
      <c r="CR147" s="1"/>
      <c r="CS147" s="1"/>
      <c r="CT147" s="1"/>
      <c r="CU147" s="1"/>
      <c r="CV147" s="1"/>
      <c r="CW147" s="1"/>
      <c r="CX147" s="1"/>
      <c r="CY147" s="1"/>
      <c r="CZ147" s="1"/>
      <c r="DA147" s="1"/>
      <c r="DB147" s="1"/>
      <c r="DC147" s="1"/>
      <c r="DD147" s="1"/>
      <c r="DE147" s="1"/>
      <c r="DF147" s="1"/>
      <c r="DG147" s="1"/>
      <c r="DH147" s="1"/>
      <c r="DI147" s="1"/>
      <c r="DJ147" s="1"/>
      <c r="DK147" s="1"/>
      <c r="DL147" s="1"/>
      <c r="DM147" s="1"/>
      <c r="DN147" s="1"/>
      <c r="DO147" s="1"/>
      <c r="DP147" s="1"/>
      <c r="DQ147" s="1"/>
      <c r="DR147" s="1"/>
      <c r="DS147" s="1"/>
      <c r="DT147" s="1"/>
      <c r="DU147" s="1"/>
      <c r="DV147" s="1"/>
      <c r="DW147" s="1"/>
      <c r="DX147" s="1"/>
      <c r="DY147" s="1"/>
      <c r="DZ147" s="1"/>
      <c r="EA147" s="1"/>
      <c r="EB147" s="1"/>
      <c r="EC147" s="1"/>
      <c r="ED147" s="1"/>
      <c r="EE147" s="1"/>
      <c r="EF147" s="1"/>
      <c r="EG147" s="1"/>
      <c r="EH147" s="1"/>
      <c r="EI147" s="1"/>
      <c r="EJ147" s="1"/>
      <c r="EK147" s="1"/>
      <c r="EL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
      <c r="CQ148" s="1"/>
      <c r="CR148" s="1"/>
      <c r="CS148" s="1"/>
      <c r="CT148" s="1"/>
      <c r="CU148" s="1"/>
      <c r="CV148" s="1"/>
      <c r="CW148" s="1"/>
      <c r="CX148" s="1"/>
      <c r="CY148" s="1"/>
      <c r="CZ148" s="1"/>
      <c r="DA148" s="1"/>
      <c r="DB148" s="1"/>
      <c r="DC148" s="1"/>
      <c r="DD148" s="1"/>
      <c r="DE148" s="1"/>
      <c r="DF148" s="1"/>
      <c r="DG148" s="1"/>
      <c r="DH148" s="1"/>
      <c r="DI148" s="1"/>
      <c r="DJ148" s="1"/>
      <c r="DK148" s="1"/>
      <c r="DL148" s="1"/>
      <c r="DM148" s="1"/>
      <c r="DN148" s="1"/>
      <c r="DO148" s="1"/>
      <c r="DP148" s="1"/>
      <c r="DQ148" s="1"/>
      <c r="DR148" s="1"/>
      <c r="DS148" s="1"/>
      <c r="DT148" s="1"/>
      <c r="DU148" s="1"/>
      <c r="DV148" s="1"/>
      <c r="DW148" s="1"/>
      <c r="DX148" s="1"/>
      <c r="DY148" s="1"/>
      <c r="DZ148" s="1"/>
      <c r="EA148" s="1"/>
      <c r="EB148" s="1"/>
      <c r="EC148" s="1"/>
      <c r="ED148" s="1"/>
      <c r="EE148" s="1"/>
      <c r="EF148" s="1"/>
      <c r="EG148" s="1"/>
      <c r="EH148" s="1"/>
      <c r="EI148" s="1"/>
      <c r="EJ148" s="1"/>
      <c r="EK148" s="1"/>
      <c r="EL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c r="CM149" s="1"/>
      <c r="CN149" s="1"/>
      <c r="CO149" s="1"/>
      <c r="CP149" s="1"/>
      <c r="CQ149" s="1"/>
      <c r="CR149" s="1"/>
      <c r="CS149" s="1"/>
      <c r="CT149" s="1"/>
      <c r="CU149" s="1"/>
      <c r="CV149" s="1"/>
      <c r="CW149" s="1"/>
      <c r="CX149" s="1"/>
      <c r="CY149" s="1"/>
      <c r="CZ149" s="1"/>
      <c r="DA149" s="1"/>
      <c r="DB149" s="1"/>
      <c r="DC149" s="1"/>
      <c r="DD149" s="1"/>
      <c r="DE149" s="1"/>
      <c r="DF149" s="1"/>
      <c r="DG149" s="1"/>
      <c r="DH149" s="1"/>
      <c r="DI149" s="1"/>
      <c r="DJ149" s="1"/>
      <c r="DK149" s="1"/>
      <c r="DL149" s="1"/>
      <c r="DM149" s="1"/>
      <c r="DN149" s="1"/>
      <c r="DO149" s="1"/>
      <c r="DP149" s="1"/>
      <c r="DQ149" s="1"/>
      <c r="DR149" s="1"/>
      <c r="DS149" s="1"/>
      <c r="DT149" s="1"/>
      <c r="DU149" s="1"/>
      <c r="DV149" s="1"/>
      <c r="DW149" s="1"/>
      <c r="DX149" s="1"/>
      <c r="DY149" s="1"/>
      <c r="DZ149" s="1"/>
      <c r="EA149" s="1"/>
      <c r="EB149" s="1"/>
      <c r="EC149" s="1"/>
      <c r="ED149" s="1"/>
      <c r="EE149" s="1"/>
      <c r="EF149" s="1"/>
      <c r="EG149" s="1"/>
      <c r="EH149" s="1"/>
      <c r="EI149" s="1"/>
      <c r="EJ149" s="1"/>
      <c r="EK149" s="1"/>
      <c r="EL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c r="CE150" s="1"/>
      <c r="CF150" s="1"/>
      <c r="CG150" s="1"/>
      <c r="CH150" s="1"/>
      <c r="CI150" s="1"/>
      <c r="CJ150" s="1"/>
      <c r="CK150" s="1"/>
      <c r="CL150" s="1"/>
      <c r="CM150" s="1"/>
      <c r="CN150" s="1"/>
      <c r="CO150" s="1"/>
      <c r="CP150" s="1"/>
      <c r="CQ150" s="1"/>
      <c r="CR150" s="1"/>
      <c r="CS150" s="1"/>
      <c r="CT150" s="1"/>
      <c r="CU150" s="1"/>
      <c r="CV150" s="1"/>
      <c r="CW150" s="1"/>
      <c r="CX150" s="1"/>
      <c r="CY150" s="1"/>
      <c r="CZ150" s="1"/>
      <c r="DA150" s="1"/>
      <c r="DB150" s="1"/>
      <c r="DC150" s="1"/>
      <c r="DD150" s="1"/>
      <c r="DE150" s="1"/>
      <c r="DF150" s="1"/>
      <c r="DG150" s="1"/>
      <c r="DH150" s="1"/>
      <c r="DI150" s="1"/>
      <c r="DJ150" s="1"/>
      <c r="DK150" s="1"/>
      <c r="DL150" s="1"/>
      <c r="DM150" s="1"/>
      <c r="DN150" s="1"/>
      <c r="DO150" s="1"/>
      <c r="DP150" s="1"/>
      <c r="DQ150" s="1"/>
      <c r="DR150" s="1"/>
      <c r="DS150" s="1"/>
      <c r="DT150" s="1"/>
      <c r="DU150" s="1"/>
      <c r="DV150" s="1"/>
      <c r="DW150" s="1"/>
      <c r="DX150" s="1"/>
      <c r="DY150" s="1"/>
      <c r="DZ150" s="1"/>
      <c r="EA150" s="1"/>
      <c r="EB150" s="1"/>
      <c r="EC150" s="1"/>
      <c r="ED150" s="1"/>
      <c r="EE150" s="1"/>
      <c r="EF150" s="1"/>
      <c r="EG150" s="1"/>
      <c r="EH150" s="1"/>
      <c r="EI150" s="1"/>
      <c r="EJ150" s="1"/>
      <c r="EK150" s="1"/>
      <c r="EL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c r="BS152" s="1"/>
      <c r="BT152" s="1"/>
      <c r="BU152" s="1"/>
      <c r="BV152" s="1"/>
      <c r="BW152" s="1"/>
      <c r="BX152" s="1"/>
      <c r="BY152" s="1"/>
      <c r="BZ152" s="1"/>
      <c r="CA152" s="1"/>
      <c r="CB152" s="1"/>
      <c r="CC152" s="1"/>
      <c r="CD152" s="1"/>
      <c r="CE152" s="1"/>
      <c r="CF152" s="1"/>
      <c r="CG152" s="1"/>
      <c r="CH152" s="1"/>
      <c r="CI152" s="1"/>
      <c r="CJ152" s="1"/>
      <c r="CK152" s="1"/>
      <c r="CL152" s="1"/>
      <c r="CM152" s="1"/>
      <c r="CN152" s="1"/>
      <c r="CO152" s="1"/>
      <c r="CP152" s="1"/>
      <c r="CQ152" s="1"/>
      <c r="CR152" s="1"/>
      <c r="CS152" s="1"/>
      <c r="CT152" s="1"/>
      <c r="CU152" s="1"/>
      <c r="CV152" s="1"/>
      <c r="CW152" s="1"/>
      <c r="CX152" s="1"/>
      <c r="CY152" s="1"/>
      <c r="CZ152" s="1"/>
      <c r="DA152" s="1"/>
      <c r="DB152" s="1"/>
      <c r="DC152" s="1"/>
      <c r="DD152" s="1"/>
      <c r="DE152" s="1"/>
      <c r="DF152" s="1"/>
      <c r="DG152" s="1"/>
      <c r="DH152" s="1"/>
      <c r="DI152" s="1"/>
      <c r="DJ152" s="1"/>
      <c r="DK152" s="1"/>
      <c r="DL152" s="1"/>
      <c r="DM152" s="1"/>
      <c r="DN152" s="1"/>
      <c r="DO152" s="1"/>
      <c r="DP152" s="1"/>
      <c r="DQ152" s="1"/>
      <c r="DR152" s="1"/>
      <c r="DS152" s="1"/>
      <c r="DT152" s="1"/>
      <c r="DU152" s="1"/>
      <c r="DV152" s="1"/>
      <c r="DW152" s="1"/>
      <c r="DX152" s="1"/>
      <c r="DY152" s="1"/>
      <c r="DZ152" s="1"/>
      <c r="EA152" s="1"/>
      <c r="EB152" s="1"/>
      <c r="EC152" s="1"/>
      <c r="ED152" s="1"/>
      <c r="EE152" s="1"/>
      <c r="EF152" s="1"/>
      <c r="EG152" s="1"/>
      <c r="EH152" s="1"/>
      <c r="EI152" s="1"/>
      <c r="EJ152" s="1"/>
      <c r="EK152" s="1"/>
      <c r="EL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c r="CM153" s="1"/>
      <c r="CN153" s="1"/>
      <c r="CO153" s="1"/>
      <c r="CP153" s="1"/>
      <c r="CQ153" s="1"/>
      <c r="CR153" s="1"/>
      <c r="CS153" s="1"/>
      <c r="CT153" s="1"/>
      <c r="CU153" s="1"/>
      <c r="CV153" s="1"/>
      <c r="CW153" s="1"/>
      <c r="CX153" s="1"/>
      <c r="CY153" s="1"/>
      <c r="CZ153" s="1"/>
      <c r="DA153" s="1"/>
      <c r="DB153" s="1"/>
      <c r="DC153" s="1"/>
      <c r="DD153" s="1"/>
      <c r="DE153" s="1"/>
      <c r="DF153" s="1"/>
      <c r="DG153" s="1"/>
      <c r="DH153" s="1"/>
      <c r="DI153" s="1"/>
      <c r="DJ153" s="1"/>
      <c r="DK153" s="1"/>
      <c r="DL153" s="1"/>
      <c r="DM153" s="1"/>
      <c r="DN153" s="1"/>
      <c r="DO153" s="1"/>
      <c r="DP153" s="1"/>
      <c r="DQ153" s="1"/>
      <c r="DR153" s="1"/>
      <c r="DS153" s="1"/>
      <c r="DT153" s="1"/>
      <c r="DU153" s="1"/>
      <c r="DV153" s="1"/>
      <c r="DW153" s="1"/>
      <c r="DX153" s="1"/>
      <c r="DY153" s="1"/>
      <c r="DZ153" s="1"/>
      <c r="EA153" s="1"/>
      <c r="EB153" s="1"/>
      <c r="EC153" s="1"/>
      <c r="ED153" s="1"/>
      <c r="EE153" s="1"/>
      <c r="EF153" s="1"/>
      <c r="EG153" s="1"/>
      <c r="EH153" s="1"/>
      <c r="EI153" s="1"/>
      <c r="EJ153" s="1"/>
      <c r="EK153" s="1"/>
      <c r="EL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c r="BS154" s="1"/>
      <c r="BT154" s="1"/>
      <c r="BU154" s="1"/>
      <c r="BV154" s="1"/>
      <c r="BW154" s="1"/>
      <c r="BX154" s="1"/>
      <c r="BY154" s="1"/>
      <c r="BZ154" s="1"/>
      <c r="CA154" s="1"/>
      <c r="CB154" s="1"/>
      <c r="CC154" s="1"/>
      <c r="CD154" s="1"/>
      <c r="CE154" s="1"/>
      <c r="CF154" s="1"/>
      <c r="CG154" s="1"/>
      <c r="CH154" s="1"/>
      <c r="CI154" s="1"/>
      <c r="CJ154" s="1"/>
      <c r="CK154" s="1"/>
      <c r="CL154" s="1"/>
      <c r="CM154" s="1"/>
      <c r="CN154" s="1"/>
      <c r="CO154" s="1"/>
      <c r="CP154" s="1"/>
      <c r="CQ154" s="1"/>
      <c r="CR154" s="1"/>
      <c r="CS154" s="1"/>
      <c r="CT154" s="1"/>
      <c r="CU154" s="1"/>
      <c r="CV154" s="1"/>
      <c r="CW154" s="1"/>
      <c r="CX154" s="1"/>
      <c r="CY154" s="1"/>
      <c r="CZ154" s="1"/>
      <c r="DA154" s="1"/>
      <c r="DB154" s="1"/>
      <c r="DC154" s="1"/>
      <c r="DD154" s="1"/>
      <c r="DE154" s="1"/>
      <c r="DF154" s="1"/>
      <c r="DG154" s="1"/>
      <c r="DH154" s="1"/>
      <c r="DI154" s="1"/>
      <c r="DJ154" s="1"/>
      <c r="DK154" s="1"/>
      <c r="DL154" s="1"/>
      <c r="DM154" s="1"/>
      <c r="DN154" s="1"/>
      <c r="DO154" s="1"/>
      <c r="DP154" s="1"/>
      <c r="DQ154" s="1"/>
      <c r="DR154" s="1"/>
      <c r="DS154" s="1"/>
      <c r="DT154" s="1"/>
      <c r="DU154" s="1"/>
      <c r="DV154" s="1"/>
      <c r="DW154" s="1"/>
      <c r="DX154" s="1"/>
      <c r="DY154" s="1"/>
      <c r="DZ154" s="1"/>
      <c r="EA154" s="1"/>
      <c r="EB154" s="1"/>
      <c r="EC154" s="1"/>
      <c r="ED154" s="1"/>
      <c r="EE154" s="1"/>
      <c r="EF154" s="1"/>
      <c r="EG154" s="1"/>
      <c r="EH154" s="1"/>
      <c r="EI154" s="1"/>
      <c r="EJ154" s="1"/>
      <c r="EK154" s="1"/>
      <c r="EL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c r="BS155" s="1"/>
      <c r="BT155" s="1"/>
      <c r="BU155" s="1"/>
      <c r="BV155" s="1"/>
      <c r="BW155" s="1"/>
      <c r="BX155" s="1"/>
      <c r="BY155" s="1"/>
      <c r="BZ155" s="1"/>
      <c r="CA155" s="1"/>
      <c r="CB155" s="1"/>
      <c r="CC155" s="1"/>
      <c r="CD155" s="1"/>
      <c r="CE155" s="1"/>
      <c r="CF155" s="1"/>
      <c r="CG155" s="1"/>
      <c r="CH155" s="1"/>
      <c r="CI155" s="1"/>
      <c r="CJ155" s="1"/>
      <c r="CK155" s="1"/>
      <c r="CL155" s="1"/>
      <c r="CM155" s="1"/>
      <c r="CN155" s="1"/>
      <c r="CO155" s="1"/>
      <c r="CP155" s="1"/>
      <c r="CQ155" s="1"/>
      <c r="CR155" s="1"/>
      <c r="CS155" s="1"/>
      <c r="CT155" s="1"/>
      <c r="CU155" s="1"/>
      <c r="CV155" s="1"/>
      <c r="CW155" s="1"/>
      <c r="CX155" s="1"/>
      <c r="CY155" s="1"/>
      <c r="CZ155" s="1"/>
      <c r="DA155" s="1"/>
      <c r="DB155" s="1"/>
      <c r="DC155" s="1"/>
      <c r="DD155" s="1"/>
      <c r="DE155" s="1"/>
      <c r="DF155" s="1"/>
      <c r="DG155" s="1"/>
      <c r="DH155" s="1"/>
      <c r="DI155" s="1"/>
      <c r="DJ155" s="1"/>
      <c r="DK155" s="1"/>
      <c r="DL155" s="1"/>
      <c r="DM155" s="1"/>
      <c r="DN155" s="1"/>
      <c r="DO155" s="1"/>
      <c r="DP155" s="1"/>
      <c r="DQ155" s="1"/>
      <c r="DR155" s="1"/>
      <c r="DS155" s="1"/>
      <c r="DT155" s="1"/>
      <c r="DU155" s="1"/>
      <c r="DV155" s="1"/>
      <c r="DW155" s="1"/>
      <c r="DX155" s="1"/>
      <c r="DY155" s="1"/>
      <c r="DZ155" s="1"/>
      <c r="EA155" s="1"/>
      <c r="EB155" s="1"/>
      <c r="EC155" s="1"/>
      <c r="ED155" s="1"/>
      <c r="EE155" s="1"/>
      <c r="EF155" s="1"/>
      <c r="EG155" s="1"/>
      <c r="EH155" s="1"/>
      <c r="EI155" s="1"/>
      <c r="EJ155" s="1"/>
      <c r="EK155" s="1"/>
      <c r="EL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c r="BS156" s="1"/>
      <c r="BT156" s="1"/>
      <c r="BU156" s="1"/>
      <c r="BV156" s="1"/>
      <c r="BW156" s="1"/>
      <c r="BX156" s="1"/>
      <c r="BY156" s="1"/>
      <c r="BZ156" s="1"/>
      <c r="CA156" s="1"/>
      <c r="CB156" s="1"/>
      <c r="CC156" s="1"/>
      <c r="CD156" s="1"/>
      <c r="CE156" s="1"/>
      <c r="CF156" s="1"/>
      <c r="CG156" s="1"/>
      <c r="CH156" s="1"/>
      <c r="CI156" s="1"/>
      <c r="CJ156" s="1"/>
      <c r="CK156" s="1"/>
      <c r="CL156" s="1"/>
      <c r="CM156" s="1"/>
      <c r="CN156" s="1"/>
      <c r="CO156" s="1"/>
      <c r="CP156" s="1"/>
      <c r="CQ156" s="1"/>
      <c r="CR156" s="1"/>
      <c r="CS156" s="1"/>
      <c r="CT156" s="1"/>
      <c r="CU156" s="1"/>
      <c r="CV156" s="1"/>
      <c r="CW156" s="1"/>
      <c r="CX156" s="1"/>
      <c r="CY156" s="1"/>
      <c r="CZ156" s="1"/>
      <c r="DA156" s="1"/>
      <c r="DB156" s="1"/>
      <c r="DC156" s="1"/>
      <c r="DD156" s="1"/>
      <c r="DE156" s="1"/>
      <c r="DF156" s="1"/>
      <c r="DG156" s="1"/>
      <c r="DH156" s="1"/>
      <c r="DI156" s="1"/>
      <c r="DJ156" s="1"/>
      <c r="DK156" s="1"/>
      <c r="DL156" s="1"/>
      <c r="DM156" s="1"/>
      <c r="DN156" s="1"/>
      <c r="DO156" s="1"/>
      <c r="DP156" s="1"/>
      <c r="DQ156" s="1"/>
      <c r="DR156" s="1"/>
      <c r="DS156" s="1"/>
      <c r="DT156" s="1"/>
      <c r="DU156" s="1"/>
      <c r="DV156" s="1"/>
      <c r="DW156" s="1"/>
      <c r="DX156" s="1"/>
      <c r="DY156" s="1"/>
      <c r="DZ156" s="1"/>
      <c r="EA156" s="1"/>
      <c r="EB156" s="1"/>
      <c r="EC156" s="1"/>
      <c r="ED156" s="1"/>
      <c r="EE156" s="1"/>
      <c r="EF156" s="1"/>
      <c r="EG156" s="1"/>
      <c r="EH156" s="1"/>
      <c r="EI156" s="1"/>
      <c r="EJ156" s="1"/>
      <c r="EK156" s="1"/>
      <c r="EL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c r="CP158" s="1"/>
      <c r="CQ158" s="1"/>
      <c r="CR158" s="1"/>
      <c r="CS158" s="1"/>
      <c r="CT158" s="1"/>
      <c r="CU158" s="1"/>
      <c r="CV158" s="1"/>
      <c r="CW158" s="1"/>
      <c r="CX158" s="1"/>
      <c r="CY158" s="1"/>
      <c r="CZ158" s="1"/>
      <c r="DA158" s="1"/>
      <c r="DB158" s="1"/>
      <c r="DC158" s="1"/>
      <c r="DD158" s="1"/>
      <c r="DE158" s="1"/>
      <c r="DF158" s="1"/>
      <c r="DG158" s="1"/>
      <c r="DH158" s="1"/>
      <c r="DI158" s="1"/>
      <c r="DJ158" s="1"/>
      <c r="DK158" s="1"/>
      <c r="DL158" s="1"/>
      <c r="DM158" s="1"/>
      <c r="DN158" s="1"/>
      <c r="DO158" s="1"/>
      <c r="DP158" s="1"/>
      <c r="DQ158" s="1"/>
      <c r="DR158" s="1"/>
      <c r="DS158" s="1"/>
      <c r="DT158" s="1"/>
      <c r="DU158" s="1"/>
      <c r="DV158" s="1"/>
      <c r="DW158" s="1"/>
      <c r="DX158" s="1"/>
      <c r="DY158" s="1"/>
      <c r="DZ158" s="1"/>
      <c r="EA158" s="1"/>
      <c r="EB158" s="1"/>
      <c r="EC158" s="1"/>
      <c r="ED158" s="1"/>
      <c r="EE158" s="1"/>
      <c r="EF158" s="1"/>
      <c r="EG158" s="1"/>
      <c r="EH158" s="1"/>
      <c r="EI158" s="1"/>
      <c r="EJ158" s="1"/>
      <c r="EK158" s="1"/>
      <c r="EL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c r="EB161" s="1"/>
      <c r="EC161" s="1"/>
      <c r="ED161" s="1"/>
      <c r="EE161" s="1"/>
      <c r="EF161" s="1"/>
      <c r="EG161" s="1"/>
      <c r="EH161" s="1"/>
      <c r="EI161" s="1"/>
      <c r="EJ161" s="1"/>
      <c r="EK161" s="1"/>
      <c r="EL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c r="DZ162" s="1"/>
      <c r="EA162" s="1"/>
      <c r="EB162" s="1"/>
      <c r="EC162" s="1"/>
      <c r="ED162" s="1"/>
      <c r="EE162" s="1"/>
      <c r="EF162" s="1"/>
      <c r="EG162" s="1"/>
      <c r="EH162" s="1"/>
      <c r="EI162" s="1"/>
      <c r="EJ162" s="1"/>
      <c r="EK162" s="1"/>
      <c r="EL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c r="DZ163" s="1"/>
      <c r="EA163" s="1"/>
      <c r="EB163" s="1"/>
      <c r="EC163" s="1"/>
      <c r="ED163" s="1"/>
      <c r="EE163" s="1"/>
      <c r="EF163" s="1"/>
      <c r="EG163" s="1"/>
      <c r="EH163" s="1"/>
      <c r="EI163" s="1"/>
      <c r="EJ163" s="1"/>
      <c r="EK163" s="1"/>
      <c r="EL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c r="DZ164" s="1"/>
      <c r="EA164" s="1"/>
      <c r="EB164" s="1"/>
      <c r="EC164" s="1"/>
      <c r="ED164" s="1"/>
      <c r="EE164" s="1"/>
      <c r="EF164" s="1"/>
      <c r="EG164" s="1"/>
      <c r="EH164" s="1"/>
      <c r="EI164" s="1"/>
      <c r="EJ164" s="1"/>
      <c r="EK164" s="1"/>
      <c r="EL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1"/>
      <c r="DJ165" s="1"/>
      <c r="DK165" s="1"/>
      <c r="DL165" s="1"/>
      <c r="DM165" s="1"/>
      <c r="DN165" s="1"/>
      <c r="DO165" s="1"/>
      <c r="DP165" s="1"/>
      <c r="DQ165" s="1"/>
      <c r="DR165" s="1"/>
      <c r="DS165" s="1"/>
      <c r="DT165" s="1"/>
      <c r="DU165" s="1"/>
      <c r="DV165" s="1"/>
      <c r="DW165" s="1"/>
      <c r="DX165" s="1"/>
      <c r="DY165" s="1"/>
      <c r="DZ165" s="1"/>
      <c r="EA165" s="1"/>
      <c r="EB165" s="1"/>
      <c r="EC165" s="1"/>
      <c r="ED165" s="1"/>
      <c r="EE165" s="1"/>
      <c r="EF165" s="1"/>
      <c r="EG165" s="1"/>
      <c r="EH165" s="1"/>
      <c r="EI165" s="1"/>
      <c r="EJ165" s="1"/>
      <c r="EK165" s="1"/>
      <c r="EL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c r="CE166" s="1"/>
      <c r="CF166" s="1"/>
      <c r="CG166" s="1"/>
      <c r="CH166" s="1"/>
      <c r="CI166" s="1"/>
      <c r="CJ166" s="1"/>
      <c r="CK166" s="1"/>
      <c r="CL166" s="1"/>
      <c r="CM166" s="1"/>
      <c r="CN166" s="1"/>
      <c r="CO166" s="1"/>
      <c r="CP166" s="1"/>
      <c r="CQ166" s="1"/>
      <c r="CR166" s="1"/>
      <c r="CS166" s="1"/>
      <c r="CT166" s="1"/>
      <c r="CU166" s="1"/>
      <c r="CV166" s="1"/>
      <c r="CW166" s="1"/>
      <c r="CX166" s="1"/>
      <c r="CY166" s="1"/>
      <c r="CZ166" s="1"/>
      <c r="DA166" s="1"/>
      <c r="DB166" s="1"/>
      <c r="DC166" s="1"/>
      <c r="DD166" s="1"/>
      <c r="DE166" s="1"/>
      <c r="DF166" s="1"/>
      <c r="DG166" s="1"/>
      <c r="DH166" s="1"/>
      <c r="DI166" s="1"/>
      <c r="DJ166" s="1"/>
      <c r="DK166" s="1"/>
      <c r="DL166" s="1"/>
      <c r="DM166" s="1"/>
      <c r="DN166" s="1"/>
      <c r="DO166" s="1"/>
      <c r="DP166" s="1"/>
      <c r="DQ166" s="1"/>
      <c r="DR166" s="1"/>
      <c r="DS166" s="1"/>
      <c r="DT166" s="1"/>
      <c r="DU166" s="1"/>
      <c r="DV166" s="1"/>
      <c r="DW166" s="1"/>
      <c r="DX166" s="1"/>
      <c r="DY166" s="1"/>
      <c r="DZ166" s="1"/>
      <c r="EA166" s="1"/>
      <c r="EB166" s="1"/>
      <c r="EC166" s="1"/>
      <c r="ED166" s="1"/>
      <c r="EE166" s="1"/>
      <c r="EF166" s="1"/>
      <c r="EG166" s="1"/>
      <c r="EH166" s="1"/>
      <c r="EI166" s="1"/>
      <c r="EJ166" s="1"/>
      <c r="EK166" s="1"/>
      <c r="EL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c r="DZ167" s="1"/>
      <c r="EA167" s="1"/>
      <c r="EB167" s="1"/>
      <c r="EC167" s="1"/>
      <c r="ED167" s="1"/>
      <c r="EE167" s="1"/>
      <c r="EF167" s="1"/>
      <c r="EG167" s="1"/>
      <c r="EH167" s="1"/>
      <c r="EI167" s="1"/>
      <c r="EJ167" s="1"/>
      <c r="EK167" s="1"/>
      <c r="EL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c r="CM168" s="1"/>
      <c r="CN168" s="1"/>
      <c r="CO168" s="1"/>
      <c r="CP168" s="1"/>
      <c r="CQ168" s="1"/>
      <c r="CR168" s="1"/>
      <c r="CS168" s="1"/>
      <c r="CT168" s="1"/>
      <c r="CU168" s="1"/>
      <c r="CV168" s="1"/>
      <c r="CW168" s="1"/>
      <c r="CX168" s="1"/>
      <c r="CY168" s="1"/>
      <c r="CZ168" s="1"/>
      <c r="DA168" s="1"/>
      <c r="DB168" s="1"/>
      <c r="DC168" s="1"/>
      <c r="DD168" s="1"/>
      <c r="DE168" s="1"/>
      <c r="DF168" s="1"/>
      <c r="DG168" s="1"/>
      <c r="DH168" s="1"/>
      <c r="DI168" s="1"/>
      <c r="DJ168" s="1"/>
      <c r="DK168" s="1"/>
      <c r="DL168" s="1"/>
      <c r="DM168" s="1"/>
      <c r="DN168" s="1"/>
      <c r="DO168" s="1"/>
      <c r="DP168" s="1"/>
      <c r="DQ168" s="1"/>
      <c r="DR168" s="1"/>
      <c r="DS168" s="1"/>
      <c r="DT168" s="1"/>
      <c r="DU168" s="1"/>
      <c r="DV168" s="1"/>
      <c r="DW168" s="1"/>
      <c r="DX168" s="1"/>
      <c r="DY168" s="1"/>
      <c r="DZ168" s="1"/>
      <c r="EA168" s="1"/>
      <c r="EB168" s="1"/>
      <c r="EC168" s="1"/>
      <c r="ED168" s="1"/>
      <c r="EE168" s="1"/>
      <c r="EF168" s="1"/>
      <c r="EG168" s="1"/>
      <c r="EH168" s="1"/>
      <c r="EI168" s="1"/>
      <c r="EJ168" s="1"/>
      <c r="EK168" s="1"/>
      <c r="EL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c r="DZ169" s="1"/>
      <c r="EA169" s="1"/>
      <c r="EB169" s="1"/>
      <c r="EC169" s="1"/>
      <c r="ED169" s="1"/>
      <c r="EE169" s="1"/>
      <c r="EF169" s="1"/>
      <c r="EG169" s="1"/>
      <c r="EH169" s="1"/>
      <c r="EI169" s="1"/>
      <c r="EJ169" s="1"/>
      <c r="EK169" s="1"/>
      <c r="EL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c r="DZ170" s="1"/>
      <c r="EA170" s="1"/>
      <c r="EB170" s="1"/>
      <c r="EC170" s="1"/>
      <c r="ED170" s="1"/>
      <c r="EE170" s="1"/>
      <c r="EF170" s="1"/>
      <c r="EG170" s="1"/>
      <c r="EH170" s="1"/>
      <c r="EI170" s="1"/>
      <c r="EJ170" s="1"/>
      <c r="EK170" s="1"/>
      <c r="EL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c r="DZ171" s="1"/>
      <c r="EA171" s="1"/>
      <c r="EB171" s="1"/>
      <c r="EC171" s="1"/>
      <c r="ED171" s="1"/>
      <c r="EE171" s="1"/>
      <c r="EF171" s="1"/>
      <c r="EG171" s="1"/>
      <c r="EH171" s="1"/>
      <c r="EI171" s="1"/>
      <c r="EJ171" s="1"/>
      <c r="EK171" s="1"/>
      <c r="EL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c r="CE172" s="1"/>
      <c r="CF172" s="1"/>
      <c r="CG172" s="1"/>
      <c r="CH172" s="1"/>
      <c r="CI172" s="1"/>
      <c r="CJ172" s="1"/>
      <c r="CK172" s="1"/>
      <c r="CL172" s="1"/>
      <c r="CM172" s="1"/>
      <c r="CN172" s="1"/>
      <c r="CO172" s="1"/>
      <c r="CP172" s="1"/>
      <c r="CQ172" s="1"/>
      <c r="CR172" s="1"/>
      <c r="CS172" s="1"/>
      <c r="CT172" s="1"/>
      <c r="CU172" s="1"/>
      <c r="CV172" s="1"/>
      <c r="CW172" s="1"/>
      <c r="CX172" s="1"/>
      <c r="CY172" s="1"/>
      <c r="CZ172" s="1"/>
      <c r="DA172" s="1"/>
      <c r="DB172" s="1"/>
      <c r="DC172" s="1"/>
      <c r="DD172" s="1"/>
      <c r="DE172" s="1"/>
      <c r="DF172" s="1"/>
      <c r="DG172" s="1"/>
      <c r="DH172" s="1"/>
      <c r="DI172" s="1"/>
      <c r="DJ172" s="1"/>
      <c r="DK172" s="1"/>
      <c r="DL172" s="1"/>
      <c r="DM172" s="1"/>
      <c r="DN172" s="1"/>
      <c r="DO172" s="1"/>
      <c r="DP172" s="1"/>
      <c r="DQ172" s="1"/>
      <c r="DR172" s="1"/>
      <c r="DS172" s="1"/>
      <c r="DT172" s="1"/>
      <c r="DU172" s="1"/>
      <c r="DV172" s="1"/>
      <c r="DW172" s="1"/>
      <c r="DX172" s="1"/>
      <c r="DY172" s="1"/>
      <c r="DZ172" s="1"/>
      <c r="EA172" s="1"/>
      <c r="EB172" s="1"/>
      <c r="EC172" s="1"/>
      <c r="ED172" s="1"/>
      <c r="EE172" s="1"/>
      <c r="EF172" s="1"/>
      <c r="EG172" s="1"/>
      <c r="EH172" s="1"/>
      <c r="EI172" s="1"/>
      <c r="EJ172" s="1"/>
      <c r="EK172" s="1"/>
      <c r="EL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c r="CE173" s="1"/>
      <c r="CF173" s="1"/>
      <c r="CG173" s="1"/>
      <c r="CH173" s="1"/>
      <c r="CI173" s="1"/>
      <c r="CJ173" s="1"/>
      <c r="CK173" s="1"/>
      <c r="CL173" s="1"/>
      <c r="CM173" s="1"/>
      <c r="CN173" s="1"/>
      <c r="CO173" s="1"/>
      <c r="CP173" s="1"/>
      <c r="CQ173" s="1"/>
      <c r="CR173" s="1"/>
      <c r="CS173" s="1"/>
      <c r="CT173" s="1"/>
      <c r="CU173" s="1"/>
      <c r="CV173" s="1"/>
      <c r="CW173" s="1"/>
      <c r="CX173" s="1"/>
      <c r="CY173" s="1"/>
      <c r="CZ173" s="1"/>
      <c r="DA173" s="1"/>
      <c r="DB173" s="1"/>
      <c r="DC173" s="1"/>
      <c r="DD173" s="1"/>
      <c r="DE173" s="1"/>
      <c r="DF173" s="1"/>
      <c r="DG173" s="1"/>
      <c r="DH173" s="1"/>
      <c r="DI173" s="1"/>
      <c r="DJ173" s="1"/>
      <c r="DK173" s="1"/>
      <c r="DL173" s="1"/>
      <c r="DM173" s="1"/>
      <c r="DN173" s="1"/>
      <c r="DO173" s="1"/>
      <c r="DP173" s="1"/>
      <c r="DQ173" s="1"/>
      <c r="DR173" s="1"/>
      <c r="DS173" s="1"/>
      <c r="DT173" s="1"/>
      <c r="DU173" s="1"/>
      <c r="DV173" s="1"/>
      <c r="DW173" s="1"/>
      <c r="DX173" s="1"/>
      <c r="DY173" s="1"/>
      <c r="DZ173" s="1"/>
      <c r="EA173" s="1"/>
      <c r="EB173" s="1"/>
      <c r="EC173" s="1"/>
      <c r="ED173" s="1"/>
      <c r="EE173" s="1"/>
      <c r="EF173" s="1"/>
      <c r="EG173" s="1"/>
      <c r="EH173" s="1"/>
      <c r="EI173" s="1"/>
      <c r="EJ173" s="1"/>
      <c r="EK173" s="1"/>
      <c r="EL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c r="CE174" s="1"/>
      <c r="CF174" s="1"/>
      <c r="CG174" s="1"/>
      <c r="CH174" s="1"/>
      <c r="CI174" s="1"/>
      <c r="CJ174" s="1"/>
      <c r="CK174" s="1"/>
      <c r="CL174" s="1"/>
      <c r="CM174" s="1"/>
      <c r="CN174" s="1"/>
      <c r="CO174" s="1"/>
      <c r="CP174" s="1"/>
      <c r="CQ174" s="1"/>
      <c r="CR174" s="1"/>
      <c r="CS174" s="1"/>
      <c r="CT174" s="1"/>
      <c r="CU174" s="1"/>
      <c r="CV174" s="1"/>
      <c r="CW174" s="1"/>
      <c r="CX174" s="1"/>
      <c r="CY174" s="1"/>
      <c r="CZ174" s="1"/>
      <c r="DA174" s="1"/>
      <c r="DB174" s="1"/>
      <c r="DC174" s="1"/>
      <c r="DD174" s="1"/>
      <c r="DE174" s="1"/>
      <c r="DF174" s="1"/>
      <c r="DG174" s="1"/>
      <c r="DH174" s="1"/>
      <c r="DI174" s="1"/>
      <c r="DJ174" s="1"/>
      <c r="DK174" s="1"/>
      <c r="DL174" s="1"/>
      <c r="DM174" s="1"/>
      <c r="DN174" s="1"/>
      <c r="DO174" s="1"/>
      <c r="DP174" s="1"/>
      <c r="DQ174" s="1"/>
      <c r="DR174" s="1"/>
      <c r="DS174" s="1"/>
      <c r="DT174" s="1"/>
      <c r="DU174" s="1"/>
      <c r="DV174" s="1"/>
      <c r="DW174" s="1"/>
      <c r="DX174" s="1"/>
      <c r="DY174" s="1"/>
      <c r="DZ174" s="1"/>
      <c r="EA174" s="1"/>
      <c r="EB174" s="1"/>
      <c r="EC174" s="1"/>
      <c r="ED174" s="1"/>
      <c r="EE174" s="1"/>
      <c r="EF174" s="1"/>
      <c r="EG174" s="1"/>
      <c r="EH174" s="1"/>
      <c r="EI174" s="1"/>
      <c r="EJ174" s="1"/>
      <c r="EK174" s="1"/>
      <c r="EL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c r="CE175" s="1"/>
      <c r="CF175" s="1"/>
      <c r="CG175" s="1"/>
      <c r="CH175" s="1"/>
      <c r="CI175" s="1"/>
      <c r="CJ175" s="1"/>
      <c r="CK175" s="1"/>
      <c r="CL175" s="1"/>
      <c r="CM175" s="1"/>
      <c r="CN175" s="1"/>
      <c r="CO175" s="1"/>
      <c r="CP175" s="1"/>
      <c r="CQ175" s="1"/>
      <c r="CR175" s="1"/>
      <c r="CS175" s="1"/>
      <c r="CT175" s="1"/>
      <c r="CU175" s="1"/>
      <c r="CV175" s="1"/>
      <c r="CW175" s="1"/>
      <c r="CX175" s="1"/>
      <c r="CY175" s="1"/>
      <c r="CZ175" s="1"/>
      <c r="DA175" s="1"/>
      <c r="DB175" s="1"/>
      <c r="DC175" s="1"/>
      <c r="DD175" s="1"/>
      <c r="DE175" s="1"/>
      <c r="DF175" s="1"/>
      <c r="DG175" s="1"/>
      <c r="DH175" s="1"/>
      <c r="DI175" s="1"/>
      <c r="DJ175" s="1"/>
      <c r="DK175" s="1"/>
      <c r="DL175" s="1"/>
      <c r="DM175" s="1"/>
      <c r="DN175" s="1"/>
      <c r="DO175" s="1"/>
      <c r="DP175" s="1"/>
      <c r="DQ175" s="1"/>
      <c r="DR175" s="1"/>
      <c r="DS175" s="1"/>
      <c r="DT175" s="1"/>
      <c r="DU175" s="1"/>
      <c r="DV175" s="1"/>
      <c r="DW175" s="1"/>
      <c r="DX175" s="1"/>
      <c r="DY175" s="1"/>
      <c r="DZ175" s="1"/>
      <c r="EA175" s="1"/>
      <c r="EB175" s="1"/>
      <c r="EC175" s="1"/>
      <c r="ED175" s="1"/>
      <c r="EE175" s="1"/>
      <c r="EF175" s="1"/>
      <c r="EG175" s="1"/>
      <c r="EH175" s="1"/>
      <c r="EI175" s="1"/>
      <c r="EJ175" s="1"/>
      <c r="EK175" s="1"/>
      <c r="EL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c r="DZ176" s="1"/>
      <c r="EA176" s="1"/>
      <c r="EB176" s="1"/>
      <c r="EC176" s="1"/>
      <c r="ED176" s="1"/>
      <c r="EE176" s="1"/>
      <c r="EF176" s="1"/>
      <c r="EG176" s="1"/>
      <c r="EH176" s="1"/>
      <c r="EI176" s="1"/>
      <c r="EJ176" s="1"/>
      <c r="EK176" s="1"/>
      <c r="EL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c r="DZ177" s="1"/>
      <c r="EA177" s="1"/>
      <c r="EB177" s="1"/>
      <c r="EC177" s="1"/>
      <c r="ED177" s="1"/>
      <c r="EE177" s="1"/>
      <c r="EF177" s="1"/>
      <c r="EG177" s="1"/>
      <c r="EH177" s="1"/>
      <c r="EI177" s="1"/>
      <c r="EJ177" s="1"/>
      <c r="EK177" s="1"/>
      <c r="EL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c r="DZ178" s="1"/>
      <c r="EA178" s="1"/>
      <c r="EB178" s="1"/>
      <c r="EC178" s="1"/>
      <c r="ED178" s="1"/>
      <c r="EE178" s="1"/>
      <c r="EF178" s="1"/>
      <c r="EG178" s="1"/>
      <c r="EH178" s="1"/>
      <c r="EI178" s="1"/>
      <c r="EJ178" s="1"/>
      <c r="EK178" s="1"/>
      <c r="EL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c r="DZ179" s="1"/>
      <c r="EA179" s="1"/>
      <c r="EB179" s="1"/>
      <c r="EC179" s="1"/>
      <c r="ED179" s="1"/>
      <c r="EE179" s="1"/>
      <c r="EF179" s="1"/>
      <c r="EG179" s="1"/>
      <c r="EH179" s="1"/>
      <c r="EI179" s="1"/>
      <c r="EJ179" s="1"/>
      <c r="EK179" s="1"/>
      <c r="EL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c r="DZ180" s="1"/>
      <c r="EA180" s="1"/>
      <c r="EB180" s="1"/>
      <c r="EC180" s="1"/>
      <c r="ED180" s="1"/>
      <c r="EE180" s="1"/>
      <c r="EF180" s="1"/>
      <c r="EG180" s="1"/>
      <c r="EH180" s="1"/>
      <c r="EI180" s="1"/>
      <c r="EJ180" s="1"/>
      <c r="EK180" s="1"/>
      <c r="EL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c r="DG181" s="1"/>
      <c r="DH181" s="1"/>
      <c r="DI181" s="1"/>
      <c r="DJ181" s="1"/>
      <c r="DK181" s="1"/>
      <c r="DL181" s="1"/>
      <c r="DM181" s="1"/>
      <c r="DN181" s="1"/>
      <c r="DO181" s="1"/>
      <c r="DP181" s="1"/>
      <c r="DQ181" s="1"/>
      <c r="DR181" s="1"/>
      <c r="DS181" s="1"/>
      <c r="DT181" s="1"/>
      <c r="DU181" s="1"/>
      <c r="DV181" s="1"/>
      <c r="DW181" s="1"/>
      <c r="DX181" s="1"/>
      <c r="DY181" s="1"/>
      <c r="DZ181" s="1"/>
      <c r="EA181" s="1"/>
      <c r="EB181" s="1"/>
      <c r="EC181" s="1"/>
      <c r="ED181" s="1"/>
      <c r="EE181" s="1"/>
      <c r="EF181" s="1"/>
      <c r="EG181" s="1"/>
      <c r="EH181" s="1"/>
      <c r="EI181" s="1"/>
      <c r="EJ181" s="1"/>
      <c r="EK181" s="1"/>
      <c r="EL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c r="DG182" s="1"/>
      <c r="DH182" s="1"/>
      <c r="DI182" s="1"/>
      <c r="DJ182" s="1"/>
      <c r="DK182" s="1"/>
      <c r="DL182" s="1"/>
      <c r="DM182" s="1"/>
      <c r="DN182" s="1"/>
      <c r="DO182" s="1"/>
      <c r="DP182" s="1"/>
      <c r="DQ182" s="1"/>
      <c r="DR182" s="1"/>
      <c r="DS182" s="1"/>
      <c r="DT182" s="1"/>
      <c r="DU182" s="1"/>
      <c r="DV182" s="1"/>
      <c r="DW182" s="1"/>
      <c r="DX182" s="1"/>
      <c r="DY182" s="1"/>
      <c r="DZ182" s="1"/>
      <c r="EA182" s="1"/>
      <c r="EB182" s="1"/>
      <c r="EC182" s="1"/>
      <c r="ED182" s="1"/>
      <c r="EE182" s="1"/>
      <c r="EF182" s="1"/>
      <c r="EG182" s="1"/>
      <c r="EH182" s="1"/>
      <c r="EI182" s="1"/>
      <c r="EJ182" s="1"/>
      <c r="EK182" s="1"/>
      <c r="EL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c r="CE183" s="1"/>
      <c r="CF183" s="1"/>
      <c r="CG183" s="1"/>
      <c r="CH183" s="1"/>
      <c r="CI183" s="1"/>
      <c r="CJ183" s="1"/>
      <c r="CK183" s="1"/>
      <c r="CL183" s="1"/>
      <c r="CM183" s="1"/>
      <c r="CN183" s="1"/>
      <c r="CO183" s="1"/>
      <c r="CP183" s="1"/>
      <c r="CQ183" s="1"/>
      <c r="CR183" s="1"/>
      <c r="CS183" s="1"/>
      <c r="CT183" s="1"/>
      <c r="CU183" s="1"/>
      <c r="CV183" s="1"/>
      <c r="CW183" s="1"/>
      <c r="CX183" s="1"/>
      <c r="CY183" s="1"/>
      <c r="CZ183" s="1"/>
      <c r="DA183" s="1"/>
      <c r="DB183" s="1"/>
      <c r="DC183" s="1"/>
      <c r="DD183" s="1"/>
      <c r="DE183" s="1"/>
      <c r="DF183" s="1"/>
      <c r="DG183" s="1"/>
      <c r="DH183" s="1"/>
      <c r="DI183" s="1"/>
      <c r="DJ183" s="1"/>
      <c r="DK183" s="1"/>
      <c r="DL183" s="1"/>
      <c r="DM183" s="1"/>
      <c r="DN183" s="1"/>
      <c r="DO183" s="1"/>
      <c r="DP183" s="1"/>
      <c r="DQ183" s="1"/>
      <c r="DR183" s="1"/>
      <c r="DS183" s="1"/>
      <c r="DT183" s="1"/>
      <c r="DU183" s="1"/>
      <c r="DV183" s="1"/>
      <c r="DW183" s="1"/>
      <c r="DX183" s="1"/>
      <c r="DY183" s="1"/>
      <c r="DZ183" s="1"/>
      <c r="EA183" s="1"/>
      <c r="EB183" s="1"/>
      <c r="EC183" s="1"/>
      <c r="ED183" s="1"/>
      <c r="EE183" s="1"/>
      <c r="EF183" s="1"/>
      <c r="EG183" s="1"/>
      <c r="EH183" s="1"/>
      <c r="EI183" s="1"/>
      <c r="EJ183" s="1"/>
      <c r="EK183" s="1"/>
      <c r="EL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c r="CE184" s="1"/>
      <c r="CF184" s="1"/>
      <c r="CG184" s="1"/>
      <c r="CH184" s="1"/>
      <c r="CI184" s="1"/>
      <c r="CJ184" s="1"/>
      <c r="CK184" s="1"/>
      <c r="CL184" s="1"/>
      <c r="CM184" s="1"/>
      <c r="CN184" s="1"/>
      <c r="CO184" s="1"/>
      <c r="CP184" s="1"/>
      <c r="CQ184" s="1"/>
      <c r="CR184" s="1"/>
      <c r="CS184" s="1"/>
      <c r="CT184" s="1"/>
      <c r="CU184" s="1"/>
      <c r="CV184" s="1"/>
      <c r="CW184" s="1"/>
      <c r="CX184" s="1"/>
      <c r="CY184" s="1"/>
      <c r="CZ184" s="1"/>
      <c r="DA184" s="1"/>
      <c r="DB184" s="1"/>
      <c r="DC184" s="1"/>
      <c r="DD184" s="1"/>
      <c r="DE184" s="1"/>
      <c r="DF184" s="1"/>
      <c r="DG184" s="1"/>
      <c r="DH184" s="1"/>
      <c r="DI184" s="1"/>
      <c r="DJ184" s="1"/>
      <c r="DK184" s="1"/>
      <c r="DL184" s="1"/>
      <c r="DM184" s="1"/>
      <c r="DN184" s="1"/>
      <c r="DO184" s="1"/>
      <c r="DP184" s="1"/>
      <c r="DQ184" s="1"/>
      <c r="DR184" s="1"/>
      <c r="DS184" s="1"/>
      <c r="DT184" s="1"/>
      <c r="DU184" s="1"/>
      <c r="DV184" s="1"/>
      <c r="DW184" s="1"/>
      <c r="DX184" s="1"/>
      <c r="DY184" s="1"/>
      <c r="DZ184" s="1"/>
      <c r="EA184" s="1"/>
      <c r="EB184" s="1"/>
      <c r="EC184" s="1"/>
      <c r="ED184" s="1"/>
      <c r="EE184" s="1"/>
      <c r="EF184" s="1"/>
      <c r="EG184" s="1"/>
      <c r="EH184" s="1"/>
      <c r="EI184" s="1"/>
      <c r="EJ184" s="1"/>
      <c r="EK184" s="1"/>
      <c r="EL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c r="CM185" s="1"/>
      <c r="CN185" s="1"/>
      <c r="CO185" s="1"/>
      <c r="CP185" s="1"/>
      <c r="CQ185" s="1"/>
      <c r="CR185" s="1"/>
      <c r="CS185" s="1"/>
      <c r="CT185" s="1"/>
      <c r="CU185" s="1"/>
      <c r="CV185" s="1"/>
      <c r="CW185" s="1"/>
      <c r="CX185" s="1"/>
      <c r="CY185" s="1"/>
      <c r="CZ185" s="1"/>
      <c r="DA185" s="1"/>
      <c r="DB185" s="1"/>
      <c r="DC185" s="1"/>
      <c r="DD185" s="1"/>
      <c r="DE185" s="1"/>
      <c r="DF185" s="1"/>
      <c r="DG185" s="1"/>
      <c r="DH185" s="1"/>
      <c r="DI185" s="1"/>
      <c r="DJ185" s="1"/>
      <c r="DK185" s="1"/>
      <c r="DL185" s="1"/>
      <c r="DM185" s="1"/>
      <c r="DN185" s="1"/>
      <c r="DO185" s="1"/>
      <c r="DP185" s="1"/>
      <c r="DQ185" s="1"/>
      <c r="DR185" s="1"/>
      <c r="DS185" s="1"/>
      <c r="DT185" s="1"/>
      <c r="DU185" s="1"/>
      <c r="DV185" s="1"/>
      <c r="DW185" s="1"/>
      <c r="DX185" s="1"/>
      <c r="DY185" s="1"/>
      <c r="DZ185" s="1"/>
      <c r="EA185" s="1"/>
      <c r="EB185" s="1"/>
      <c r="EC185" s="1"/>
      <c r="ED185" s="1"/>
      <c r="EE185" s="1"/>
      <c r="EF185" s="1"/>
      <c r="EG185" s="1"/>
      <c r="EH185" s="1"/>
      <c r="EI185" s="1"/>
      <c r="EJ185" s="1"/>
      <c r="EK185" s="1"/>
      <c r="EL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c r="CM186" s="1"/>
      <c r="CN186" s="1"/>
      <c r="CO186" s="1"/>
      <c r="CP186" s="1"/>
      <c r="CQ186" s="1"/>
      <c r="CR186" s="1"/>
      <c r="CS186" s="1"/>
      <c r="CT186" s="1"/>
      <c r="CU186" s="1"/>
      <c r="CV186" s="1"/>
      <c r="CW186" s="1"/>
      <c r="CX186" s="1"/>
      <c r="CY186" s="1"/>
      <c r="CZ186" s="1"/>
      <c r="DA186" s="1"/>
      <c r="DB186" s="1"/>
      <c r="DC186" s="1"/>
      <c r="DD186" s="1"/>
      <c r="DE186" s="1"/>
      <c r="DF186" s="1"/>
      <c r="DG186" s="1"/>
      <c r="DH186" s="1"/>
      <c r="DI186" s="1"/>
      <c r="DJ186" s="1"/>
      <c r="DK186" s="1"/>
      <c r="DL186" s="1"/>
      <c r="DM186" s="1"/>
      <c r="DN186" s="1"/>
      <c r="DO186" s="1"/>
      <c r="DP186" s="1"/>
      <c r="DQ186" s="1"/>
      <c r="DR186" s="1"/>
      <c r="DS186" s="1"/>
      <c r="DT186" s="1"/>
      <c r="DU186" s="1"/>
      <c r="DV186" s="1"/>
      <c r="DW186" s="1"/>
      <c r="DX186" s="1"/>
      <c r="DY186" s="1"/>
      <c r="DZ186" s="1"/>
      <c r="EA186" s="1"/>
      <c r="EB186" s="1"/>
      <c r="EC186" s="1"/>
      <c r="ED186" s="1"/>
      <c r="EE186" s="1"/>
      <c r="EF186" s="1"/>
      <c r="EG186" s="1"/>
      <c r="EH186" s="1"/>
      <c r="EI186" s="1"/>
      <c r="EJ186" s="1"/>
      <c r="EK186" s="1"/>
      <c r="EL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c r="CM187" s="1"/>
      <c r="CN187" s="1"/>
      <c r="CO187" s="1"/>
      <c r="CP187" s="1"/>
      <c r="CQ187" s="1"/>
      <c r="CR187" s="1"/>
      <c r="CS187" s="1"/>
      <c r="CT187" s="1"/>
      <c r="CU187" s="1"/>
      <c r="CV187" s="1"/>
      <c r="CW187" s="1"/>
      <c r="CX187" s="1"/>
      <c r="CY187" s="1"/>
      <c r="CZ187" s="1"/>
      <c r="DA187" s="1"/>
      <c r="DB187" s="1"/>
      <c r="DC187" s="1"/>
      <c r="DD187" s="1"/>
      <c r="DE187" s="1"/>
      <c r="DF187" s="1"/>
      <c r="DG187" s="1"/>
      <c r="DH187" s="1"/>
      <c r="DI187" s="1"/>
      <c r="DJ187" s="1"/>
      <c r="DK187" s="1"/>
      <c r="DL187" s="1"/>
      <c r="DM187" s="1"/>
      <c r="DN187" s="1"/>
      <c r="DO187" s="1"/>
      <c r="DP187" s="1"/>
      <c r="DQ187" s="1"/>
      <c r="DR187" s="1"/>
      <c r="DS187" s="1"/>
      <c r="DT187" s="1"/>
      <c r="DU187" s="1"/>
      <c r="DV187" s="1"/>
      <c r="DW187" s="1"/>
      <c r="DX187" s="1"/>
      <c r="DY187" s="1"/>
      <c r="DZ187" s="1"/>
      <c r="EA187" s="1"/>
      <c r="EB187" s="1"/>
      <c r="EC187" s="1"/>
      <c r="ED187" s="1"/>
      <c r="EE187" s="1"/>
      <c r="EF187" s="1"/>
      <c r="EG187" s="1"/>
      <c r="EH187" s="1"/>
      <c r="EI187" s="1"/>
      <c r="EJ187" s="1"/>
      <c r="EK187" s="1"/>
      <c r="EL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c r="CE188" s="1"/>
      <c r="CF188" s="1"/>
      <c r="CG188" s="1"/>
      <c r="CH188" s="1"/>
      <c r="CI188" s="1"/>
      <c r="CJ188" s="1"/>
      <c r="CK188" s="1"/>
      <c r="CL188" s="1"/>
      <c r="CM188" s="1"/>
      <c r="CN188" s="1"/>
      <c r="CO188" s="1"/>
      <c r="CP188" s="1"/>
      <c r="CQ188" s="1"/>
      <c r="CR188" s="1"/>
      <c r="CS188" s="1"/>
      <c r="CT188" s="1"/>
      <c r="CU188" s="1"/>
      <c r="CV188" s="1"/>
      <c r="CW188" s="1"/>
      <c r="CX188" s="1"/>
      <c r="CY188" s="1"/>
      <c r="CZ188" s="1"/>
      <c r="DA188" s="1"/>
      <c r="DB188" s="1"/>
      <c r="DC188" s="1"/>
      <c r="DD188" s="1"/>
      <c r="DE188" s="1"/>
      <c r="DF188" s="1"/>
      <c r="DG188" s="1"/>
      <c r="DH188" s="1"/>
      <c r="DI188" s="1"/>
      <c r="DJ188" s="1"/>
      <c r="DK188" s="1"/>
      <c r="DL188" s="1"/>
      <c r="DM188" s="1"/>
      <c r="DN188" s="1"/>
      <c r="DO188" s="1"/>
      <c r="DP188" s="1"/>
      <c r="DQ188" s="1"/>
      <c r="DR188" s="1"/>
      <c r="DS188" s="1"/>
      <c r="DT188" s="1"/>
      <c r="DU188" s="1"/>
      <c r="DV188" s="1"/>
      <c r="DW188" s="1"/>
      <c r="DX188" s="1"/>
      <c r="DY188" s="1"/>
      <c r="DZ188" s="1"/>
      <c r="EA188" s="1"/>
      <c r="EB188" s="1"/>
      <c r="EC188" s="1"/>
      <c r="ED188" s="1"/>
      <c r="EE188" s="1"/>
      <c r="EF188" s="1"/>
      <c r="EG188" s="1"/>
      <c r="EH188" s="1"/>
      <c r="EI188" s="1"/>
      <c r="EJ188" s="1"/>
      <c r="EK188" s="1"/>
      <c r="EL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c r="BS189" s="1"/>
      <c r="BT189" s="1"/>
      <c r="BU189" s="1"/>
      <c r="BV189" s="1"/>
      <c r="BW189" s="1"/>
      <c r="BX189" s="1"/>
      <c r="BY189" s="1"/>
      <c r="BZ189" s="1"/>
      <c r="CA189" s="1"/>
      <c r="CB189" s="1"/>
      <c r="CC189" s="1"/>
      <c r="CD189" s="1"/>
      <c r="CE189" s="1"/>
      <c r="CF189" s="1"/>
      <c r="CG189" s="1"/>
      <c r="CH189" s="1"/>
      <c r="CI189" s="1"/>
      <c r="CJ189" s="1"/>
      <c r="CK189" s="1"/>
      <c r="CL189" s="1"/>
      <c r="CM189" s="1"/>
      <c r="CN189" s="1"/>
      <c r="CO189" s="1"/>
      <c r="CP189" s="1"/>
      <c r="CQ189" s="1"/>
      <c r="CR189" s="1"/>
      <c r="CS189" s="1"/>
      <c r="CT189" s="1"/>
      <c r="CU189" s="1"/>
      <c r="CV189" s="1"/>
      <c r="CW189" s="1"/>
      <c r="CX189" s="1"/>
      <c r="CY189" s="1"/>
      <c r="CZ189" s="1"/>
      <c r="DA189" s="1"/>
      <c r="DB189" s="1"/>
      <c r="DC189" s="1"/>
      <c r="DD189" s="1"/>
      <c r="DE189" s="1"/>
      <c r="DF189" s="1"/>
      <c r="DG189" s="1"/>
      <c r="DH189" s="1"/>
      <c r="DI189" s="1"/>
      <c r="DJ189" s="1"/>
      <c r="DK189" s="1"/>
      <c r="DL189" s="1"/>
      <c r="DM189" s="1"/>
      <c r="DN189" s="1"/>
      <c r="DO189" s="1"/>
      <c r="DP189" s="1"/>
      <c r="DQ189" s="1"/>
      <c r="DR189" s="1"/>
      <c r="DS189" s="1"/>
      <c r="DT189" s="1"/>
      <c r="DU189" s="1"/>
      <c r="DV189" s="1"/>
      <c r="DW189" s="1"/>
      <c r="DX189" s="1"/>
      <c r="DY189" s="1"/>
      <c r="DZ189" s="1"/>
      <c r="EA189" s="1"/>
      <c r="EB189" s="1"/>
      <c r="EC189" s="1"/>
      <c r="ED189" s="1"/>
      <c r="EE189" s="1"/>
      <c r="EF189" s="1"/>
      <c r="EG189" s="1"/>
      <c r="EH189" s="1"/>
      <c r="EI189" s="1"/>
      <c r="EJ189" s="1"/>
      <c r="EK189" s="1"/>
      <c r="EL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c r="BS190" s="1"/>
      <c r="BT190" s="1"/>
      <c r="BU190" s="1"/>
      <c r="BV190" s="1"/>
      <c r="BW190" s="1"/>
      <c r="BX190" s="1"/>
      <c r="BY190" s="1"/>
      <c r="BZ190" s="1"/>
      <c r="CA190" s="1"/>
      <c r="CB190" s="1"/>
      <c r="CC190" s="1"/>
      <c r="CD190" s="1"/>
      <c r="CE190" s="1"/>
      <c r="CF190" s="1"/>
      <c r="CG190" s="1"/>
      <c r="CH190" s="1"/>
      <c r="CI190" s="1"/>
      <c r="CJ190" s="1"/>
      <c r="CK190" s="1"/>
      <c r="CL190" s="1"/>
      <c r="CM190" s="1"/>
      <c r="CN190" s="1"/>
      <c r="CO190" s="1"/>
      <c r="CP190" s="1"/>
      <c r="CQ190" s="1"/>
      <c r="CR190" s="1"/>
      <c r="CS190" s="1"/>
      <c r="CT190" s="1"/>
      <c r="CU190" s="1"/>
      <c r="CV190" s="1"/>
      <c r="CW190" s="1"/>
      <c r="CX190" s="1"/>
      <c r="CY190" s="1"/>
      <c r="CZ190" s="1"/>
      <c r="DA190" s="1"/>
      <c r="DB190" s="1"/>
      <c r="DC190" s="1"/>
      <c r="DD190" s="1"/>
      <c r="DE190" s="1"/>
      <c r="DF190" s="1"/>
      <c r="DG190" s="1"/>
      <c r="DH190" s="1"/>
      <c r="DI190" s="1"/>
      <c r="DJ190" s="1"/>
      <c r="DK190" s="1"/>
      <c r="DL190" s="1"/>
      <c r="DM190" s="1"/>
      <c r="DN190" s="1"/>
      <c r="DO190" s="1"/>
      <c r="DP190" s="1"/>
      <c r="DQ190" s="1"/>
      <c r="DR190" s="1"/>
      <c r="DS190" s="1"/>
      <c r="DT190" s="1"/>
      <c r="DU190" s="1"/>
      <c r="DV190" s="1"/>
      <c r="DW190" s="1"/>
      <c r="DX190" s="1"/>
      <c r="DY190" s="1"/>
      <c r="DZ190" s="1"/>
      <c r="EA190" s="1"/>
      <c r="EB190" s="1"/>
      <c r="EC190" s="1"/>
      <c r="ED190" s="1"/>
      <c r="EE190" s="1"/>
      <c r="EF190" s="1"/>
      <c r="EG190" s="1"/>
      <c r="EH190" s="1"/>
      <c r="EI190" s="1"/>
      <c r="EJ190" s="1"/>
      <c r="EK190" s="1"/>
      <c r="EL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c r="CE191" s="1"/>
      <c r="CF191" s="1"/>
      <c r="CG191" s="1"/>
      <c r="CH191" s="1"/>
      <c r="CI191" s="1"/>
      <c r="CJ191" s="1"/>
      <c r="CK191" s="1"/>
      <c r="CL191" s="1"/>
      <c r="CM191" s="1"/>
      <c r="CN191" s="1"/>
      <c r="CO191" s="1"/>
      <c r="CP191" s="1"/>
      <c r="CQ191" s="1"/>
      <c r="CR191" s="1"/>
      <c r="CS191" s="1"/>
      <c r="CT191" s="1"/>
      <c r="CU191" s="1"/>
      <c r="CV191" s="1"/>
      <c r="CW191" s="1"/>
      <c r="CX191" s="1"/>
      <c r="CY191" s="1"/>
      <c r="CZ191" s="1"/>
      <c r="DA191" s="1"/>
      <c r="DB191" s="1"/>
      <c r="DC191" s="1"/>
      <c r="DD191" s="1"/>
      <c r="DE191" s="1"/>
      <c r="DF191" s="1"/>
      <c r="DG191" s="1"/>
      <c r="DH191" s="1"/>
      <c r="DI191" s="1"/>
      <c r="DJ191" s="1"/>
      <c r="DK191" s="1"/>
      <c r="DL191" s="1"/>
      <c r="DM191" s="1"/>
      <c r="DN191" s="1"/>
      <c r="DO191" s="1"/>
      <c r="DP191" s="1"/>
      <c r="DQ191" s="1"/>
      <c r="DR191" s="1"/>
      <c r="DS191" s="1"/>
      <c r="DT191" s="1"/>
      <c r="DU191" s="1"/>
      <c r="DV191" s="1"/>
      <c r="DW191" s="1"/>
      <c r="DX191" s="1"/>
      <c r="DY191" s="1"/>
      <c r="DZ191" s="1"/>
      <c r="EA191" s="1"/>
      <c r="EB191" s="1"/>
      <c r="EC191" s="1"/>
      <c r="ED191" s="1"/>
      <c r="EE191" s="1"/>
      <c r="EF191" s="1"/>
      <c r="EG191" s="1"/>
      <c r="EH191" s="1"/>
      <c r="EI191" s="1"/>
      <c r="EJ191" s="1"/>
      <c r="EK191" s="1"/>
      <c r="EL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c r="BS192" s="1"/>
      <c r="BT192" s="1"/>
      <c r="BU192" s="1"/>
      <c r="BV192" s="1"/>
      <c r="BW192" s="1"/>
      <c r="BX192" s="1"/>
      <c r="BY192" s="1"/>
      <c r="BZ192" s="1"/>
      <c r="CA192" s="1"/>
      <c r="CB192" s="1"/>
      <c r="CC192" s="1"/>
      <c r="CD192" s="1"/>
      <c r="CE192" s="1"/>
      <c r="CF192" s="1"/>
      <c r="CG192" s="1"/>
      <c r="CH192" s="1"/>
      <c r="CI192" s="1"/>
      <c r="CJ192" s="1"/>
      <c r="CK192" s="1"/>
      <c r="CL192" s="1"/>
      <c r="CM192" s="1"/>
      <c r="CN192" s="1"/>
      <c r="CO192" s="1"/>
      <c r="CP192" s="1"/>
      <c r="CQ192" s="1"/>
      <c r="CR192" s="1"/>
      <c r="CS192" s="1"/>
      <c r="CT192" s="1"/>
      <c r="CU192" s="1"/>
      <c r="CV192" s="1"/>
      <c r="CW192" s="1"/>
      <c r="CX192" s="1"/>
      <c r="CY192" s="1"/>
      <c r="CZ192" s="1"/>
      <c r="DA192" s="1"/>
      <c r="DB192" s="1"/>
      <c r="DC192" s="1"/>
      <c r="DD192" s="1"/>
      <c r="DE192" s="1"/>
      <c r="DF192" s="1"/>
      <c r="DG192" s="1"/>
      <c r="DH192" s="1"/>
      <c r="DI192" s="1"/>
      <c r="DJ192" s="1"/>
      <c r="DK192" s="1"/>
      <c r="DL192" s="1"/>
      <c r="DM192" s="1"/>
      <c r="DN192" s="1"/>
      <c r="DO192" s="1"/>
      <c r="DP192" s="1"/>
      <c r="DQ192" s="1"/>
      <c r="DR192" s="1"/>
      <c r="DS192" s="1"/>
      <c r="DT192" s="1"/>
      <c r="DU192" s="1"/>
      <c r="DV192" s="1"/>
      <c r="DW192" s="1"/>
      <c r="DX192" s="1"/>
      <c r="DY192" s="1"/>
      <c r="DZ192" s="1"/>
      <c r="EA192" s="1"/>
      <c r="EB192" s="1"/>
      <c r="EC192" s="1"/>
      <c r="ED192" s="1"/>
      <c r="EE192" s="1"/>
      <c r="EF192" s="1"/>
      <c r="EG192" s="1"/>
      <c r="EH192" s="1"/>
      <c r="EI192" s="1"/>
      <c r="EJ192" s="1"/>
      <c r="EK192" s="1"/>
      <c r="EL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c r="BS193" s="1"/>
      <c r="BT193" s="1"/>
      <c r="BU193" s="1"/>
      <c r="BV193" s="1"/>
      <c r="BW193" s="1"/>
      <c r="BX193" s="1"/>
      <c r="BY193" s="1"/>
      <c r="BZ193" s="1"/>
      <c r="CA193" s="1"/>
      <c r="CB193" s="1"/>
      <c r="CC193" s="1"/>
      <c r="CD193" s="1"/>
      <c r="CE193" s="1"/>
      <c r="CF193" s="1"/>
      <c r="CG193" s="1"/>
      <c r="CH193" s="1"/>
      <c r="CI193" s="1"/>
      <c r="CJ193" s="1"/>
      <c r="CK193" s="1"/>
      <c r="CL193" s="1"/>
      <c r="CM193" s="1"/>
      <c r="CN193" s="1"/>
      <c r="CO193" s="1"/>
      <c r="CP193" s="1"/>
      <c r="CQ193" s="1"/>
      <c r="CR193" s="1"/>
      <c r="CS193" s="1"/>
      <c r="CT193" s="1"/>
      <c r="CU193" s="1"/>
      <c r="CV193" s="1"/>
      <c r="CW193" s="1"/>
      <c r="CX193" s="1"/>
      <c r="CY193" s="1"/>
      <c r="CZ193" s="1"/>
      <c r="DA193" s="1"/>
      <c r="DB193" s="1"/>
      <c r="DC193" s="1"/>
      <c r="DD193" s="1"/>
      <c r="DE193" s="1"/>
      <c r="DF193" s="1"/>
      <c r="DG193" s="1"/>
      <c r="DH193" s="1"/>
      <c r="DI193" s="1"/>
      <c r="DJ193" s="1"/>
      <c r="DK193" s="1"/>
      <c r="DL193" s="1"/>
      <c r="DM193" s="1"/>
      <c r="DN193" s="1"/>
      <c r="DO193" s="1"/>
      <c r="DP193" s="1"/>
      <c r="DQ193" s="1"/>
      <c r="DR193" s="1"/>
      <c r="DS193" s="1"/>
      <c r="DT193" s="1"/>
      <c r="DU193" s="1"/>
      <c r="DV193" s="1"/>
      <c r="DW193" s="1"/>
      <c r="DX193" s="1"/>
      <c r="DY193" s="1"/>
      <c r="DZ193" s="1"/>
      <c r="EA193" s="1"/>
      <c r="EB193" s="1"/>
      <c r="EC193" s="1"/>
      <c r="ED193" s="1"/>
      <c r="EE193" s="1"/>
      <c r="EF193" s="1"/>
      <c r="EG193" s="1"/>
      <c r="EH193" s="1"/>
      <c r="EI193" s="1"/>
      <c r="EJ193" s="1"/>
      <c r="EK193" s="1"/>
      <c r="EL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c r="BS195" s="1"/>
      <c r="BT195" s="1"/>
      <c r="BU195" s="1"/>
      <c r="BV195" s="1"/>
      <c r="BW195" s="1"/>
      <c r="BX195" s="1"/>
      <c r="BY195" s="1"/>
      <c r="BZ195" s="1"/>
      <c r="CA195" s="1"/>
      <c r="CB195" s="1"/>
      <c r="CC195" s="1"/>
      <c r="CD195" s="1"/>
      <c r="CE195" s="1"/>
      <c r="CF195" s="1"/>
      <c r="CG195" s="1"/>
      <c r="CH195" s="1"/>
      <c r="CI195" s="1"/>
      <c r="CJ195" s="1"/>
      <c r="CK195" s="1"/>
      <c r="CL195" s="1"/>
      <c r="CM195" s="1"/>
      <c r="CN195" s="1"/>
      <c r="CO195" s="1"/>
      <c r="CP195" s="1"/>
      <c r="CQ195" s="1"/>
      <c r="CR195" s="1"/>
      <c r="CS195" s="1"/>
      <c r="CT195" s="1"/>
      <c r="CU195" s="1"/>
      <c r="CV195" s="1"/>
      <c r="CW195" s="1"/>
      <c r="CX195" s="1"/>
      <c r="CY195" s="1"/>
      <c r="CZ195" s="1"/>
      <c r="DA195" s="1"/>
      <c r="DB195" s="1"/>
      <c r="DC195" s="1"/>
      <c r="DD195" s="1"/>
      <c r="DE195" s="1"/>
      <c r="DF195" s="1"/>
      <c r="DG195" s="1"/>
      <c r="DH195" s="1"/>
      <c r="DI195" s="1"/>
      <c r="DJ195" s="1"/>
      <c r="DK195" s="1"/>
      <c r="DL195" s="1"/>
      <c r="DM195" s="1"/>
      <c r="DN195" s="1"/>
      <c r="DO195" s="1"/>
      <c r="DP195" s="1"/>
      <c r="DQ195" s="1"/>
      <c r="DR195" s="1"/>
      <c r="DS195" s="1"/>
      <c r="DT195" s="1"/>
      <c r="DU195" s="1"/>
      <c r="DV195" s="1"/>
      <c r="DW195" s="1"/>
      <c r="DX195" s="1"/>
      <c r="DY195" s="1"/>
      <c r="DZ195" s="1"/>
      <c r="EA195" s="1"/>
      <c r="EB195" s="1"/>
      <c r="EC195" s="1"/>
      <c r="ED195" s="1"/>
      <c r="EE195" s="1"/>
      <c r="EF195" s="1"/>
      <c r="EG195" s="1"/>
      <c r="EH195" s="1"/>
      <c r="EI195" s="1"/>
      <c r="EJ195" s="1"/>
      <c r="EK195" s="1"/>
      <c r="EL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c r="BW197" s="1"/>
      <c r="BX197" s="1"/>
      <c r="BY197" s="1"/>
      <c r="BZ197" s="1"/>
      <c r="CA197" s="1"/>
      <c r="CB197" s="1"/>
      <c r="CC197" s="1"/>
      <c r="CD197" s="1"/>
      <c r="CE197" s="1"/>
      <c r="CF197" s="1"/>
      <c r="CG197" s="1"/>
      <c r="CH197" s="1"/>
      <c r="CI197" s="1"/>
      <c r="CJ197" s="1"/>
      <c r="CK197" s="1"/>
      <c r="CL197" s="1"/>
      <c r="CM197" s="1"/>
      <c r="CN197" s="1"/>
      <c r="CO197" s="1"/>
      <c r="CP197" s="1"/>
      <c r="CQ197" s="1"/>
      <c r="CR197" s="1"/>
      <c r="CS197" s="1"/>
      <c r="CT197" s="1"/>
      <c r="CU197" s="1"/>
      <c r="CV197" s="1"/>
      <c r="CW197" s="1"/>
      <c r="CX197" s="1"/>
      <c r="CY197" s="1"/>
      <c r="CZ197" s="1"/>
      <c r="DA197" s="1"/>
      <c r="DB197" s="1"/>
      <c r="DC197" s="1"/>
      <c r="DD197" s="1"/>
      <c r="DE197" s="1"/>
      <c r="DF197" s="1"/>
      <c r="DG197" s="1"/>
      <c r="DH197" s="1"/>
      <c r="DI197" s="1"/>
      <c r="DJ197" s="1"/>
      <c r="DK197" s="1"/>
      <c r="DL197" s="1"/>
      <c r="DM197" s="1"/>
      <c r="DN197" s="1"/>
      <c r="DO197" s="1"/>
      <c r="DP197" s="1"/>
      <c r="DQ197" s="1"/>
      <c r="DR197" s="1"/>
      <c r="DS197" s="1"/>
      <c r="DT197" s="1"/>
      <c r="DU197" s="1"/>
      <c r="DV197" s="1"/>
      <c r="DW197" s="1"/>
      <c r="DX197" s="1"/>
      <c r="DY197" s="1"/>
      <c r="DZ197" s="1"/>
      <c r="EA197" s="1"/>
      <c r="EB197" s="1"/>
      <c r="EC197" s="1"/>
      <c r="ED197" s="1"/>
      <c r="EE197" s="1"/>
      <c r="EF197" s="1"/>
      <c r="EG197" s="1"/>
      <c r="EH197" s="1"/>
      <c r="EI197" s="1"/>
      <c r="EJ197" s="1"/>
      <c r="EK197" s="1"/>
      <c r="EL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c r="BW198" s="1"/>
      <c r="BX198" s="1"/>
      <c r="BY198" s="1"/>
      <c r="BZ198" s="1"/>
      <c r="CA198" s="1"/>
      <c r="CB198" s="1"/>
      <c r="CC198" s="1"/>
      <c r="CD198" s="1"/>
      <c r="CE198" s="1"/>
      <c r="CF198" s="1"/>
      <c r="CG198" s="1"/>
      <c r="CH198" s="1"/>
      <c r="CI198" s="1"/>
      <c r="CJ198" s="1"/>
      <c r="CK198" s="1"/>
      <c r="CL198" s="1"/>
      <c r="CM198" s="1"/>
      <c r="CN198" s="1"/>
      <c r="CO198" s="1"/>
      <c r="CP198" s="1"/>
      <c r="CQ198" s="1"/>
      <c r="CR198" s="1"/>
      <c r="CS198" s="1"/>
      <c r="CT198" s="1"/>
      <c r="CU198" s="1"/>
      <c r="CV198" s="1"/>
      <c r="CW198" s="1"/>
      <c r="CX198" s="1"/>
      <c r="CY198" s="1"/>
      <c r="CZ198" s="1"/>
      <c r="DA198" s="1"/>
      <c r="DB198" s="1"/>
      <c r="DC198" s="1"/>
      <c r="DD198" s="1"/>
      <c r="DE198" s="1"/>
      <c r="DF198" s="1"/>
      <c r="DG198" s="1"/>
      <c r="DH198" s="1"/>
      <c r="DI198" s="1"/>
      <c r="DJ198" s="1"/>
      <c r="DK198" s="1"/>
      <c r="DL198" s="1"/>
      <c r="DM198" s="1"/>
      <c r="DN198" s="1"/>
      <c r="DO198" s="1"/>
      <c r="DP198" s="1"/>
      <c r="DQ198" s="1"/>
      <c r="DR198" s="1"/>
      <c r="DS198" s="1"/>
      <c r="DT198" s="1"/>
      <c r="DU198" s="1"/>
      <c r="DV198" s="1"/>
      <c r="DW198" s="1"/>
      <c r="DX198" s="1"/>
      <c r="DY198" s="1"/>
      <c r="DZ198" s="1"/>
      <c r="EA198" s="1"/>
      <c r="EB198" s="1"/>
      <c r="EC198" s="1"/>
      <c r="ED198" s="1"/>
      <c r="EE198" s="1"/>
      <c r="EF198" s="1"/>
      <c r="EG198" s="1"/>
      <c r="EH198" s="1"/>
      <c r="EI198" s="1"/>
      <c r="EJ198" s="1"/>
      <c r="EK198" s="1"/>
      <c r="EL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c r="BW199" s="1"/>
      <c r="BX199" s="1"/>
      <c r="BY199" s="1"/>
      <c r="BZ199" s="1"/>
      <c r="CA199" s="1"/>
      <c r="CB199" s="1"/>
      <c r="CC199" s="1"/>
      <c r="CD199" s="1"/>
      <c r="CE199" s="1"/>
      <c r="CF199" s="1"/>
      <c r="CG199" s="1"/>
      <c r="CH199" s="1"/>
      <c r="CI199" s="1"/>
      <c r="CJ199" s="1"/>
      <c r="CK199" s="1"/>
      <c r="CL199" s="1"/>
      <c r="CM199" s="1"/>
      <c r="CN199" s="1"/>
      <c r="CO199" s="1"/>
      <c r="CP199" s="1"/>
      <c r="CQ199" s="1"/>
      <c r="CR199" s="1"/>
      <c r="CS199" s="1"/>
      <c r="CT199" s="1"/>
      <c r="CU199" s="1"/>
      <c r="CV199" s="1"/>
      <c r="CW199" s="1"/>
      <c r="CX199" s="1"/>
      <c r="CY199" s="1"/>
      <c r="CZ199" s="1"/>
      <c r="DA199" s="1"/>
      <c r="DB199" s="1"/>
      <c r="DC199" s="1"/>
      <c r="DD199" s="1"/>
      <c r="DE199" s="1"/>
      <c r="DF199" s="1"/>
      <c r="DG199" s="1"/>
      <c r="DH199" s="1"/>
      <c r="DI199" s="1"/>
      <c r="DJ199" s="1"/>
      <c r="DK199" s="1"/>
      <c r="DL199" s="1"/>
      <c r="DM199" s="1"/>
      <c r="DN199" s="1"/>
      <c r="DO199" s="1"/>
      <c r="DP199" s="1"/>
      <c r="DQ199" s="1"/>
      <c r="DR199" s="1"/>
      <c r="DS199" s="1"/>
      <c r="DT199" s="1"/>
      <c r="DU199" s="1"/>
      <c r="DV199" s="1"/>
      <c r="DW199" s="1"/>
      <c r="DX199" s="1"/>
      <c r="DY199" s="1"/>
      <c r="DZ199" s="1"/>
      <c r="EA199" s="1"/>
      <c r="EB199" s="1"/>
      <c r="EC199" s="1"/>
      <c r="ED199" s="1"/>
      <c r="EE199" s="1"/>
      <c r="EF199" s="1"/>
      <c r="EG199" s="1"/>
      <c r="EH199" s="1"/>
      <c r="EI199" s="1"/>
      <c r="EJ199" s="1"/>
      <c r="EK199" s="1"/>
      <c r="EL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c r="BW200" s="1"/>
      <c r="BX200" s="1"/>
      <c r="BY200" s="1"/>
      <c r="BZ200" s="1"/>
      <c r="CA200" s="1"/>
      <c r="CB200" s="1"/>
      <c r="CC200" s="1"/>
      <c r="CD200" s="1"/>
      <c r="CE200" s="1"/>
      <c r="CF200" s="1"/>
      <c r="CG200" s="1"/>
      <c r="CH200" s="1"/>
      <c r="CI200" s="1"/>
      <c r="CJ200" s="1"/>
      <c r="CK200" s="1"/>
      <c r="CL200" s="1"/>
      <c r="CM200" s="1"/>
      <c r="CN200" s="1"/>
      <c r="CO200" s="1"/>
      <c r="CP200" s="1"/>
      <c r="CQ200" s="1"/>
      <c r="CR200" s="1"/>
      <c r="CS200" s="1"/>
      <c r="CT200" s="1"/>
      <c r="CU200" s="1"/>
      <c r="CV200" s="1"/>
      <c r="CW200" s="1"/>
      <c r="CX200" s="1"/>
      <c r="CY200" s="1"/>
      <c r="CZ200" s="1"/>
      <c r="DA200" s="1"/>
      <c r="DB200" s="1"/>
      <c r="DC200" s="1"/>
      <c r="DD200" s="1"/>
      <c r="DE200" s="1"/>
      <c r="DF200" s="1"/>
      <c r="DG200" s="1"/>
      <c r="DH200" s="1"/>
      <c r="DI200" s="1"/>
      <c r="DJ200" s="1"/>
      <c r="DK200" s="1"/>
      <c r="DL200" s="1"/>
      <c r="DM200" s="1"/>
      <c r="DN200" s="1"/>
      <c r="DO200" s="1"/>
      <c r="DP200" s="1"/>
      <c r="DQ200" s="1"/>
      <c r="DR200" s="1"/>
      <c r="DS200" s="1"/>
      <c r="DT200" s="1"/>
      <c r="DU200" s="1"/>
      <c r="DV200" s="1"/>
      <c r="DW200" s="1"/>
      <c r="DX200" s="1"/>
      <c r="DY200" s="1"/>
      <c r="DZ200" s="1"/>
      <c r="EA200" s="1"/>
      <c r="EB200" s="1"/>
      <c r="EC200" s="1"/>
      <c r="ED200" s="1"/>
      <c r="EE200" s="1"/>
      <c r="EF200" s="1"/>
      <c r="EG200" s="1"/>
      <c r="EH200" s="1"/>
      <c r="EI200" s="1"/>
      <c r="EJ200" s="1"/>
      <c r="EK200" s="1"/>
      <c r="EL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c r="CU201" s="1"/>
      <c r="CV201" s="1"/>
      <c r="CW201" s="1"/>
      <c r="CX201" s="1"/>
      <c r="CY201" s="1"/>
      <c r="CZ201" s="1"/>
      <c r="DA201" s="1"/>
      <c r="DB201" s="1"/>
      <c r="DC201" s="1"/>
      <c r="DD201" s="1"/>
      <c r="DE201" s="1"/>
      <c r="DF201" s="1"/>
      <c r="DG201" s="1"/>
      <c r="DH201" s="1"/>
      <c r="DI201" s="1"/>
      <c r="DJ201" s="1"/>
      <c r="DK201" s="1"/>
      <c r="DL201" s="1"/>
      <c r="DM201" s="1"/>
      <c r="DN201" s="1"/>
      <c r="DO201" s="1"/>
      <c r="DP201" s="1"/>
      <c r="DQ201" s="1"/>
      <c r="DR201" s="1"/>
      <c r="DS201" s="1"/>
      <c r="DT201" s="1"/>
      <c r="DU201" s="1"/>
      <c r="DV201" s="1"/>
      <c r="DW201" s="1"/>
      <c r="DX201" s="1"/>
      <c r="DY201" s="1"/>
      <c r="DZ201" s="1"/>
      <c r="EA201" s="1"/>
      <c r="EB201" s="1"/>
      <c r="EC201" s="1"/>
      <c r="ED201" s="1"/>
      <c r="EE201" s="1"/>
      <c r="EF201" s="1"/>
      <c r="EG201" s="1"/>
      <c r="EH201" s="1"/>
      <c r="EI201" s="1"/>
      <c r="EJ201" s="1"/>
      <c r="EK201" s="1"/>
      <c r="EL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1"/>
      <c r="BW202" s="1"/>
      <c r="BX202" s="1"/>
      <c r="BY202" s="1"/>
      <c r="BZ202" s="1"/>
      <c r="CA202" s="1"/>
      <c r="CB202" s="1"/>
      <c r="CC202" s="1"/>
      <c r="CD202" s="1"/>
      <c r="CE202" s="1"/>
      <c r="CF202" s="1"/>
      <c r="CG202" s="1"/>
      <c r="CH202" s="1"/>
      <c r="CI202" s="1"/>
      <c r="CJ202" s="1"/>
      <c r="CK202" s="1"/>
      <c r="CL202" s="1"/>
      <c r="CM202" s="1"/>
      <c r="CN202" s="1"/>
      <c r="CO202" s="1"/>
      <c r="CP202" s="1"/>
      <c r="CQ202" s="1"/>
      <c r="CR202" s="1"/>
      <c r="CS202" s="1"/>
      <c r="CT202" s="1"/>
      <c r="CU202" s="1"/>
      <c r="CV202" s="1"/>
      <c r="CW202" s="1"/>
      <c r="CX202" s="1"/>
      <c r="CY202" s="1"/>
      <c r="CZ202" s="1"/>
      <c r="DA202" s="1"/>
      <c r="DB202" s="1"/>
      <c r="DC202" s="1"/>
      <c r="DD202" s="1"/>
      <c r="DE202" s="1"/>
      <c r="DF202" s="1"/>
      <c r="DG202" s="1"/>
      <c r="DH202" s="1"/>
      <c r="DI202" s="1"/>
      <c r="DJ202" s="1"/>
      <c r="DK202" s="1"/>
      <c r="DL202" s="1"/>
      <c r="DM202" s="1"/>
      <c r="DN202" s="1"/>
      <c r="DO202" s="1"/>
      <c r="DP202" s="1"/>
      <c r="DQ202" s="1"/>
      <c r="DR202" s="1"/>
      <c r="DS202" s="1"/>
      <c r="DT202" s="1"/>
      <c r="DU202" s="1"/>
      <c r="DV202" s="1"/>
      <c r="DW202" s="1"/>
      <c r="DX202" s="1"/>
      <c r="DY202" s="1"/>
      <c r="DZ202" s="1"/>
      <c r="EA202" s="1"/>
      <c r="EB202" s="1"/>
      <c r="EC202" s="1"/>
      <c r="ED202" s="1"/>
      <c r="EE202" s="1"/>
      <c r="EF202" s="1"/>
      <c r="EG202" s="1"/>
      <c r="EH202" s="1"/>
      <c r="EI202" s="1"/>
      <c r="EJ202" s="1"/>
      <c r="EK202" s="1"/>
      <c r="EL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1"/>
      <c r="BW203" s="1"/>
      <c r="BX203" s="1"/>
      <c r="BY203" s="1"/>
      <c r="BZ203" s="1"/>
      <c r="CA203" s="1"/>
      <c r="CB203" s="1"/>
      <c r="CC203" s="1"/>
      <c r="CD203" s="1"/>
      <c r="CE203" s="1"/>
      <c r="CF203" s="1"/>
      <c r="CG203" s="1"/>
      <c r="CH203" s="1"/>
      <c r="CI203" s="1"/>
      <c r="CJ203" s="1"/>
      <c r="CK203" s="1"/>
      <c r="CL203" s="1"/>
      <c r="CM203" s="1"/>
      <c r="CN203" s="1"/>
      <c r="CO203" s="1"/>
      <c r="CP203" s="1"/>
      <c r="CQ203" s="1"/>
      <c r="CR203" s="1"/>
      <c r="CS203" s="1"/>
      <c r="CT203" s="1"/>
      <c r="CU203" s="1"/>
      <c r="CV203" s="1"/>
      <c r="CW203" s="1"/>
      <c r="CX203" s="1"/>
      <c r="CY203" s="1"/>
      <c r="CZ203" s="1"/>
      <c r="DA203" s="1"/>
      <c r="DB203" s="1"/>
      <c r="DC203" s="1"/>
      <c r="DD203" s="1"/>
      <c r="DE203" s="1"/>
      <c r="DF203" s="1"/>
      <c r="DG203" s="1"/>
      <c r="DH203" s="1"/>
      <c r="DI203" s="1"/>
      <c r="DJ203" s="1"/>
      <c r="DK203" s="1"/>
      <c r="DL203" s="1"/>
      <c r="DM203" s="1"/>
      <c r="DN203" s="1"/>
      <c r="DO203" s="1"/>
      <c r="DP203" s="1"/>
      <c r="DQ203" s="1"/>
      <c r="DR203" s="1"/>
      <c r="DS203" s="1"/>
      <c r="DT203" s="1"/>
      <c r="DU203" s="1"/>
      <c r="DV203" s="1"/>
      <c r="DW203" s="1"/>
      <c r="DX203" s="1"/>
      <c r="DY203" s="1"/>
      <c r="DZ203" s="1"/>
      <c r="EA203" s="1"/>
      <c r="EB203" s="1"/>
      <c r="EC203" s="1"/>
      <c r="ED203" s="1"/>
      <c r="EE203" s="1"/>
      <c r="EF203" s="1"/>
      <c r="EG203" s="1"/>
      <c r="EH203" s="1"/>
      <c r="EI203" s="1"/>
      <c r="EJ203" s="1"/>
      <c r="EK203" s="1"/>
      <c r="EL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1"/>
      <c r="BW204" s="1"/>
      <c r="BX204" s="1"/>
      <c r="BY204" s="1"/>
      <c r="BZ204" s="1"/>
      <c r="CA204" s="1"/>
      <c r="CB204" s="1"/>
      <c r="CC204" s="1"/>
      <c r="CD204" s="1"/>
      <c r="CE204" s="1"/>
      <c r="CF204" s="1"/>
      <c r="CG204" s="1"/>
      <c r="CH204" s="1"/>
      <c r="CI204" s="1"/>
      <c r="CJ204" s="1"/>
      <c r="CK204" s="1"/>
      <c r="CL204" s="1"/>
      <c r="CM204" s="1"/>
      <c r="CN204" s="1"/>
      <c r="CO204" s="1"/>
      <c r="CP204" s="1"/>
      <c r="CQ204" s="1"/>
      <c r="CR204" s="1"/>
      <c r="CS204" s="1"/>
      <c r="CT204" s="1"/>
      <c r="CU204" s="1"/>
      <c r="CV204" s="1"/>
      <c r="CW204" s="1"/>
      <c r="CX204" s="1"/>
      <c r="CY204" s="1"/>
      <c r="CZ204" s="1"/>
      <c r="DA204" s="1"/>
      <c r="DB204" s="1"/>
      <c r="DC204" s="1"/>
      <c r="DD204" s="1"/>
      <c r="DE204" s="1"/>
      <c r="DF204" s="1"/>
      <c r="DG204" s="1"/>
      <c r="DH204" s="1"/>
      <c r="DI204" s="1"/>
      <c r="DJ204" s="1"/>
      <c r="DK204" s="1"/>
      <c r="DL204" s="1"/>
      <c r="DM204" s="1"/>
      <c r="DN204" s="1"/>
      <c r="DO204" s="1"/>
      <c r="DP204" s="1"/>
      <c r="DQ204" s="1"/>
      <c r="DR204" s="1"/>
      <c r="DS204" s="1"/>
      <c r="DT204" s="1"/>
      <c r="DU204" s="1"/>
      <c r="DV204" s="1"/>
      <c r="DW204" s="1"/>
      <c r="DX204" s="1"/>
      <c r="DY204" s="1"/>
      <c r="DZ204" s="1"/>
      <c r="EA204" s="1"/>
      <c r="EB204" s="1"/>
      <c r="EC204" s="1"/>
      <c r="ED204" s="1"/>
      <c r="EE204" s="1"/>
      <c r="EF204" s="1"/>
      <c r="EG204" s="1"/>
      <c r="EH204" s="1"/>
      <c r="EI204" s="1"/>
      <c r="EJ204" s="1"/>
      <c r="EK204" s="1"/>
      <c r="EL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1"/>
      <c r="BW205" s="1"/>
      <c r="BX205" s="1"/>
      <c r="BY205" s="1"/>
      <c r="BZ205" s="1"/>
      <c r="CA205" s="1"/>
      <c r="CB205" s="1"/>
      <c r="CC205" s="1"/>
      <c r="CD205" s="1"/>
      <c r="CE205" s="1"/>
      <c r="CF205" s="1"/>
      <c r="CG205" s="1"/>
      <c r="CH205" s="1"/>
      <c r="CI205" s="1"/>
      <c r="CJ205" s="1"/>
      <c r="CK205" s="1"/>
      <c r="CL205" s="1"/>
      <c r="CM205" s="1"/>
      <c r="CN205" s="1"/>
      <c r="CO205" s="1"/>
      <c r="CP205" s="1"/>
      <c r="CQ205" s="1"/>
      <c r="CR205" s="1"/>
      <c r="CS205" s="1"/>
      <c r="CT205" s="1"/>
      <c r="CU205" s="1"/>
      <c r="CV205" s="1"/>
      <c r="CW205" s="1"/>
      <c r="CX205" s="1"/>
      <c r="CY205" s="1"/>
      <c r="CZ205" s="1"/>
      <c r="DA205" s="1"/>
      <c r="DB205" s="1"/>
      <c r="DC205" s="1"/>
      <c r="DD205" s="1"/>
      <c r="DE205" s="1"/>
      <c r="DF205" s="1"/>
      <c r="DG205" s="1"/>
      <c r="DH205" s="1"/>
      <c r="DI205" s="1"/>
      <c r="DJ205" s="1"/>
      <c r="DK205" s="1"/>
      <c r="DL205" s="1"/>
      <c r="DM205" s="1"/>
      <c r="DN205" s="1"/>
      <c r="DO205" s="1"/>
      <c r="DP205" s="1"/>
      <c r="DQ205" s="1"/>
      <c r="DR205" s="1"/>
      <c r="DS205" s="1"/>
      <c r="DT205" s="1"/>
      <c r="DU205" s="1"/>
      <c r="DV205" s="1"/>
      <c r="DW205" s="1"/>
      <c r="DX205" s="1"/>
      <c r="DY205" s="1"/>
      <c r="DZ205" s="1"/>
      <c r="EA205" s="1"/>
      <c r="EB205" s="1"/>
      <c r="EC205" s="1"/>
      <c r="ED205" s="1"/>
      <c r="EE205" s="1"/>
      <c r="EF205" s="1"/>
      <c r="EG205" s="1"/>
      <c r="EH205" s="1"/>
      <c r="EI205" s="1"/>
      <c r="EJ205" s="1"/>
      <c r="EK205" s="1"/>
      <c r="EL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c r="BS206" s="1"/>
      <c r="BT206" s="1"/>
      <c r="BU206" s="1"/>
      <c r="BV206" s="1"/>
      <c r="BW206" s="1"/>
      <c r="BX206" s="1"/>
      <c r="BY206" s="1"/>
      <c r="BZ206" s="1"/>
      <c r="CA206" s="1"/>
      <c r="CB206" s="1"/>
      <c r="CC206" s="1"/>
      <c r="CD206" s="1"/>
      <c r="CE206" s="1"/>
      <c r="CF206" s="1"/>
      <c r="CG206" s="1"/>
      <c r="CH206" s="1"/>
      <c r="CI206" s="1"/>
      <c r="CJ206" s="1"/>
      <c r="CK206" s="1"/>
      <c r="CL206" s="1"/>
      <c r="CM206" s="1"/>
      <c r="CN206" s="1"/>
      <c r="CO206" s="1"/>
      <c r="CP206" s="1"/>
      <c r="CQ206" s="1"/>
      <c r="CR206" s="1"/>
      <c r="CS206" s="1"/>
      <c r="CT206" s="1"/>
      <c r="CU206" s="1"/>
      <c r="CV206" s="1"/>
      <c r="CW206" s="1"/>
      <c r="CX206" s="1"/>
      <c r="CY206" s="1"/>
      <c r="CZ206" s="1"/>
      <c r="DA206" s="1"/>
      <c r="DB206" s="1"/>
      <c r="DC206" s="1"/>
      <c r="DD206" s="1"/>
      <c r="DE206" s="1"/>
      <c r="DF206" s="1"/>
      <c r="DG206" s="1"/>
      <c r="DH206" s="1"/>
      <c r="DI206" s="1"/>
      <c r="DJ206" s="1"/>
      <c r="DK206" s="1"/>
      <c r="DL206" s="1"/>
      <c r="DM206" s="1"/>
      <c r="DN206" s="1"/>
      <c r="DO206" s="1"/>
      <c r="DP206" s="1"/>
      <c r="DQ206" s="1"/>
      <c r="DR206" s="1"/>
      <c r="DS206" s="1"/>
      <c r="DT206" s="1"/>
      <c r="DU206" s="1"/>
      <c r="DV206" s="1"/>
      <c r="DW206" s="1"/>
      <c r="DX206" s="1"/>
      <c r="DY206" s="1"/>
      <c r="DZ206" s="1"/>
      <c r="EA206" s="1"/>
      <c r="EB206" s="1"/>
      <c r="EC206" s="1"/>
      <c r="ED206" s="1"/>
      <c r="EE206" s="1"/>
      <c r="EF206" s="1"/>
      <c r="EG206" s="1"/>
      <c r="EH206" s="1"/>
      <c r="EI206" s="1"/>
      <c r="EJ206" s="1"/>
      <c r="EK206" s="1"/>
      <c r="EL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c r="BS207" s="1"/>
      <c r="BT207" s="1"/>
      <c r="BU207" s="1"/>
      <c r="BV207" s="1"/>
      <c r="BW207" s="1"/>
      <c r="BX207" s="1"/>
      <c r="BY207" s="1"/>
      <c r="BZ207" s="1"/>
      <c r="CA207" s="1"/>
      <c r="CB207" s="1"/>
      <c r="CC207" s="1"/>
      <c r="CD207" s="1"/>
      <c r="CE207" s="1"/>
      <c r="CF207" s="1"/>
      <c r="CG207" s="1"/>
      <c r="CH207" s="1"/>
      <c r="CI207" s="1"/>
      <c r="CJ207" s="1"/>
      <c r="CK207" s="1"/>
      <c r="CL207" s="1"/>
      <c r="CM207" s="1"/>
      <c r="CN207" s="1"/>
      <c r="CO207" s="1"/>
      <c r="CP207" s="1"/>
      <c r="CQ207" s="1"/>
      <c r="CR207" s="1"/>
      <c r="CS207" s="1"/>
      <c r="CT207" s="1"/>
      <c r="CU207" s="1"/>
      <c r="CV207" s="1"/>
      <c r="CW207" s="1"/>
      <c r="CX207" s="1"/>
      <c r="CY207" s="1"/>
      <c r="CZ207" s="1"/>
      <c r="DA207" s="1"/>
      <c r="DB207" s="1"/>
      <c r="DC207" s="1"/>
      <c r="DD207" s="1"/>
      <c r="DE207" s="1"/>
      <c r="DF207" s="1"/>
      <c r="DG207" s="1"/>
      <c r="DH207" s="1"/>
      <c r="DI207" s="1"/>
      <c r="DJ207" s="1"/>
      <c r="DK207" s="1"/>
      <c r="DL207" s="1"/>
      <c r="DM207" s="1"/>
      <c r="DN207" s="1"/>
      <c r="DO207" s="1"/>
      <c r="DP207" s="1"/>
      <c r="DQ207" s="1"/>
      <c r="DR207" s="1"/>
      <c r="DS207" s="1"/>
      <c r="DT207" s="1"/>
      <c r="DU207" s="1"/>
      <c r="DV207" s="1"/>
      <c r="DW207" s="1"/>
      <c r="DX207" s="1"/>
      <c r="DY207" s="1"/>
      <c r="DZ207" s="1"/>
      <c r="EA207" s="1"/>
      <c r="EB207" s="1"/>
      <c r="EC207" s="1"/>
      <c r="ED207" s="1"/>
      <c r="EE207" s="1"/>
      <c r="EF207" s="1"/>
      <c r="EG207" s="1"/>
      <c r="EH207" s="1"/>
      <c r="EI207" s="1"/>
      <c r="EJ207" s="1"/>
      <c r="EK207" s="1"/>
      <c r="EL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c r="CE208" s="1"/>
      <c r="CF208" s="1"/>
      <c r="CG208" s="1"/>
      <c r="CH208" s="1"/>
      <c r="CI208" s="1"/>
      <c r="CJ208" s="1"/>
      <c r="CK208" s="1"/>
      <c r="CL208" s="1"/>
      <c r="CM208" s="1"/>
      <c r="CN208" s="1"/>
      <c r="CO208" s="1"/>
      <c r="CP208" s="1"/>
      <c r="CQ208" s="1"/>
      <c r="CR208" s="1"/>
      <c r="CS208" s="1"/>
      <c r="CT208" s="1"/>
      <c r="CU208" s="1"/>
      <c r="CV208" s="1"/>
      <c r="CW208" s="1"/>
      <c r="CX208" s="1"/>
      <c r="CY208" s="1"/>
      <c r="CZ208" s="1"/>
      <c r="DA208" s="1"/>
      <c r="DB208" s="1"/>
      <c r="DC208" s="1"/>
      <c r="DD208" s="1"/>
      <c r="DE208" s="1"/>
      <c r="DF208" s="1"/>
      <c r="DG208" s="1"/>
      <c r="DH208" s="1"/>
      <c r="DI208" s="1"/>
      <c r="DJ208" s="1"/>
      <c r="DK208" s="1"/>
      <c r="DL208" s="1"/>
      <c r="DM208" s="1"/>
      <c r="DN208" s="1"/>
      <c r="DO208" s="1"/>
      <c r="DP208" s="1"/>
      <c r="DQ208" s="1"/>
      <c r="DR208" s="1"/>
      <c r="DS208" s="1"/>
      <c r="DT208" s="1"/>
      <c r="DU208" s="1"/>
      <c r="DV208" s="1"/>
      <c r="DW208" s="1"/>
      <c r="DX208" s="1"/>
      <c r="DY208" s="1"/>
      <c r="DZ208" s="1"/>
      <c r="EA208" s="1"/>
      <c r="EB208" s="1"/>
      <c r="EC208" s="1"/>
      <c r="ED208" s="1"/>
      <c r="EE208" s="1"/>
      <c r="EF208" s="1"/>
      <c r="EG208" s="1"/>
      <c r="EH208" s="1"/>
      <c r="EI208" s="1"/>
      <c r="EJ208" s="1"/>
      <c r="EK208" s="1"/>
      <c r="EL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c r="BS209" s="1"/>
      <c r="BT209" s="1"/>
      <c r="BU209" s="1"/>
      <c r="BV209" s="1"/>
      <c r="BW209" s="1"/>
      <c r="BX209" s="1"/>
      <c r="BY209" s="1"/>
      <c r="BZ209" s="1"/>
      <c r="CA209" s="1"/>
      <c r="CB209" s="1"/>
      <c r="CC209" s="1"/>
      <c r="CD209" s="1"/>
      <c r="CE209" s="1"/>
      <c r="CF209" s="1"/>
      <c r="CG209" s="1"/>
      <c r="CH209" s="1"/>
      <c r="CI209" s="1"/>
      <c r="CJ209" s="1"/>
      <c r="CK209" s="1"/>
      <c r="CL209" s="1"/>
      <c r="CM209" s="1"/>
      <c r="CN209" s="1"/>
      <c r="CO209" s="1"/>
      <c r="CP209" s="1"/>
      <c r="CQ209" s="1"/>
      <c r="CR209" s="1"/>
      <c r="CS209" s="1"/>
      <c r="CT209" s="1"/>
      <c r="CU209" s="1"/>
      <c r="CV209" s="1"/>
      <c r="CW209" s="1"/>
      <c r="CX209" s="1"/>
      <c r="CY209" s="1"/>
      <c r="CZ209" s="1"/>
      <c r="DA209" s="1"/>
      <c r="DB209" s="1"/>
      <c r="DC209" s="1"/>
      <c r="DD209" s="1"/>
      <c r="DE209" s="1"/>
      <c r="DF209" s="1"/>
      <c r="DG209" s="1"/>
      <c r="DH209" s="1"/>
      <c r="DI209" s="1"/>
      <c r="DJ209" s="1"/>
      <c r="DK209" s="1"/>
      <c r="DL209" s="1"/>
      <c r="DM209" s="1"/>
      <c r="DN209" s="1"/>
      <c r="DO209" s="1"/>
      <c r="DP209" s="1"/>
      <c r="DQ209" s="1"/>
      <c r="DR209" s="1"/>
      <c r="DS209" s="1"/>
      <c r="DT209" s="1"/>
      <c r="DU209" s="1"/>
      <c r="DV209" s="1"/>
      <c r="DW209" s="1"/>
      <c r="DX209" s="1"/>
      <c r="DY209" s="1"/>
      <c r="DZ209" s="1"/>
      <c r="EA209" s="1"/>
      <c r="EB209" s="1"/>
      <c r="EC209" s="1"/>
      <c r="ED209" s="1"/>
      <c r="EE209" s="1"/>
      <c r="EF209" s="1"/>
      <c r="EG209" s="1"/>
      <c r="EH209" s="1"/>
      <c r="EI209" s="1"/>
      <c r="EJ209" s="1"/>
      <c r="EK209" s="1"/>
      <c r="EL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c r="BW210" s="1"/>
      <c r="BX210" s="1"/>
      <c r="BY210" s="1"/>
      <c r="BZ210" s="1"/>
      <c r="CA210" s="1"/>
      <c r="CB210" s="1"/>
      <c r="CC210" s="1"/>
      <c r="CD210" s="1"/>
      <c r="CE210" s="1"/>
      <c r="CF210" s="1"/>
      <c r="CG210" s="1"/>
      <c r="CH210" s="1"/>
      <c r="CI210" s="1"/>
      <c r="CJ210" s="1"/>
      <c r="CK210" s="1"/>
      <c r="CL210" s="1"/>
      <c r="CM210" s="1"/>
      <c r="CN210" s="1"/>
      <c r="CO210" s="1"/>
      <c r="CP210" s="1"/>
      <c r="CQ210" s="1"/>
      <c r="CR210" s="1"/>
      <c r="CS210" s="1"/>
      <c r="CT210" s="1"/>
      <c r="CU210" s="1"/>
      <c r="CV210" s="1"/>
      <c r="CW210" s="1"/>
      <c r="CX210" s="1"/>
      <c r="CY210" s="1"/>
      <c r="CZ210" s="1"/>
      <c r="DA210" s="1"/>
      <c r="DB210" s="1"/>
      <c r="DC210" s="1"/>
      <c r="DD210" s="1"/>
      <c r="DE210" s="1"/>
      <c r="DF210" s="1"/>
      <c r="DG210" s="1"/>
      <c r="DH210" s="1"/>
      <c r="DI210" s="1"/>
      <c r="DJ210" s="1"/>
      <c r="DK210" s="1"/>
      <c r="DL210" s="1"/>
      <c r="DM210" s="1"/>
      <c r="DN210" s="1"/>
      <c r="DO210" s="1"/>
      <c r="DP210" s="1"/>
      <c r="DQ210" s="1"/>
      <c r="DR210" s="1"/>
      <c r="DS210" s="1"/>
      <c r="DT210" s="1"/>
      <c r="DU210" s="1"/>
      <c r="DV210" s="1"/>
      <c r="DW210" s="1"/>
      <c r="DX210" s="1"/>
      <c r="DY210" s="1"/>
      <c r="DZ210" s="1"/>
      <c r="EA210" s="1"/>
      <c r="EB210" s="1"/>
      <c r="EC210" s="1"/>
      <c r="ED210" s="1"/>
      <c r="EE210" s="1"/>
      <c r="EF210" s="1"/>
      <c r="EG210" s="1"/>
      <c r="EH210" s="1"/>
      <c r="EI210" s="1"/>
      <c r="EJ210" s="1"/>
      <c r="EK210" s="1"/>
      <c r="EL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c r="CM211" s="1"/>
      <c r="CN211" s="1"/>
      <c r="CO211" s="1"/>
      <c r="CP211" s="1"/>
      <c r="CQ211" s="1"/>
      <c r="CR211" s="1"/>
      <c r="CS211" s="1"/>
      <c r="CT211" s="1"/>
      <c r="CU211" s="1"/>
      <c r="CV211" s="1"/>
      <c r="CW211" s="1"/>
      <c r="CX211" s="1"/>
      <c r="CY211" s="1"/>
      <c r="CZ211" s="1"/>
      <c r="DA211" s="1"/>
      <c r="DB211" s="1"/>
      <c r="DC211" s="1"/>
      <c r="DD211" s="1"/>
      <c r="DE211" s="1"/>
      <c r="DF211" s="1"/>
      <c r="DG211" s="1"/>
      <c r="DH211" s="1"/>
      <c r="DI211" s="1"/>
      <c r="DJ211" s="1"/>
      <c r="DK211" s="1"/>
      <c r="DL211" s="1"/>
      <c r="DM211" s="1"/>
      <c r="DN211" s="1"/>
      <c r="DO211" s="1"/>
      <c r="DP211" s="1"/>
      <c r="DQ211" s="1"/>
      <c r="DR211" s="1"/>
      <c r="DS211" s="1"/>
      <c r="DT211" s="1"/>
      <c r="DU211" s="1"/>
      <c r="DV211" s="1"/>
      <c r="DW211" s="1"/>
      <c r="DX211" s="1"/>
      <c r="DY211" s="1"/>
      <c r="DZ211" s="1"/>
      <c r="EA211" s="1"/>
      <c r="EB211" s="1"/>
      <c r="EC211" s="1"/>
      <c r="ED211" s="1"/>
      <c r="EE211" s="1"/>
      <c r="EF211" s="1"/>
      <c r="EG211" s="1"/>
      <c r="EH211" s="1"/>
      <c r="EI211" s="1"/>
      <c r="EJ211" s="1"/>
      <c r="EK211" s="1"/>
      <c r="EL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c r="CE212" s="1"/>
      <c r="CF212" s="1"/>
      <c r="CG212" s="1"/>
      <c r="CH212" s="1"/>
      <c r="CI212" s="1"/>
      <c r="CJ212" s="1"/>
      <c r="CK212" s="1"/>
      <c r="CL212" s="1"/>
      <c r="CM212" s="1"/>
      <c r="CN212" s="1"/>
      <c r="CO212" s="1"/>
      <c r="CP212" s="1"/>
      <c r="CQ212" s="1"/>
      <c r="CR212" s="1"/>
      <c r="CS212" s="1"/>
      <c r="CT212" s="1"/>
      <c r="CU212" s="1"/>
      <c r="CV212" s="1"/>
      <c r="CW212" s="1"/>
      <c r="CX212" s="1"/>
      <c r="CY212" s="1"/>
      <c r="CZ212" s="1"/>
      <c r="DA212" s="1"/>
      <c r="DB212" s="1"/>
      <c r="DC212" s="1"/>
      <c r="DD212" s="1"/>
      <c r="DE212" s="1"/>
      <c r="DF212" s="1"/>
      <c r="DG212" s="1"/>
      <c r="DH212" s="1"/>
      <c r="DI212" s="1"/>
      <c r="DJ212" s="1"/>
      <c r="DK212" s="1"/>
      <c r="DL212" s="1"/>
      <c r="DM212" s="1"/>
      <c r="DN212" s="1"/>
      <c r="DO212" s="1"/>
      <c r="DP212" s="1"/>
      <c r="DQ212" s="1"/>
      <c r="DR212" s="1"/>
      <c r="DS212" s="1"/>
      <c r="DT212" s="1"/>
      <c r="DU212" s="1"/>
      <c r="DV212" s="1"/>
      <c r="DW212" s="1"/>
      <c r="DX212" s="1"/>
      <c r="DY212" s="1"/>
      <c r="DZ212" s="1"/>
      <c r="EA212" s="1"/>
      <c r="EB212" s="1"/>
      <c r="EC212" s="1"/>
      <c r="ED212" s="1"/>
      <c r="EE212" s="1"/>
      <c r="EF212" s="1"/>
      <c r="EG212" s="1"/>
      <c r="EH212" s="1"/>
      <c r="EI212" s="1"/>
      <c r="EJ212" s="1"/>
      <c r="EK212" s="1"/>
      <c r="EL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c r="BS213" s="1"/>
      <c r="BT213" s="1"/>
      <c r="BU213" s="1"/>
      <c r="BV213" s="1"/>
      <c r="BW213" s="1"/>
      <c r="BX213" s="1"/>
      <c r="BY213" s="1"/>
      <c r="BZ213" s="1"/>
      <c r="CA213" s="1"/>
      <c r="CB213" s="1"/>
      <c r="CC213" s="1"/>
      <c r="CD213" s="1"/>
      <c r="CE213" s="1"/>
      <c r="CF213" s="1"/>
      <c r="CG213" s="1"/>
      <c r="CH213" s="1"/>
      <c r="CI213" s="1"/>
      <c r="CJ213" s="1"/>
      <c r="CK213" s="1"/>
      <c r="CL213" s="1"/>
      <c r="CM213" s="1"/>
      <c r="CN213" s="1"/>
      <c r="CO213" s="1"/>
      <c r="CP213" s="1"/>
      <c r="CQ213" s="1"/>
      <c r="CR213" s="1"/>
      <c r="CS213" s="1"/>
      <c r="CT213" s="1"/>
      <c r="CU213" s="1"/>
      <c r="CV213" s="1"/>
      <c r="CW213" s="1"/>
      <c r="CX213" s="1"/>
      <c r="CY213" s="1"/>
      <c r="CZ213" s="1"/>
      <c r="DA213" s="1"/>
      <c r="DB213" s="1"/>
      <c r="DC213" s="1"/>
      <c r="DD213" s="1"/>
      <c r="DE213" s="1"/>
      <c r="DF213" s="1"/>
      <c r="DG213" s="1"/>
      <c r="DH213" s="1"/>
      <c r="DI213" s="1"/>
      <c r="DJ213" s="1"/>
      <c r="DK213" s="1"/>
      <c r="DL213" s="1"/>
      <c r="DM213" s="1"/>
      <c r="DN213" s="1"/>
      <c r="DO213" s="1"/>
      <c r="DP213" s="1"/>
      <c r="DQ213" s="1"/>
      <c r="DR213" s="1"/>
      <c r="DS213" s="1"/>
      <c r="DT213" s="1"/>
      <c r="DU213" s="1"/>
      <c r="DV213" s="1"/>
      <c r="DW213" s="1"/>
      <c r="DX213" s="1"/>
      <c r="DY213" s="1"/>
      <c r="DZ213" s="1"/>
      <c r="EA213" s="1"/>
      <c r="EB213" s="1"/>
      <c r="EC213" s="1"/>
      <c r="ED213" s="1"/>
      <c r="EE213" s="1"/>
      <c r="EF213" s="1"/>
      <c r="EG213" s="1"/>
      <c r="EH213" s="1"/>
      <c r="EI213" s="1"/>
      <c r="EJ213" s="1"/>
      <c r="EK213" s="1"/>
      <c r="EL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c r="BS214" s="1"/>
      <c r="BT214" s="1"/>
      <c r="BU214" s="1"/>
      <c r="BV214" s="1"/>
      <c r="BW214" s="1"/>
      <c r="BX214" s="1"/>
      <c r="BY214" s="1"/>
      <c r="BZ214" s="1"/>
      <c r="CA214" s="1"/>
      <c r="CB214" s="1"/>
      <c r="CC214" s="1"/>
      <c r="CD214" s="1"/>
      <c r="CE214" s="1"/>
      <c r="CF214" s="1"/>
      <c r="CG214" s="1"/>
      <c r="CH214" s="1"/>
      <c r="CI214" s="1"/>
      <c r="CJ214" s="1"/>
      <c r="CK214" s="1"/>
      <c r="CL214" s="1"/>
      <c r="CM214" s="1"/>
      <c r="CN214" s="1"/>
      <c r="CO214" s="1"/>
      <c r="CP214" s="1"/>
      <c r="CQ214" s="1"/>
      <c r="CR214" s="1"/>
      <c r="CS214" s="1"/>
      <c r="CT214" s="1"/>
      <c r="CU214" s="1"/>
      <c r="CV214" s="1"/>
      <c r="CW214" s="1"/>
      <c r="CX214" s="1"/>
      <c r="CY214" s="1"/>
      <c r="CZ214" s="1"/>
      <c r="DA214" s="1"/>
      <c r="DB214" s="1"/>
      <c r="DC214" s="1"/>
      <c r="DD214" s="1"/>
      <c r="DE214" s="1"/>
      <c r="DF214" s="1"/>
      <c r="DG214" s="1"/>
      <c r="DH214" s="1"/>
      <c r="DI214" s="1"/>
      <c r="DJ214" s="1"/>
      <c r="DK214" s="1"/>
      <c r="DL214" s="1"/>
      <c r="DM214" s="1"/>
      <c r="DN214" s="1"/>
      <c r="DO214" s="1"/>
      <c r="DP214" s="1"/>
      <c r="DQ214" s="1"/>
      <c r="DR214" s="1"/>
      <c r="DS214" s="1"/>
      <c r="DT214" s="1"/>
      <c r="DU214" s="1"/>
      <c r="DV214" s="1"/>
      <c r="DW214" s="1"/>
      <c r="DX214" s="1"/>
      <c r="DY214" s="1"/>
      <c r="DZ214" s="1"/>
      <c r="EA214" s="1"/>
      <c r="EB214" s="1"/>
      <c r="EC214" s="1"/>
      <c r="ED214" s="1"/>
      <c r="EE214" s="1"/>
      <c r="EF214" s="1"/>
      <c r="EG214" s="1"/>
      <c r="EH214" s="1"/>
      <c r="EI214" s="1"/>
      <c r="EJ214" s="1"/>
      <c r="EK214" s="1"/>
      <c r="EL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c r="BR215" s="1"/>
      <c r="BS215" s="1"/>
      <c r="BT215" s="1"/>
      <c r="BU215" s="1"/>
      <c r="BV215" s="1"/>
      <c r="BW215" s="1"/>
      <c r="BX215" s="1"/>
      <c r="BY215" s="1"/>
      <c r="BZ215" s="1"/>
      <c r="CA215" s="1"/>
      <c r="CB215" s="1"/>
      <c r="CC215" s="1"/>
      <c r="CD215" s="1"/>
      <c r="CE215" s="1"/>
      <c r="CF215" s="1"/>
      <c r="CG215" s="1"/>
      <c r="CH215" s="1"/>
      <c r="CI215" s="1"/>
      <c r="CJ215" s="1"/>
      <c r="CK215" s="1"/>
      <c r="CL215" s="1"/>
      <c r="CM215" s="1"/>
      <c r="CN215" s="1"/>
      <c r="CO215" s="1"/>
      <c r="CP215" s="1"/>
      <c r="CQ215" s="1"/>
      <c r="CR215" s="1"/>
      <c r="CS215" s="1"/>
      <c r="CT215" s="1"/>
      <c r="CU215" s="1"/>
      <c r="CV215" s="1"/>
      <c r="CW215" s="1"/>
      <c r="CX215" s="1"/>
      <c r="CY215" s="1"/>
      <c r="CZ215" s="1"/>
      <c r="DA215" s="1"/>
      <c r="DB215" s="1"/>
      <c r="DC215" s="1"/>
      <c r="DD215" s="1"/>
      <c r="DE215" s="1"/>
      <c r="DF215" s="1"/>
      <c r="DG215" s="1"/>
      <c r="DH215" s="1"/>
      <c r="DI215" s="1"/>
      <c r="DJ215" s="1"/>
      <c r="DK215" s="1"/>
      <c r="DL215" s="1"/>
      <c r="DM215" s="1"/>
      <c r="DN215" s="1"/>
      <c r="DO215" s="1"/>
      <c r="DP215" s="1"/>
      <c r="DQ215" s="1"/>
      <c r="DR215" s="1"/>
      <c r="DS215" s="1"/>
      <c r="DT215" s="1"/>
      <c r="DU215" s="1"/>
      <c r="DV215" s="1"/>
      <c r="DW215" s="1"/>
      <c r="DX215" s="1"/>
      <c r="DY215" s="1"/>
      <c r="DZ215" s="1"/>
      <c r="EA215" s="1"/>
      <c r="EB215" s="1"/>
      <c r="EC215" s="1"/>
      <c r="ED215" s="1"/>
      <c r="EE215" s="1"/>
      <c r="EF215" s="1"/>
      <c r="EG215" s="1"/>
      <c r="EH215" s="1"/>
      <c r="EI215" s="1"/>
      <c r="EJ215" s="1"/>
      <c r="EK215" s="1"/>
      <c r="EL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c r="BR216" s="1"/>
      <c r="BS216" s="1"/>
      <c r="BT216" s="1"/>
      <c r="BU216" s="1"/>
      <c r="BV216" s="1"/>
      <c r="BW216" s="1"/>
      <c r="BX216" s="1"/>
      <c r="BY216" s="1"/>
      <c r="BZ216" s="1"/>
      <c r="CA216" s="1"/>
      <c r="CB216" s="1"/>
      <c r="CC216" s="1"/>
      <c r="CD216" s="1"/>
      <c r="CE216" s="1"/>
      <c r="CF216" s="1"/>
      <c r="CG216" s="1"/>
      <c r="CH216" s="1"/>
      <c r="CI216" s="1"/>
      <c r="CJ216" s="1"/>
      <c r="CK216" s="1"/>
      <c r="CL216" s="1"/>
      <c r="CM216" s="1"/>
      <c r="CN216" s="1"/>
      <c r="CO216" s="1"/>
      <c r="CP216" s="1"/>
      <c r="CQ216" s="1"/>
      <c r="CR216" s="1"/>
      <c r="CS216" s="1"/>
      <c r="CT216" s="1"/>
      <c r="CU216" s="1"/>
      <c r="CV216" s="1"/>
      <c r="CW216" s="1"/>
      <c r="CX216" s="1"/>
      <c r="CY216" s="1"/>
      <c r="CZ216" s="1"/>
      <c r="DA216" s="1"/>
      <c r="DB216" s="1"/>
      <c r="DC216" s="1"/>
      <c r="DD216" s="1"/>
      <c r="DE216" s="1"/>
      <c r="DF216" s="1"/>
      <c r="DG216" s="1"/>
      <c r="DH216" s="1"/>
      <c r="DI216" s="1"/>
      <c r="DJ216" s="1"/>
      <c r="DK216" s="1"/>
      <c r="DL216" s="1"/>
      <c r="DM216" s="1"/>
      <c r="DN216" s="1"/>
      <c r="DO216" s="1"/>
      <c r="DP216" s="1"/>
      <c r="DQ216" s="1"/>
      <c r="DR216" s="1"/>
      <c r="DS216" s="1"/>
      <c r="DT216" s="1"/>
      <c r="DU216" s="1"/>
      <c r="DV216" s="1"/>
      <c r="DW216" s="1"/>
      <c r="DX216" s="1"/>
      <c r="DY216" s="1"/>
      <c r="DZ216" s="1"/>
      <c r="EA216" s="1"/>
      <c r="EB216" s="1"/>
      <c r="EC216" s="1"/>
      <c r="ED216" s="1"/>
      <c r="EE216" s="1"/>
      <c r="EF216" s="1"/>
      <c r="EG216" s="1"/>
      <c r="EH216" s="1"/>
      <c r="EI216" s="1"/>
      <c r="EJ216" s="1"/>
      <c r="EK216" s="1"/>
      <c r="EL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c r="BR217" s="1"/>
      <c r="BS217" s="1"/>
      <c r="BT217" s="1"/>
      <c r="BU217" s="1"/>
      <c r="BV217" s="1"/>
      <c r="BW217" s="1"/>
      <c r="BX217" s="1"/>
      <c r="BY217" s="1"/>
      <c r="BZ217" s="1"/>
      <c r="CA217" s="1"/>
      <c r="CB217" s="1"/>
      <c r="CC217" s="1"/>
      <c r="CD217" s="1"/>
      <c r="CE217" s="1"/>
      <c r="CF217" s="1"/>
      <c r="CG217" s="1"/>
      <c r="CH217" s="1"/>
      <c r="CI217" s="1"/>
      <c r="CJ217" s="1"/>
      <c r="CK217" s="1"/>
      <c r="CL217" s="1"/>
      <c r="CM217" s="1"/>
      <c r="CN217" s="1"/>
      <c r="CO217" s="1"/>
      <c r="CP217" s="1"/>
      <c r="CQ217" s="1"/>
      <c r="CR217" s="1"/>
      <c r="CS217" s="1"/>
      <c r="CT217" s="1"/>
      <c r="CU217" s="1"/>
      <c r="CV217" s="1"/>
      <c r="CW217" s="1"/>
      <c r="CX217" s="1"/>
      <c r="CY217" s="1"/>
      <c r="CZ217" s="1"/>
      <c r="DA217" s="1"/>
      <c r="DB217" s="1"/>
      <c r="DC217" s="1"/>
      <c r="DD217" s="1"/>
      <c r="DE217" s="1"/>
      <c r="DF217" s="1"/>
      <c r="DG217" s="1"/>
      <c r="DH217" s="1"/>
      <c r="DI217" s="1"/>
      <c r="DJ217" s="1"/>
      <c r="DK217" s="1"/>
      <c r="DL217" s="1"/>
      <c r="DM217" s="1"/>
      <c r="DN217" s="1"/>
      <c r="DO217" s="1"/>
      <c r="DP217" s="1"/>
      <c r="DQ217" s="1"/>
      <c r="DR217" s="1"/>
      <c r="DS217" s="1"/>
      <c r="DT217" s="1"/>
      <c r="DU217" s="1"/>
      <c r="DV217" s="1"/>
      <c r="DW217" s="1"/>
      <c r="DX217" s="1"/>
      <c r="DY217" s="1"/>
      <c r="DZ217" s="1"/>
      <c r="EA217" s="1"/>
      <c r="EB217" s="1"/>
      <c r="EC217" s="1"/>
      <c r="ED217" s="1"/>
      <c r="EE217" s="1"/>
      <c r="EF217" s="1"/>
      <c r="EG217" s="1"/>
      <c r="EH217" s="1"/>
      <c r="EI217" s="1"/>
      <c r="EJ217" s="1"/>
      <c r="EK217" s="1"/>
      <c r="EL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c r="BR218" s="1"/>
      <c r="BS218" s="1"/>
      <c r="BT218" s="1"/>
      <c r="BU218" s="1"/>
      <c r="BV218" s="1"/>
      <c r="BW218" s="1"/>
      <c r="BX218" s="1"/>
      <c r="BY218" s="1"/>
      <c r="BZ218" s="1"/>
      <c r="CA218" s="1"/>
      <c r="CB218" s="1"/>
      <c r="CC218" s="1"/>
      <c r="CD218" s="1"/>
      <c r="CE218" s="1"/>
      <c r="CF218" s="1"/>
      <c r="CG218" s="1"/>
      <c r="CH218" s="1"/>
      <c r="CI218" s="1"/>
      <c r="CJ218" s="1"/>
      <c r="CK218" s="1"/>
      <c r="CL218" s="1"/>
      <c r="CM218" s="1"/>
      <c r="CN218" s="1"/>
      <c r="CO218" s="1"/>
      <c r="CP218" s="1"/>
      <c r="CQ218" s="1"/>
      <c r="CR218" s="1"/>
      <c r="CS218" s="1"/>
      <c r="CT218" s="1"/>
      <c r="CU218" s="1"/>
      <c r="CV218" s="1"/>
      <c r="CW218" s="1"/>
      <c r="CX218" s="1"/>
      <c r="CY218" s="1"/>
      <c r="CZ218" s="1"/>
      <c r="DA218" s="1"/>
      <c r="DB218" s="1"/>
      <c r="DC218" s="1"/>
      <c r="DD218" s="1"/>
      <c r="DE218" s="1"/>
      <c r="DF218" s="1"/>
      <c r="DG218" s="1"/>
      <c r="DH218" s="1"/>
      <c r="DI218" s="1"/>
      <c r="DJ218" s="1"/>
      <c r="DK218" s="1"/>
      <c r="DL218" s="1"/>
      <c r="DM218" s="1"/>
      <c r="DN218" s="1"/>
      <c r="DO218" s="1"/>
      <c r="DP218" s="1"/>
      <c r="DQ218" s="1"/>
      <c r="DR218" s="1"/>
      <c r="DS218" s="1"/>
      <c r="DT218" s="1"/>
      <c r="DU218" s="1"/>
      <c r="DV218" s="1"/>
      <c r="DW218" s="1"/>
      <c r="DX218" s="1"/>
      <c r="DY218" s="1"/>
      <c r="DZ218" s="1"/>
      <c r="EA218" s="1"/>
      <c r="EB218" s="1"/>
      <c r="EC218" s="1"/>
      <c r="ED218" s="1"/>
      <c r="EE218" s="1"/>
      <c r="EF218" s="1"/>
      <c r="EG218" s="1"/>
      <c r="EH218" s="1"/>
      <c r="EI218" s="1"/>
      <c r="EJ218" s="1"/>
      <c r="EK218" s="1"/>
      <c r="EL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c r="BR219" s="1"/>
      <c r="BS219" s="1"/>
      <c r="BT219" s="1"/>
      <c r="BU219" s="1"/>
      <c r="BV219" s="1"/>
      <c r="BW219" s="1"/>
      <c r="BX219" s="1"/>
      <c r="BY219" s="1"/>
      <c r="BZ219" s="1"/>
      <c r="CA219" s="1"/>
      <c r="CB219" s="1"/>
      <c r="CC219" s="1"/>
      <c r="CD219" s="1"/>
      <c r="CE219" s="1"/>
      <c r="CF219" s="1"/>
      <c r="CG219" s="1"/>
      <c r="CH219" s="1"/>
      <c r="CI219" s="1"/>
      <c r="CJ219" s="1"/>
      <c r="CK219" s="1"/>
      <c r="CL219" s="1"/>
      <c r="CM219" s="1"/>
      <c r="CN219" s="1"/>
      <c r="CO219" s="1"/>
      <c r="CP219" s="1"/>
      <c r="CQ219" s="1"/>
      <c r="CR219" s="1"/>
      <c r="CS219" s="1"/>
      <c r="CT219" s="1"/>
      <c r="CU219" s="1"/>
      <c r="CV219" s="1"/>
      <c r="CW219" s="1"/>
      <c r="CX219" s="1"/>
      <c r="CY219" s="1"/>
      <c r="CZ219" s="1"/>
      <c r="DA219" s="1"/>
      <c r="DB219" s="1"/>
      <c r="DC219" s="1"/>
      <c r="DD219" s="1"/>
      <c r="DE219" s="1"/>
      <c r="DF219" s="1"/>
      <c r="DG219" s="1"/>
      <c r="DH219" s="1"/>
      <c r="DI219" s="1"/>
      <c r="DJ219" s="1"/>
      <c r="DK219" s="1"/>
      <c r="DL219" s="1"/>
      <c r="DM219" s="1"/>
      <c r="DN219" s="1"/>
      <c r="DO219" s="1"/>
      <c r="DP219" s="1"/>
      <c r="DQ219" s="1"/>
      <c r="DR219" s="1"/>
      <c r="DS219" s="1"/>
      <c r="DT219" s="1"/>
      <c r="DU219" s="1"/>
      <c r="DV219" s="1"/>
      <c r="DW219" s="1"/>
      <c r="DX219" s="1"/>
      <c r="DY219" s="1"/>
      <c r="DZ219" s="1"/>
      <c r="EA219" s="1"/>
      <c r="EB219" s="1"/>
      <c r="EC219" s="1"/>
      <c r="ED219" s="1"/>
      <c r="EE219" s="1"/>
      <c r="EF219" s="1"/>
      <c r="EG219" s="1"/>
      <c r="EH219" s="1"/>
      <c r="EI219" s="1"/>
      <c r="EJ219" s="1"/>
      <c r="EK219" s="1"/>
      <c r="EL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c r="BS220" s="1"/>
      <c r="BT220" s="1"/>
      <c r="BU220" s="1"/>
      <c r="BV220" s="1"/>
      <c r="BW220" s="1"/>
      <c r="BX220" s="1"/>
      <c r="BY220" s="1"/>
      <c r="BZ220" s="1"/>
      <c r="CA220" s="1"/>
      <c r="CB220" s="1"/>
      <c r="CC220" s="1"/>
      <c r="CD220" s="1"/>
      <c r="CE220" s="1"/>
      <c r="CF220" s="1"/>
      <c r="CG220" s="1"/>
      <c r="CH220" s="1"/>
      <c r="CI220" s="1"/>
      <c r="CJ220" s="1"/>
      <c r="CK220" s="1"/>
      <c r="CL220" s="1"/>
      <c r="CM220" s="1"/>
      <c r="CN220" s="1"/>
      <c r="CO220" s="1"/>
      <c r="CP220" s="1"/>
      <c r="CQ220" s="1"/>
      <c r="CR220" s="1"/>
      <c r="CS220" s="1"/>
      <c r="CT220" s="1"/>
      <c r="CU220" s="1"/>
      <c r="CV220" s="1"/>
      <c r="CW220" s="1"/>
      <c r="CX220" s="1"/>
      <c r="CY220" s="1"/>
      <c r="CZ220" s="1"/>
      <c r="DA220" s="1"/>
      <c r="DB220" s="1"/>
      <c r="DC220" s="1"/>
      <c r="DD220" s="1"/>
      <c r="DE220" s="1"/>
      <c r="DF220" s="1"/>
      <c r="DG220" s="1"/>
      <c r="DH220" s="1"/>
      <c r="DI220" s="1"/>
      <c r="DJ220" s="1"/>
      <c r="DK220" s="1"/>
      <c r="DL220" s="1"/>
      <c r="DM220" s="1"/>
      <c r="DN220" s="1"/>
      <c r="DO220" s="1"/>
      <c r="DP220" s="1"/>
      <c r="DQ220" s="1"/>
      <c r="DR220" s="1"/>
      <c r="DS220" s="1"/>
      <c r="DT220" s="1"/>
      <c r="DU220" s="1"/>
      <c r="DV220" s="1"/>
      <c r="DW220" s="1"/>
      <c r="DX220" s="1"/>
      <c r="DY220" s="1"/>
      <c r="DZ220" s="1"/>
      <c r="EA220" s="1"/>
      <c r="EB220" s="1"/>
      <c r="EC220" s="1"/>
      <c r="ED220" s="1"/>
      <c r="EE220" s="1"/>
      <c r="EF220" s="1"/>
      <c r="EG220" s="1"/>
      <c r="EH220" s="1"/>
      <c r="EI220" s="1"/>
      <c r="EJ220" s="1"/>
      <c r="EK220" s="1"/>
      <c r="EL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c r="BS221" s="1"/>
      <c r="BT221" s="1"/>
      <c r="BU221" s="1"/>
      <c r="BV221" s="1"/>
      <c r="BW221" s="1"/>
      <c r="BX221" s="1"/>
      <c r="BY221" s="1"/>
      <c r="BZ221" s="1"/>
      <c r="CA221" s="1"/>
      <c r="CB221" s="1"/>
      <c r="CC221" s="1"/>
      <c r="CD221" s="1"/>
      <c r="CE221" s="1"/>
      <c r="CF221" s="1"/>
      <c r="CG221" s="1"/>
      <c r="CH221" s="1"/>
      <c r="CI221" s="1"/>
      <c r="CJ221" s="1"/>
      <c r="CK221" s="1"/>
      <c r="CL221" s="1"/>
      <c r="CM221" s="1"/>
      <c r="CN221" s="1"/>
      <c r="CO221" s="1"/>
      <c r="CP221" s="1"/>
      <c r="CQ221" s="1"/>
      <c r="CR221" s="1"/>
      <c r="CS221" s="1"/>
      <c r="CT221" s="1"/>
      <c r="CU221" s="1"/>
      <c r="CV221" s="1"/>
      <c r="CW221" s="1"/>
      <c r="CX221" s="1"/>
      <c r="CY221" s="1"/>
      <c r="CZ221" s="1"/>
      <c r="DA221" s="1"/>
      <c r="DB221" s="1"/>
      <c r="DC221" s="1"/>
      <c r="DD221" s="1"/>
      <c r="DE221" s="1"/>
      <c r="DF221" s="1"/>
      <c r="DG221" s="1"/>
      <c r="DH221" s="1"/>
      <c r="DI221" s="1"/>
      <c r="DJ221" s="1"/>
      <c r="DK221" s="1"/>
      <c r="DL221" s="1"/>
      <c r="DM221" s="1"/>
      <c r="DN221" s="1"/>
      <c r="DO221" s="1"/>
      <c r="DP221" s="1"/>
      <c r="DQ221" s="1"/>
      <c r="DR221" s="1"/>
      <c r="DS221" s="1"/>
      <c r="DT221" s="1"/>
      <c r="DU221" s="1"/>
      <c r="DV221" s="1"/>
      <c r="DW221" s="1"/>
      <c r="DX221" s="1"/>
      <c r="DY221" s="1"/>
      <c r="DZ221" s="1"/>
      <c r="EA221" s="1"/>
      <c r="EB221" s="1"/>
      <c r="EC221" s="1"/>
      <c r="ED221" s="1"/>
      <c r="EE221" s="1"/>
      <c r="EF221" s="1"/>
      <c r="EG221" s="1"/>
      <c r="EH221" s="1"/>
      <c r="EI221" s="1"/>
      <c r="EJ221" s="1"/>
      <c r="EK221" s="1"/>
      <c r="EL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c r="BS222" s="1"/>
      <c r="BT222" s="1"/>
      <c r="BU222" s="1"/>
      <c r="BV222" s="1"/>
      <c r="BW222" s="1"/>
      <c r="BX222" s="1"/>
      <c r="BY222" s="1"/>
      <c r="BZ222" s="1"/>
      <c r="CA222" s="1"/>
      <c r="CB222" s="1"/>
      <c r="CC222" s="1"/>
      <c r="CD222" s="1"/>
      <c r="CE222" s="1"/>
      <c r="CF222" s="1"/>
      <c r="CG222" s="1"/>
      <c r="CH222" s="1"/>
      <c r="CI222" s="1"/>
      <c r="CJ222" s="1"/>
      <c r="CK222" s="1"/>
      <c r="CL222" s="1"/>
      <c r="CM222" s="1"/>
      <c r="CN222" s="1"/>
      <c r="CO222" s="1"/>
      <c r="CP222" s="1"/>
      <c r="CQ222" s="1"/>
      <c r="CR222" s="1"/>
      <c r="CS222" s="1"/>
      <c r="CT222" s="1"/>
      <c r="CU222" s="1"/>
      <c r="CV222" s="1"/>
      <c r="CW222" s="1"/>
      <c r="CX222" s="1"/>
      <c r="CY222" s="1"/>
      <c r="CZ222" s="1"/>
      <c r="DA222" s="1"/>
      <c r="DB222" s="1"/>
      <c r="DC222" s="1"/>
      <c r="DD222" s="1"/>
      <c r="DE222" s="1"/>
      <c r="DF222" s="1"/>
      <c r="DG222" s="1"/>
      <c r="DH222" s="1"/>
      <c r="DI222" s="1"/>
      <c r="DJ222" s="1"/>
      <c r="DK222" s="1"/>
      <c r="DL222" s="1"/>
      <c r="DM222" s="1"/>
      <c r="DN222" s="1"/>
      <c r="DO222" s="1"/>
      <c r="DP222" s="1"/>
      <c r="DQ222" s="1"/>
      <c r="DR222" s="1"/>
      <c r="DS222" s="1"/>
      <c r="DT222" s="1"/>
      <c r="DU222" s="1"/>
      <c r="DV222" s="1"/>
      <c r="DW222" s="1"/>
      <c r="DX222" s="1"/>
      <c r="DY222" s="1"/>
      <c r="DZ222" s="1"/>
      <c r="EA222" s="1"/>
      <c r="EB222" s="1"/>
      <c r="EC222" s="1"/>
      <c r="ED222" s="1"/>
      <c r="EE222" s="1"/>
      <c r="EF222" s="1"/>
      <c r="EG222" s="1"/>
      <c r="EH222" s="1"/>
      <c r="EI222" s="1"/>
      <c r="EJ222" s="1"/>
      <c r="EK222" s="1"/>
      <c r="EL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c r="BS223" s="1"/>
      <c r="BT223" s="1"/>
      <c r="BU223" s="1"/>
      <c r="BV223" s="1"/>
      <c r="BW223" s="1"/>
      <c r="BX223" s="1"/>
      <c r="BY223" s="1"/>
      <c r="BZ223" s="1"/>
      <c r="CA223" s="1"/>
      <c r="CB223" s="1"/>
      <c r="CC223" s="1"/>
      <c r="CD223" s="1"/>
      <c r="CE223" s="1"/>
      <c r="CF223" s="1"/>
      <c r="CG223" s="1"/>
      <c r="CH223" s="1"/>
      <c r="CI223" s="1"/>
      <c r="CJ223" s="1"/>
      <c r="CK223" s="1"/>
      <c r="CL223" s="1"/>
      <c r="CM223" s="1"/>
      <c r="CN223" s="1"/>
      <c r="CO223" s="1"/>
      <c r="CP223" s="1"/>
      <c r="CQ223" s="1"/>
      <c r="CR223" s="1"/>
      <c r="CS223" s="1"/>
      <c r="CT223" s="1"/>
      <c r="CU223" s="1"/>
      <c r="CV223" s="1"/>
      <c r="CW223" s="1"/>
      <c r="CX223" s="1"/>
      <c r="CY223" s="1"/>
      <c r="CZ223" s="1"/>
      <c r="DA223" s="1"/>
      <c r="DB223" s="1"/>
      <c r="DC223" s="1"/>
      <c r="DD223" s="1"/>
      <c r="DE223" s="1"/>
      <c r="DF223" s="1"/>
      <c r="DG223" s="1"/>
      <c r="DH223" s="1"/>
      <c r="DI223" s="1"/>
      <c r="DJ223" s="1"/>
      <c r="DK223" s="1"/>
      <c r="DL223" s="1"/>
      <c r="DM223" s="1"/>
      <c r="DN223" s="1"/>
      <c r="DO223" s="1"/>
      <c r="DP223" s="1"/>
      <c r="DQ223" s="1"/>
      <c r="DR223" s="1"/>
      <c r="DS223" s="1"/>
      <c r="DT223" s="1"/>
      <c r="DU223" s="1"/>
      <c r="DV223" s="1"/>
      <c r="DW223" s="1"/>
      <c r="DX223" s="1"/>
      <c r="DY223" s="1"/>
      <c r="DZ223" s="1"/>
      <c r="EA223" s="1"/>
      <c r="EB223" s="1"/>
      <c r="EC223" s="1"/>
      <c r="ED223" s="1"/>
      <c r="EE223" s="1"/>
      <c r="EF223" s="1"/>
      <c r="EG223" s="1"/>
      <c r="EH223" s="1"/>
      <c r="EI223" s="1"/>
      <c r="EJ223" s="1"/>
      <c r="EK223" s="1"/>
      <c r="EL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c r="BS224" s="1"/>
      <c r="BT224" s="1"/>
      <c r="BU224" s="1"/>
      <c r="BV224" s="1"/>
      <c r="BW224" s="1"/>
      <c r="BX224" s="1"/>
      <c r="BY224" s="1"/>
      <c r="BZ224" s="1"/>
      <c r="CA224" s="1"/>
      <c r="CB224" s="1"/>
      <c r="CC224" s="1"/>
      <c r="CD224" s="1"/>
      <c r="CE224" s="1"/>
      <c r="CF224" s="1"/>
      <c r="CG224" s="1"/>
      <c r="CH224" s="1"/>
      <c r="CI224" s="1"/>
      <c r="CJ224" s="1"/>
      <c r="CK224" s="1"/>
      <c r="CL224" s="1"/>
      <c r="CM224" s="1"/>
      <c r="CN224" s="1"/>
      <c r="CO224" s="1"/>
      <c r="CP224" s="1"/>
      <c r="CQ224" s="1"/>
      <c r="CR224" s="1"/>
      <c r="CS224" s="1"/>
      <c r="CT224" s="1"/>
      <c r="CU224" s="1"/>
      <c r="CV224" s="1"/>
      <c r="CW224" s="1"/>
      <c r="CX224" s="1"/>
      <c r="CY224" s="1"/>
      <c r="CZ224" s="1"/>
      <c r="DA224" s="1"/>
      <c r="DB224" s="1"/>
      <c r="DC224" s="1"/>
      <c r="DD224" s="1"/>
      <c r="DE224" s="1"/>
      <c r="DF224" s="1"/>
      <c r="DG224" s="1"/>
      <c r="DH224" s="1"/>
      <c r="DI224" s="1"/>
      <c r="DJ224" s="1"/>
      <c r="DK224" s="1"/>
      <c r="DL224" s="1"/>
      <c r="DM224" s="1"/>
      <c r="DN224" s="1"/>
      <c r="DO224" s="1"/>
      <c r="DP224" s="1"/>
      <c r="DQ224" s="1"/>
      <c r="DR224" s="1"/>
      <c r="DS224" s="1"/>
      <c r="DT224" s="1"/>
      <c r="DU224" s="1"/>
      <c r="DV224" s="1"/>
      <c r="DW224" s="1"/>
      <c r="DX224" s="1"/>
      <c r="DY224" s="1"/>
      <c r="DZ224" s="1"/>
      <c r="EA224" s="1"/>
      <c r="EB224" s="1"/>
      <c r="EC224" s="1"/>
      <c r="ED224" s="1"/>
      <c r="EE224" s="1"/>
      <c r="EF224" s="1"/>
      <c r="EG224" s="1"/>
      <c r="EH224" s="1"/>
      <c r="EI224" s="1"/>
      <c r="EJ224" s="1"/>
      <c r="EK224" s="1"/>
      <c r="EL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c r="BS225" s="1"/>
      <c r="BT225" s="1"/>
      <c r="BU225" s="1"/>
      <c r="BV225" s="1"/>
      <c r="BW225" s="1"/>
      <c r="BX225" s="1"/>
      <c r="BY225" s="1"/>
      <c r="BZ225" s="1"/>
      <c r="CA225" s="1"/>
      <c r="CB225" s="1"/>
      <c r="CC225" s="1"/>
      <c r="CD225" s="1"/>
      <c r="CE225" s="1"/>
      <c r="CF225" s="1"/>
      <c r="CG225" s="1"/>
      <c r="CH225" s="1"/>
      <c r="CI225" s="1"/>
      <c r="CJ225" s="1"/>
      <c r="CK225" s="1"/>
      <c r="CL225" s="1"/>
      <c r="CM225" s="1"/>
      <c r="CN225" s="1"/>
      <c r="CO225" s="1"/>
      <c r="CP225" s="1"/>
      <c r="CQ225" s="1"/>
      <c r="CR225" s="1"/>
      <c r="CS225" s="1"/>
      <c r="CT225" s="1"/>
      <c r="CU225" s="1"/>
      <c r="CV225" s="1"/>
      <c r="CW225" s="1"/>
      <c r="CX225" s="1"/>
      <c r="CY225" s="1"/>
      <c r="CZ225" s="1"/>
      <c r="DA225" s="1"/>
      <c r="DB225" s="1"/>
      <c r="DC225" s="1"/>
      <c r="DD225" s="1"/>
      <c r="DE225" s="1"/>
      <c r="DF225" s="1"/>
      <c r="DG225" s="1"/>
      <c r="DH225" s="1"/>
      <c r="DI225" s="1"/>
      <c r="DJ225" s="1"/>
      <c r="DK225" s="1"/>
      <c r="DL225" s="1"/>
      <c r="DM225" s="1"/>
      <c r="DN225" s="1"/>
      <c r="DO225" s="1"/>
      <c r="DP225" s="1"/>
      <c r="DQ225" s="1"/>
      <c r="DR225" s="1"/>
      <c r="DS225" s="1"/>
      <c r="DT225" s="1"/>
      <c r="DU225" s="1"/>
      <c r="DV225" s="1"/>
      <c r="DW225" s="1"/>
      <c r="DX225" s="1"/>
      <c r="DY225" s="1"/>
      <c r="DZ225" s="1"/>
      <c r="EA225" s="1"/>
      <c r="EB225" s="1"/>
      <c r="EC225" s="1"/>
      <c r="ED225" s="1"/>
      <c r="EE225" s="1"/>
      <c r="EF225" s="1"/>
      <c r="EG225" s="1"/>
      <c r="EH225" s="1"/>
      <c r="EI225" s="1"/>
      <c r="EJ225" s="1"/>
      <c r="EK225" s="1"/>
      <c r="EL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c r="BS226" s="1"/>
      <c r="BT226" s="1"/>
      <c r="BU226" s="1"/>
      <c r="BV226" s="1"/>
      <c r="BW226" s="1"/>
      <c r="BX226" s="1"/>
      <c r="BY226" s="1"/>
      <c r="BZ226" s="1"/>
      <c r="CA226" s="1"/>
      <c r="CB226" s="1"/>
      <c r="CC226" s="1"/>
      <c r="CD226" s="1"/>
      <c r="CE226" s="1"/>
      <c r="CF226" s="1"/>
      <c r="CG226" s="1"/>
      <c r="CH226" s="1"/>
      <c r="CI226" s="1"/>
      <c r="CJ226" s="1"/>
      <c r="CK226" s="1"/>
      <c r="CL226" s="1"/>
      <c r="CM226" s="1"/>
      <c r="CN226" s="1"/>
      <c r="CO226" s="1"/>
      <c r="CP226" s="1"/>
      <c r="CQ226" s="1"/>
      <c r="CR226" s="1"/>
      <c r="CS226" s="1"/>
      <c r="CT226" s="1"/>
      <c r="CU226" s="1"/>
      <c r="CV226" s="1"/>
      <c r="CW226" s="1"/>
      <c r="CX226" s="1"/>
      <c r="CY226" s="1"/>
      <c r="CZ226" s="1"/>
      <c r="DA226" s="1"/>
      <c r="DB226" s="1"/>
      <c r="DC226" s="1"/>
      <c r="DD226" s="1"/>
      <c r="DE226" s="1"/>
      <c r="DF226" s="1"/>
      <c r="DG226" s="1"/>
      <c r="DH226" s="1"/>
      <c r="DI226" s="1"/>
      <c r="DJ226" s="1"/>
      <c r="DK226" s="1"/>
      <c r="DL226" s="1"/>
      <c r="DM226" s="1"/>
      <c r="DN226" s="1"/>
      <c r="DO226" s="1"/>
      <c r="DP226" s="1"/>
      <c r="DQ226" s="1"/>
      <c r="DR226" s="1"/>
      <c r="DS226" s="1"/>
      <c r="DT226" s="1"/>
      <c r="DU226" s="1"/>
      <c r="DV226" s="1"/>
      <c r="DW226" s="1"/>
      <c r="DX226" s="1"/>
      <c r="DY226" s="1"/>
      <c r="DZ226" s="1"/>
      <c r="EA226" s="1"/>
      <c r="EB226" s="1"/>
      <c r="EC226" s="1"/>
      <c r="ED226" s="1"/>
      <c r="EE226" s="1"/>
      <c r="EF226" s="1"/>
      <c r="EG226" s="1"/>
      <c r="EH226" s="1"/>
      <c r="EI226" s="1"/>
      <c r="EJ226" s="1"/>
      <c r="EK226" s="1"/>
      <c r="EL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c r="BS227" s="1"/>
      <c r="BT227" s="1"/>
      <c r="BU227" s="1"/>
      <c r="BV227" s="1"/>
      <c r="BW227" s="1"/>
      <c r="BX227" s="1"/>
      <c r="BY227" s="1"/>
      <c r="BZ227" s="1"/>
      <c r="CA227" s="1"/>
      <c r="CB227" s="1"/>
      <c r="CC227" s="1"/>
      <c r="CD227" s="1"/>
      <c r="CE227" s="1"/>
      <c r="CF227" s="1"/>
      <c r="CG227" s="1"/>
      <c r="CH227" s="1"/>
      <c r="CI227" s="1"/>
      <c r="CJ227" s="1"/>
      <c r="CK227" s="1"/>
      <c r="CL227" s="1"/>
      <c r="CM227" s="1"/>
      <c r="CN227" s="1"/>
      <c r="CO227" s="1"/>
      <c r="CP227" s="1"/>
      <c r="CQ227" s="1"/>
      <c r="CR227" s="1"/>
      <c r="CS227" s="1"/>
      <c r="CT227" s="1"/>
      <c r="CU227" s="1"/>
      <c r="CV227" s="1"/>
      <c r="CW227" s="1"/>
      <c r="CX227" s="1"/>
      <c r="CY227" s="1"/>
      <c r="CZ227" s="1"/>
      <c r="DA227" s="1"/>
      <c r="DB227" s="1"/>
      <c r="DC227" s="1"/>
      <c r="DD227" s="1"/>
      <c r="DE227" s="1"/>
      <c r="DF227" s="1"/>
      <c r="DG227" s="1"/>
      <c r="DH227" s="1"/>
      <c r="DI227" s="1"/>
      <c r="DJ227" s="1"/>
      <c r="DK227" s="1"/>
      <c r="DL227" s="1"/>
      <c r="DM227" s="1"/>
      <c r="DN227" s="1"/>
      <c r="DO227" s="1"/>
      <c r="DP227" s="1"/>
      <c r="DQ227" s="1"/>
      <c r="DR227" s="1"/>
      <c r="DS227" s="1"/>
      <c r="DT227" s="1"/>
      <c r="DU227" s="1"/>
      <c r="DV227" s="1"/>
      <c r="DW227" s="1"/>
      <c r="DX227" s="1"/>
      <c r="DY227" s="1"/>
      <c r="DZ227" s="1"/>
      <c r="EA227" s="1"/>
      <c r="EB227" s="1"/>
      <c r="EC227" s="1"/>
      <c r="ED227" s="1"/>
      <c r="EE227" s="1"/>
      <c r="EF227" s="1"/>
      <c r="EG227" s="1"/>
      <c r="EH227" s="1"/>
      <c r="EI227" s="1"/>
      <c r="EJ227" s="1"/>
      <c r="EK227" s="1"/>
      <c r="EL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c r="BS228" s="1"/>
      <c r="BT228" s="1"/>
      <c r="BU228" s="1"/>
      <c r="BV228" s="1"/>
      <c r="BW228" s="1"/>
      <c r="BX228" s="1"/>
      <c r="BY228" s="1"/>
      <c r="BZ228" s="1"/>
      <c r="CA228" s="1"/>
      <c r="CB228" s="1"/>
      <c r="CC228" s="1"/>
      <c r="CD228" s="1"/>
      <c r="CE228" s="1"/>
      <c r="CF228" s="1"/>
      <c r="CG228" s="1"/>
      <c r="CH228" s="1"/>
      <c r="CI228" s="1"/>
      <c r="CJ228" s="1"/>
      <c r="CK228" s="1"/>
      <c r="CL228" s="1"/>
      <c r="CM228" s="1"/>
      <c r="CN228" s="1"/>
      <c r="CO228" s="1"/>
      <c r="CP228" s="1"/>
      <c r="CQ228" s="1"/>
      <c r="CR228" s="1"/>
      <c r="CS228" s="1"/>
      <c r="CT228" s="1"/>
      <c r="CU228" s="1"/>
      <c r="CV228" s="1"/>
      <c r="CW228" s="1"/>
      <c r="CX228" s="1"/>
      <c r="CY228" s="1"/>
      <c r="CZ228" s="1"/>
      <c r="DA228" s="1"/>
      <c r="DB228" s="1"/>
      <c r="DC228" s="1"/>
      <c r="DD228" s="1"/>
      <c r="DE228" s="1"/>
      <c r="DF228" s="1"/>
      <c r="DG228" s="1"/>
      <c r="DH228" s="1"/>
      <c r="DI228" s="1"/>
      <c r="DJ228" s="1"/>
      <c r="DK228" s="1"/>
      <c r="DL228" s="1"/>
      <c r="DM228" s="1"/>
      <c r="DN228" s="1"/>
      <c r="DO228" s="1"/>
      <c r="DP228" s="1"/>
      <c r="DQ228" s="1"/>
      <c r="DR228" s="1"/>
      <c r="DS228" s="1"/>
      <c r="DT228" s="1"/>
      <c r="DU228" s="1"/>
      <c r="DV228" s="1"/>
      <c r="DW228" s="1"/>
      <c r="DX228" s="1"/>
      <c r="DY228" s="1"/>
      <c r="DZ228" s="1"/>
      <c r="EA228" s="1"/>
      <c r="EB228" s="1"/>
      <c r="EC228" s="1"/>
      <c r="ED228" s="1"/>
      <c r="EE228" s="1"/>
      <c r="EF228" s="1"/>
      <c r="EG228" s="1"/>
      <c r="EH228" s="1"/>
      <c r="EI228" s="1"/>
      <c r="EJ228" s="1"/>
      <c r="EK228" s="1"/>
      <c r="EL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c r="BS229" s="1"/>
      <c r="BT229" s="1"/>
      <c r="BU229" s="1"/>
      <c r="BV229" s="1"/>
      <c r="BW229" s="1"/>
      <c r="BX229" s="1"/>
      <c r="BY229" s="1"/>
      <c r="BZ229" s="1"/>
      <c r="CA229" s="1"/>
      <c r="CB229" s="1"/>
      <c r="CC229" s="1"/>
      <c r="CD229" s="1"/>
      <c r="CE229" s="1"/>
      <c r="CF229" s="1"/>
      <c r="CG229" s="1"/>
      <c r="CH229" s="1"/>
      <c r="CI229" s="1"/>
      <c r="CJ229" s="1"/>
      <c r="CK229" s="1"/>
      <c r="CL229" s="1"/>
      <c r="CM229" s="1"/>
      <c r="CN229" s="1"/>
      <c r="CO229" s="1"/>
      <c r="CP229" s="1"/>
      <c r="CQ229" s="1"/>
      <c r="CR229" s="1"/>
      <c r="CS229" s="1"/>
      <c r="CT229" s="1"/>
      <c r="CU229" s="1"/>
      <c r="CV229" s="1"/>
      <c r="CW229" s="1"/>
      <c r="CX229" s="1"/>
      <c r="CY229" s="1"/>
      <c r="CZ229" s="1"/>
      <c r="DA229" s="1"/>
      <c r="DB229" s="1"/>
      <c r="DC229" s="1"/>
      <c r="DD229" s="1"/>
      <c r="DE229" s="1"/>
      <c r="DF229" s="1"/>
      <c r="DG229" s="1"/>
      <c r="DH229" s="1"/>
      <c r="DI229" s="1"/>
      <c r="DJ229" s="1"/>
      <c r="DK229" s="1"/>
      <c r="DL229" s="1"/>
      <c r="DM229" s="1"/>
      <c r="DN229" s="1"/>
      <c r="DO229" s="1"/>
      <c r="DP229" s="1"/>
      <c r="DQ229" s="1"/>
      <c r="DR229" s="1"/>
      <c r="DS229" s="1"/>
      <c r="DT229" s="1"/>
      <c r="DU229" s="1"/>
      <c r="DV229" s="1"/>
      <c r="DW229" s="1"/>
      <c r="DX229" s="1"/>
      <c r="DY229" s="1"/>
      <c r="DZ229" s="1"/>
      <c r="EA229" s="1"/>
      <c r="EB229" s="1"/>
      <c r="EC229" s="1"/>
      <c r="ED229" s="1"/>
      <c r="EE229" s="1"/>
      <c r="EF229" s="1"/>
      <c r="EG229" s="1"/>
      <c r="EH229" s="1"/>
      <c r="EI229" s="1"/>
      <c r="EJ229" s="1"/>
      <c r="EK229" s="1"/>
      <c r="EL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c r="BS230" s="1"/>
      <c r="BT230" s="1"/>
      <c r="BU230" s="1"/>
      <c r="BV230" s="1"/>
      <c r="BW230" s="1"/>
      <c r="BX230" s="1"/>
      <c r="BY230" s="1"/>
      <c r="BZ230" s="1"/>
      <c r="CA230" s="1"/>
      <c r="CB230" s="1"/>
      <c r="CC230" s="1"/>
      <c r="CD230" s="1"/>
      <c r="CE230" s="1"/>
      <c r="CF230" s="1"/>
      <c r="CG230" s="1"/>
      <c r="CH230" s="1"/>
      <c r="CI230" s="1"/>
      <c r="CJ230" s="1"/>
      <c r="CK230" s="1"/>
      <c r="CL230" s="1"/>
      <c r="CM230" s="1"/>
      <c r="CN230" s="1"/>
      <c r="CO230" s="1"/>
      <c r="CP230" s="1"/>
      <c r="CQ230" s="1"/>
      <c r="CR230" s="1"/>
      <c r="CS230" s="1"/>
      <c r="CT230" s="1"/>
      <c r="CU230" s="1"/>
      <c r="CV230" s="1"/>
      <c r="CW230" s="1"/>
      <c r="CX230" s="1"/>
      <c r="CY230" s="1"/>
      <c r="CZ230" s="1"/>
      <c r="DA230" s="1"/>
      <c r="DB230" s="1"/>
      <c r="DC230" s="1"/>
      <c r="DD230" s="1"/>
      <c r="DE230" s="1"/>
      <c r="DF230" s="1"/>
      <c r="DG230" s="1"/>
      <c r="DH230" s="1"/>
      <c r="DI230" s="1"/>
      <c r="DJ230" s="1"/>
      <c r="DK230" s="1"/>
      <c r="DL230" s="1"/>
      <c r="DM230" s="1"/>
      <c r="DN230" s="1"/>
      <c r="DO230" s="1"/>
      <c r="DP230" s="1"/>
      <c r="DQ230" s="1"/>
      <c r="DR230" s="1"/>
      <c r="DS230" s="1"/>
      <c r="DT230" s="1"/>
      <c r="DU230" s="1"/>
      <c r="DV230" s="1"/>
      <c r="DW230" s="1"/>
      <c r="DX230" s="1"/>
      <c r="DY230" s="1"/>
      <c r="DZ230" s="1"/>
      <c r="EA230" s="1"/>
      <c r="EB230" s="1"/>
      <c r="EC230" s="1"/>
      <c r="ED230" s="1"/>
      <c r="EE230" s="1"/>
      <c r="EF230" s="1"/>
      <c r="EG230" s="1"/>
      <c r="EH230" s="1"/>
      <c r="EI230" s="1"/>
      <c r="EJ230" s="1"/>
      <c r="EK230" s="1"/>
      <c r="EL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c r="BS231" s="1"/>
      <c r="BT231" s="1"/>
      <c r="BU231" s="1"/>
      <c r="BV231" s="1"/>
      <c r="BW231" s="1"/>
      <c r="BX231" s="1"/>
      <c r="BY231" s="1"/>
      <c r="BZ231" s="1"/>
      <c r="CA231" s="1"/>
      <c r="CB231" s="1"/>
      <c r="CC231" s="1"/>
      <c r="CD231" s="1"/>
      <c r="CE231" s="1"/>
      <c r="CF231" s="1"/>
      <c r="CG231" s="1"/>
      <c r="CH231" s="1"/>
      <c r="CI231" s="1"/>
      <c r="CJ231" s="1"/>
      <c r="CK231" s="1"/>
      <c r="CL231" s="1"/>
      <c r="CM231" s="1"/>
      <c r="CN231" s="1"/>
      <c r="CO231" s="1"/>
      <c r="CP231" s="1"/>
      <c r="CQ231" s="1"/>
      <c r="CR231" s="1"/>
      <c r="CS231" s="1"/>
      <c r="CT231" s="1"/>
      <c r="CU231" s="1"/>
      <c r="CV231" s="1"/>
      <c r="CW231" s="1"/>
      <c r="CX231" s="1"/>
      <c r="CY231" s="1"/>
      <c r="CZ231" s="1"/>
      <c r="DA231" s="1"/>
      <c r="DB231" s="1"/>
      <c r="DC231" s="1"/>
      <c r="DD231" s="1"/>
      <c r="DE231" s="1"/>
      <c r="DF231" s="1"/>
      <c r="DG231" s="1"/>
      <c r="DH231" s="1"/>
      <c r="DI231" s="1"/>
      <c r="DJ231" s="1"/>
      <c r="DK231" s="1"/>
      <c r="DL231" s="1"/>
      <c r="DM231" s="1"/>
      <c r="DN231" s="1"/>
      <c r="DO231" s="1"/>
      <c r="DP231" s="1"/>
      <c r="DQ231" s="1"/>
      <c r="DR231" s="1"/>
      <c r="DS231" s="1"/>
      <c r="DT231" s="1"/>
      <c r="DU231" s="1"/>
      <c r="DV231" s="1"/>
      <c r="DW231" s="1"/>
      <c r="DX231" s="1"/>
      <c r="DY231" s="1"/>
      <c r="DZ231" s="1"/>
      <c r="EA231" s="1"/>
      <c r="EB231" s="1"/>
      <c r="EC231" s="1"/>
      <c r="ED231" s="1"/>
      <c r="EE231" s="1"/>
      <c r="EF231" s="1"/>
      <c r="EG231" s="1"/>
      <c r="EH231" s="1"/>
      <c r="EI231" s="1"/>
      <c r="EJ231" s="1"/>
      <c r="EK231" s="1"/>
      <c r="EL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c r="BS232" s="1"/>
      <c r="BT232" s="1"/>
      <c r="BU232" s="1"/>
      <c r="BV232" s="1"/>
      <c r="BW232" s="1"/>
      <c r="BX232" s="1"/>
      <c r="BY232" s="1"/>
      <c r="BZ232" s="1"/>
      <c r="CA232" s="1"/>
      <c r="CB232" s="1"/>
      <c r="CC232" s="1"/>
      <c r="CD232" s="1"/>
      <c r="CE232" s="1"/>
      <c r="CF232" s="1"/>
      <c r="CG232" s="1"/>
      <c r="CH232" s="1"/>
      <c r="CI232" s="1"/>
      <c r="CJ232" s="1"/>
      <c r="CK232" s="1"/>
      <c r="CL232" s="1"/>
      <c r="CM232" s="1"/>
      <c r="CN232" s="1"/>
      <c r="CO232" s="1"/>
      <c r="CP232" s="1"/>
      <c r="CQ232" s="1"/>
      <c r="CR232" s="1"/>
      <c r="CS232" s="1"/>
      <c r="CT232" s="1"/>
      <c r="CU232" s="1"/>
      <c r="CV232" s="1"/>
      <c r="CW232" s="1"/>
      <c r="CX232" s="1"/>
      <c r="CY232" s="1"/>
      <c r="CZ232" s="1"/>
      <c r="DA232" s="1"/>
      <c r="DB232" s="1"/>
      <c r="DC232" s="1"/>
      <c r="DD232" s="1"/>
      <c r="DE232" s="1"/>
      <c r="DF232" s="1"/>
      <c r="DG232" s="1"/>
      <c r="DH232" s="1"/>
      <c r="DI232" s="1"/>
      <c r="DJ232" s="1"/>
      <c r="DK232" s="1"/>
      <c r="DL232" s="1"/>
      <c r="DM232" s="1"/>
      <c r="DN232" s="1"/>
      <c r="DO232" s="1"/>
      <c r="DP232" s="1"/>
      <c r="DQ232" s="1"/>
      <c r="DR232" s="1"/>
      <c r="DS232" s="1"/>
      <c r="DT232" s="1"/>
      <c r="DU232" s="1"/>
      <c r="DV232" s="1"/>
      <c r="DW232" s="1"/>
      <c r="DX232" s="1"/>
      <c r="DY232" s="1"/>
      <c r="DZ232" s="1"/>
      <c r="EA232" s="1"/>
      <c r="EB232" s="1"/>
      <c r="EC232" s="1"/>
      <c r="ED232" s="1"/>
      <c r="EE232" s="1"/>
      <c r="EF232" s="1"/>
      <c r="EG232" s="1"/>
      <c r="EH232" s="1"/>
      <c r="EI232" s="1"/>
      <c r="EJ232" s="1"/>
      <c r="EK232" s="1"/>
      <c r="EL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c r="BS233" s="1"/>
      <c r="BT233" s="1"/>
      <c r="BU233" s="1"/>
      <c r="BV233" s="1"/>
      <c r="BW233" s="1"/>
      <c r="BX233" s="1"/>
      <c r="BY233" s="1"/>
      <c r="BZ233" s="1"/>
      <c r="CA233" s="1"/>
      <c r="CB233" s="1"/>
      <c r="CC233" s="1"/>
      <c r="CD233" s="1"/>
      <c r="CE233" s="1"/>
      <c r="CF233" s="1"/>
      <c r="CG233" s="1"/>
      <c r="CH233" s="1"/>
      <c r="CI233" s="1"/>
      <c r="CJ233" s="1"/>
      <c r="CK233" s="1"/>
      <c r="CL233" s="1"/>
      <c r="CM233" s="1"/>
      <c r="CN233" s="1"/>
      <c r="CO233" s="1"/>
      <c r="CP233" s="1"/>
      <c r="CQ233" s="1"/>
      <c r="CR233" s="1"/>
      <c r="CS233" s="1"/>
      <c r="CT233" s="1"/>
      <c r="CU233" s="1"/>
      <c r="CV233" s="1"/>
      <c r="CW233" s="1"/>
      <c r="CX233" s="1"/>
      <c r="CY233" s="1"/>
      <c r="CZ233" s="1"/>
      <c r="DA233" s="1"/>
      <c r="DB233" s="1"/>
      <c r="DC233" s="1"/>
      <c r="DD233" s="1"/>
      <c r="DE233" s="1"/>
      <c r="DF233" s="1"/>
      <c r="DG233" s="1"/>
      <c r="DH233" s="1"/>
      <c r="DI233" s="1"/>
      <c r="DJ233" s="1"/>
      <c r="DK233" s="1"/>
      <c r="DL233" s="1"/>
      <c r="DM233" s="1"/>
      <c r="DN233" s="1"/>
      <c r="DO233" s="1"/>
      <c r="DP233" s="1"/>
      <c r="DQ233" s="1"/>
      <c r="DR233" s="1"/>
      <c r="DS233" s="1"/>
      <c r="DT233" s="1"/>
      <c r="DU233" s="1"/>
      <c r="DV233" s="1"/>
      <c r="DW233" s="1"/>
      <c r="DX233" s="1"/>
      <c r="DY233" s="1"/>
      <c r="DZ233" s="1"/>
      <c r="EA233" s="1"/>
      <c r="EB233" s="1"/>
      <c r="EC233" s="1"/>
      <c r="ED233" s="1"/>
      <c r="EE233" s="1"/>
      <c r="EF233" s="1"/>
      <c r="EG233" s="1"/>
      <c r="EH233" s="1"/>
      <c r="EI233" s="1"/>
      <c r="EJ233" s="1"/>
      <c r="EK233" s="1"/>
      <c r="EL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c r="BS234" s="1"/>
      <c r="BT234" s="1"/>
      <c r="BU234" s="1"/>
      <c r="BV234" s="1"/>
      <c r="BW234" s="1"/>
      <c r="BX234" s="1"/>
      <c r="BY234" s="1"/>
      <c r="BZ234" s="1"/>
      <c r="CA234" s="1"/>
      <c r="CB234" s="1"/>
      <c r="CC234" s="1"/>
      <c r="CD234" s="1"/>
      <c r="CE234" s="1"/>
      <c r="CF234" s="1"/>
      <c r="CG234" s="1"/>
      <c r="CH234" s="1"/>
      <c r="CI234" s="1"/>
      <c r="CJ234" s="1"/>
      <c r="CK234" s="1"/>
      <c r="CL234" s="1"/>
      <c r="CM234" s="1"/>
      <c r="CN234" s="1"/>
      <c r="CO234" s="1"/>
      <c r="CP234" s="1"/>
      <c r="CQ234" s="1"/>
      <c r="CR234" s="1"/>
      <c r="CS234" s="1"/>
      <c r="CT234" s="1"/>
      <c r="CU234" s="1"/>
      <c r="CV234" s="1"/>
      <c r="CW234" s="1"/>
      <c r="CX234" s="1"/>
      <c r="CY234" s="1"/>
      <c r="CZ234" s="1"/>
      <c r="DA234" s="1"/>
      <c r="DB234" s="1"/>
      <c r="DC234" s="1"/>
      <c r="DD234" s="1"/>
      <c r="DE234" s="1"/>
      <c r="DF234" s="1"/>
      <c r="DG234" s="1"/>
      <c r="DH234" s="1"/>
      <c r="DI234" s="1"/>
      <c r="DJ234" s="1"/>
      <c r="DK234" s="1"/>
      <c r="DL234" s="1"/>
      <c r="DM234" s="1"/>
      <c r="DN234" s="1"/>
      <c r="DO234" s="1"/>
      <c r="DP234" s="1"/>
      <c r="DQ234" s="1"/>
      <c r="DR234" s="1"/>
      <c r="DS234" s="1"/>
      <c r="DT234" s="1"/>
      <c r="DU234" s="1"/>
      <c r="DV234" s="1"/>
      <c r="DW234" s="1"/>
      <c r="DX234" s="1"/>
      <c r="DY234" s="1"/>
      <c r="DZ234" s="1"/>
      <c r="EA234" s="1"/>
      <c r="EB234" s="1"/>
      <c r="EC234" s="1"/>
      <c r="ED234" s="1"/>
      <c r="EE234" s="1"/>
      <c r="EF234" s="1"/>
      <c r="EG234" s="1"/>
      <c r="EH234" s="1"/>
      <c r="EI234" s="1"/>
      <c r="EJ234" s="1"/>
      <c r="EK234" s="1"/>
      <c r="EL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c r="BS235" s="1"/>
      <c r="BT235" s="1"/>
      <c r="BU235" s="1"/>
      <c r="BV235" s="1"/>
      <c r="BW235" s="1"/>
      <c r="BX235" s="1"/>
      <c r="BY235" s="1"/>
      <c r="BZ235" s="1"/>
      <c r="CA235" s="1"/>
      <c r="CB235" s="1"/>
      <c r="CC235" s="1"/>
      <c r="CD235" s="1"/>
      <c r="CE235" s="1"/>
      <c r="CF235" s="1"/>
      <c r="CG235" s="1"/>
      <c r="CH235" s="1"/>
      <c r="CI235" s="1"/>
      <c r="CJ235" s="1"/>
      <c r="CK235" s="1"/>
      <c r="CL235" s="1"/>
      <c r="CM235" s="1"/>
      <c r="CN235" s="1"/>
      <c r="CO235" s="1"/>
      <c r="CP235" s="1"/>
      <c r="CQ235" s="1"/>
      <c r="CR235" s="1"/>
      <c r="CS235" s="1"/>
      <c r="CT235" s="1"/>
      <c r="CU235" s="1"/>
      <c r="CV235" s="1"/>
      <c r="CW235" s="1"/>
      <c r="CX235" s="1"/>
      <c r="CY235" s="1"/>
      <c r="CZ235" s="1"/>
      <c r="DA235" s="1"/>
      <c r="DB235" s="1"/>
      <c r="DC235" s="1"/>
      <c r="DD235" s="1"/>
      <c r="DE235" s="1"/>
      <c r="DF235" s="1"/>
      <c r="DG235" s="1"/>
      <c r="DH235" s="1"/>
      <c r="DI235" s="1"/>
      <c r="DJ235" s="1"/>
      <c r="DK235" s="1"/>
      <c r="DL235" s="1"/>
      <c r="DM235" s="1"/>
      <c r="DN235" s="1"/>
      <c r="DO235" s="1"/>
      <c r="DP235" s="1"/>
      <c r="DQ235" s="1"/>
      <c r="DR235" s="1"/>
      <c r="DS235" s="1"/>
      <c r="DT235" s="1"/>
      <c r="DU235" s="1"/>
      <c r="DV235" s="1"/>
      <c r="DW235" s="1"/>
      <c r="DX235" s="1"/>
      <c r="DY235" s="1"/>
      <c r="DZ235" s="1"/>
      <c r="EA235" s="1"/>
      <c r="EB235" s="1"/>
      <c r="EC235" s="1"/>
      <c r="ED235" s="1"/>
      <c r="EE235" s="1"/>
      <c r="EF235" s="1"/>
      <c r="EG235" s="1"/>
      <c r="EH235" s="1"/>
      <c r="EI235" s="1"/>
      <c r="EJ235" s="1"/>
      <c r="EK235" s="1"/>
      <c r="EL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c r="BW238" s="1"/>
      <c r="BX238" s="1"/>
      <c r="BY238" s="1"/>
      <c r="BZ238" s="1"/>
      <c r="CA238" s="1"/>
      <c r="CB238" s="1"/>
      <c r="CC238" s="1"/>
      <c r="CD238" s="1"/>
      <c r="CE238" s="1"/>
      <c r="CF238" s="1"/>
      <c r="CG238" s="1"/>
      <c r="CH238" s="1"/>
      <c r="CI238" s="1"/>
      <c r="CJ238" s="1"/>
      <c r="CK238" s="1"/>
      <c r="CL238" s="1"/>
      <c r="CM238" s="1"/>
      <c r="CN238" s="1"/>
      <c r="CO238" s="1"/>
      <c r="CP238" s="1"/>
      <c r="CQ238" s="1"/>
      <c r="CR238" s="1"/>
      <c r="CS238" s="1"/>
      <c r="CT238" s="1"/>
      <c r="CU238" s="1"/>
      <c r="CV238" s="1"/>
      <c r="CW238" s="1"/>
      <c r="CX238" s="1"/>
      <c r="CY238" s="1"/>
      <c r="CZ238" s="1"/>
      <c r="DA238" s="1"/>
      <c r="DB238" s="1"/>
      <c r="DC238" s="1"/>
      <c r="DD238" s="1"/>
      <c r="DE238" s="1"/>
      <c r="DF238" s="1"/>
      <c r="DG238" s="1"/>
      <c r="DH238" s="1"/>
      <c r="DI238" s="1"/>
      <c r="DJ238" s="1"/>
      <c r="DK238" s="1"/>
      <c r="DL238" s="1"/>
      <c r="DM238" s="1"/>
      <c r="DN238" s="1"/>
      <c r="DO238" s="1"/>
      <c r="DP238" s="1"/>
      <c r="DQ238" s="1"/>
      <c r="DR238" s="1"/>
      <c r="DS238" s="1"/>
      <c r="DT238" s="1"/>
      <c r="DU238" s="1"/>
      <c r="DV238" s="1"/>
      <c r="DW238" s="1"/>
      <c r="DX238" s="1"/>
      <c r="DY238" s="1"/>
      <c r="DZ238" s="1"/>
      <c r="EA238" s="1"/>
      <c r="EB238" s="1"/>
      <c r="EC238" s="1"/>
      <c r="ED238" s="1"/>
      <c r="EE238" s="1"/>
      <c r="EF238" s="1"/>
      <c r="EG238" s="1"/>
      <c r="EH238" s="1"/>
      <c r="EI238" s="1"/>
      <c r="EJ238" s="1"/>
      <c r="EK238" s="1"/>
      <c r="EL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c r="DZ240" s="1"/>
      <c r="EA240" s="1"/>
      <c r="EB240" s="1"/>
      <c r="EC240" s="1"/>
      <c r="ED240" s="1"/>
      <c r="EE240" s="1"/>
      <c r="EF240" s="1"/>
      <c r="EG240" s="1"/>
      <c r="EH240" s="1"/>
      <c r="EI240" s="1"/>
      <c r="EJ240" s="1"/>
      <c r="EK240" s="1"/>
      <c r="EL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c r="BS241" s="1"/>
      <c r="BT241" s="1"/>
      <c r="BU241" s="1"/>
      <c r="BV241" s="1"/>
      <c r="BW241" s="1"/>
      <c r="BX241" s="1"/>
      <c r="BY241" s="1"/>
      <c r="BZ241" s="1"/>
      <c r="CA241" s="1"/>
      <c r="CB241" s="1"/>
      <c r="CC241" s="1"/>
      <c r="CD241" s="1"/>
      <c r="CE241" s="1"/>
      <c r="CF241" s="1"/>
      <c r="CG241" s="1"/>
      <c r="CH241" s="1"/>
      <c r="CI241" s="1"/>
      <c r="CJ241" s="1"/>
      <c r="CK241" s="1"/>
      <c r="CL241" s="1"/>
      <c r="CM241" s="1"/>
      <c r="CN241" s="1"/>
      <c r="CO241" s="1"/>
      <c r="CP241" s="1"/>
      <c r="CQ241" s="1"/>
      <c r="CR241" s="1"/>
      <c r="CS241" s="1"/>
      <c r="CT241" s="1"/>
      <c r="CU241" s="1"/>
      <c r="CV241" s="1"/>
      <c r="CW241" s="1"/>
      <c r="CX241" s="1"/>
      <c r="CY241" s="1"/>
      <c r="CZ241" s="1"/>
      <c r="DA241" s="1"/>
      <c r="DB241" s="1"/>
      <c r="DC241" s="1"/>
      <c r="DD241" s="1"/>
      <c r="DE241" s="1"/>
      <c r="DF241" s="1"/>
      <c r="DG241" s="1"/>
      <c r="DH241" s="1"/>
      <c r="DI241" s="1"/>
      <c r="DJ241" s="1"/>
      <c r="DK241" s="1"/>
      <c r="DL241" s="1"/>
      <c r="DM241" s="1"/>
      <c r="DN241" s="1"/>
      <c r="DO241" s="1"/>
      <c r="DP241" s="1"/>
      <c r="DQ241" s="1"/>
      <c r="DR241" s="1"/>
      <c r="DS241" s="1"/>
      <c r="DT241" s="1"/>
      <c r="DU241" s="1"/>
      <c r="DV241" s="1"/>
      <c r="DW241" s="1"/>
      <c r="DX241" s="1"/>
      <c r="DY241" s="1"/>
      <c r="DZ241" s="1"/>
      <c r="EA241" s="1"/>
      <c r="EB241" s="1"/>
      <c r="EC241" s="1"/>
      <c r="ED241" s="1"/>
      <c r="EE241" s="1"/>
      <c r="EF241" s="1"/>
      <c r="EG241" s="1"/>
      <c r="EH241" s="1"/>
      <c r="EI241" s="1"/>
      <c r="EJ241" s="1"/>
      <c r="EK241" s="1"/>
      <c r="EL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c r="BW242" s="1"/>
      <c r="BX242" s="1"/>
      <c r="BY242" s="1"/>
      <c r="BZ242" s="1"/>
      <c r="CA242" s="1"/>
      <c r="CB242" s="1"/>
      <c r="CC242" s="1"/>
      <c r="CD242" s="1"/>
      <c r="CE242" s="1"/>
      <c r="CF242" s="1"/>
      <c r="CG242" s="1"/>
      <c r="CH242" s="1"/>
      <c r="CI242" s="1"/>
      <c r="CJ242" s="1"/>
      <c r="CK242" s="1"/>
      <c r="CL242" s="1"/>
      <c r="CM242" s="1"/>
      <c r="CN242" s="1"/>
      <c r="CO242" s="1"/>
      <c r="CP242" s="1"/>
      <c r="CQ242" s="1"/>
      <c r="CR242" s="1"/>
      <c r="CS242" s="1"/>
      <c r="CT242" s="1"/>
      <c r="CU242" s="1"/>
      <c r="CV242" s="1"/>
      <c r="CW242" s="1"/>
      <c r="CX242" s="1"/>
      <c r="CY242" s="1"/>
      <c r="CZ242" s="1"/>
      <c r="DA242" s="1"/>
      <c r="DB242" s="1"/>
      <c r="DC242" s="1"/>
      <c r="DD242" s="1"/>
      <c r="DE242" s="1"/>
      <c r="DF242" s="1"/>
      <c r="DG242" s="1"/>
      <c r="DH242" s="1"/>
      <c r="DI242" s="1"/>
      <c r="DJ242" s="1"/>
      <c r="DK242" s="1"/>
      <c r="DL242" s="1"/>
      <c r="DM242" s="1"/>
      <c r="DN242" s="1"/>
      <c r="DO242" s="1"/>
      <c r="DP242" s="1"/>
      <c r="DQ242" s="1"/>
      <c r="DR242" s="1"/>
      <c r="DS242" s="1"/>
      <c r="DT242" s="1"/>
      <c r="DU242" s="1"/>
      <c r="DV242" s="1"/>
      <c r="DW242" s="1"/>
      <c r="DX242" s="1"/>
      <c r="DY242" s="1"/>
      <c r="DZ242" s="1"/>
      <c r="EA242" s="1"/>
      <c r="EB242" s="1"/>
      <c r="EC242" s="1"/>
      <c r="ED242" s="1"/>
      <c r="EE242" s="1"/>
      <c r="EF242" s="1"/>
      <c r="EG242" s="1"/>
      <c r="EH242" s="1"/>
      <c r="EI242" s="1"/>
      <c r="EJ242" s="1"/>
      <c r="EK242" s="1"/>
      <c r="EL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c r="BW243" s="1"/>
      <c r="BX243" s="1"/>
      <c r="BY243" s="1"/>
      <c r="BZ243" s="1"/>
      <c r="CA243" s="1"/>
      <c r="CB243" s="1"/>
      <c r="CC243" s="1"/>
      <c r="CD243" s="1"/>
      <c r="CE243" s="1"/>
      <c r="CF243" s="1"/>
      <c r="CG243" s="1"/>
      <c r="CH243" s="1"/>
      <c r="CI243" s="1"/>
      <c r="CJ243" s="1"/>
      <c r="CK243" s="1"/>
      <c r="CL243" s="1"/>
      <c r="CM243" s="1"/>
      <c r="CN243" s="1"/>
      <c r="CO243" s="1"/>
      <c r="CP243" s="1"/>
      <c r="CQ243" s="1"/>
      <c r="CR243" s="1"/>
      <c r="CS243" s="1"/>
      <c r="CT243" s="1"/>
      <c r="CU243" s="1"/>
      <c r="CV243" s="1"/>
      <c r="CW243" s="1"/>
      <c r="CX243" s="1"/>
      <c r="CY243" s="1"/>
      <c r="CZ243" s="1"/>
      <c r="DA243" s="1"/>
      <c r="DB243" s="1"/>
      <c r="DC243" s="1"/>
      <c r="DD243" s="1"/>
      <c r="DE243" s="1"/>
      <c r="DF243" s="1"/>
      <c r="DG243" s="1"/>
      <c r="DH243" s="1"/>
      <c r="DI243" s="1"/>
      <c r="DJ243" s="1"/>
      <c r="DK243" s="1"/>
      <c r="DL243" s="1"/>
      <c r="DM243" s="1"/>
      <c r="DN243" s="1"/>
      <c r="DO243" s="1"/>
      <c r="DP243" s="1"/>
      <c r="DQ243" s="1"/>
      <c r="DR243" s="1"/>
      <c r="DS243" s="1"/>
      <c r="DT243" s="1"/>
      <c r="DU243" s="1"/>
      <c r="DV243" s="1"/>
      <c r="DW243" s="1"/>
      <c r="DX243" s="1"/>
      <c r="DY243" s="1"/>
      <c r="DZ243" s="1"/>
      <c r="EA243" s="1"/>
      <c r="EB243" s="1"/>
      <c r="EC243" s="1"/>
      <c r="ED243" s="1"/>
      <c r="EE243" s="1"/>
      <c r="EF243" s="1"/>
      <c r="EG243" s="1"/>
      <c r="EH243" s="1"/>
      <c r="EI243" s="1"/>
      <c r="EJ243" s="1"/>
      <c r="EK243" s="1"/>
      <c r="EL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c r="BS244" s="1"/>
      <c r="BT244" s="1"/>
      <c r="BU244" s="1"/>
      <c r="BV244" s="1"/>
      <c r="BW244" s="1"/>
      <c r="BX244" s="1"/>
      <c r="BY244" s="1"/>
      <c r="BZ244" s="1"/>
      <c r="CA244" s="1"/>
      <c r="CB244" s="1"/>
      <c r="CC244" s="1"/>
      <c r="CD244" s="1"/>
      <c r="CE244" s="1"/>
      <c r="CF244" s="1"/>
      <c r="CG244" s="1"/>
      <c r="CH244" s="1"/>
      <c r="CI244" s="1"/>
      <c r="CJ244" s="1"/>
      <c r="CK244" s="1"/>
      <c r="CL244" s="1"/>
      <c r="CM244" s="1"/>
      <c r="CN244" s="1"/>
      <c r="CO244" s="1"/>
      <c r="CP244" s="1"/>
      <c r="CQ244" s="1"/>
      <c r="CR244" s="1"/>
      <c r="CS244" s="1"/>
      <c r="CT244" s="1"/>
      <c r="CU244" s="1"/>
      <c r="CV244" s="1"/>
      <c r="CW244" s="1"/>
      <c r="CX244" s="1"/>
      <c r="CY244" s="1"/>
      <c r="CZ244" s="1"/>
      <c r="DA244" s="1"/>
      <c r="DB244" s="1"/>
      <c r="DC244" s="1"/>
      <c r="DD244" s="1"/>
      <c r="DE244" s="1"/>
      <c r="DF244" s="1"/>
      <c r="DG244" s="1"/>
      <c r="DH244" s="1"/>
      <c r="DI244" s="1"/>
      <c r="DJ244" s="1"/>
      <c r="DK244" s="1"/>
      <c r="DL244" s="1"/>
      <c r="DM244" s="1"/>
      <c r="DN244" s="1"/>
      <c r="DO244" s="1"/>
      <c r="DP244" s="1"/>
      <c r="DQ244" s="1"/>
      <c r="DR244" s="1"/>
      <c r="DS244" s="1"/>
      <c r="DT244" s="1"/>
      <c r="DU244" s="1"/>
      <c r="DV244" s="1"/>
      <c r="DW244" s="1"/>
      <c r="DX244" s="1"/>
      <c r="DY244" s="1"/>
      <c r="DZ244" s="1"/>
      <c r="EA244" s="1"/>
      <c r="EB244" s="1"/>
      <c r="EC244" s="1"/>
      <c r="ED244" s="1"/>
      <c r="EE244" s="1"/>
      <c r="EF244" s="1"/>
      <c r="EG244" s="1"/>
      <c r="EH244" s="1"/>
      <c r="EI244" s="1"/>
      <c r="EJ244" s="1"/>
      <c r="EK244" s="1"/>
      <c r="EL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c r="BW245" s="1"/>
      <c r="BX245" s="1"/>
      <c r="BY245" s="1"/>
      <c r="BZ245" s="1"/>
      <c r="CA245" s="1"/>
      <c r="CB245" s="1"/>
      <c r="CC245" s="1"/>
      <c r="CD245" s="1"/>
      <c r="CE245" s="1"/>
      <c r="CF245" s="1"/>
      <c r="CG245" s="1"/>
      <c r="CH245" s="1"/>
      <c r="CI245" s="1"/>
      <c r="CJ245" s="1"/>
      <c r="CK245" s="1"/>
      <c r="CL245" s="1"/>
      <c r="CM245" s="1"/>
      <c r="CN245" s="1"/>
      <c r="CO245" s="1"/>
      <c r="CP245" s="1"/>
      <c r="CQ245" s="1"/>
      <c r="CR245" s="1"/>
      <c r="CS245" s="1"/>
      <c r="CT245" s="1"/>
      <c r="CU245" s="1"/>
      <c r="CV245" s="1"/>
      <c r="CW245" s="1"/>
      <c r="CX245" s="1"/>
      <c r="CY245" s="1"/>
      <c r="CZ245" s="1"/>
      <c r="DA245" s="1"/>
      <c r="DB245" s="1"/>
      <c r="DC245" s="1"/>
      <c r="DD245" s="1"/>
      <c r="DE245" s="1"/>
      <c r="DF245" s="1"/>
      <c r="DG245" s="1"/>
      <c r="DH245" s="1"/>
      <c r="DI245" s="1"/>
      <c r="DJ245" s="1"/>
      <c r="DK245" s="1"/>
      <c r="DL245" s="1"/>
      <c r="DM245" s="1"/>
      <c r="DN245" s="1"/>
      <c r="DO245" s="1"/>
      <c r="DP245" s="1"/>
      <c r="DQ245" s="1"/>
      <c r="DR245" s="1"/>
      <c r="DS245" s="1"/>
      <c r="DT245" s="1"/>
      <c r="DU245" s="1"/>
      <c r="DV245" s="1"/>
      <c r="DW245" s="1"/>
      <c r="DX245" s="1"/>
      <c r="DY245" s="1"/>
      <c r="DZ245" s="1"/>
      <c r="EA245" s="1"/>
      <c r="EB245" s="1"/>
      <c r="EC245" s="1"/>
      <c r="ED245" s="1"/>
      <c r="EE245" s="1"/>
      <c r="EF245" s="1"/>
      <c r="EG245" s="1"/>
      <c r="EH245" s="1"/>
      <c r="EI245" s="1"/>
      <c r="EJ245" s="1"/>
      <c r="EK245" s="1"/>
      <c r="EL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c r="BS246" s="1"/>
      <c r="BT246" s="1"/>
      <c r="BU246" s="1"/>
      <c r="BV246" s="1"/>
      <c r="BW246" s="1"/>
      <c r="BX246" s="1"/>
      <c r="BY246" s="1"/>
      <c r="BZ246" s="1"/>
      <c r="CA246" s="1"/>
      <c r="CB246" s="1"/>
      <c r="CC246" s="1"/>
      <c r="CD246" s="1"/>
      <c r="CE246" s="1"/>
      <c r="CF246" s="1"/>
      <c r="CG246" s="1"/>
      <c r="CH246" s="1"/>
      <c r="CI246" s="1"/>
      <c r="CJ246" s="1"/>
      <c r="CK246" s="1"/>
      <c r="CL246" s="1"/>
      <c r="CM246" s="1"/>
      <c r="CN246" s="1"/>
      <c r="CO246" s="1"/>
      <c r="CP246" s="1"/>
      <c r="CQ246" s="1"/>
      <c r="CR246" s="1"/>
      <c r="CS246" s="1"/>
      <c r="CT246" s="1"/>
      <c r="CU246" s="1"/>
      <c r="CV246" s="1"/>
      <c r="CW246" s="1"/>
      <c r="CX246" s="1"/>
      <c r="CY246" s="1"/>
      <c r="CZ246" s="1"/>
      <c r="DA246" s="1"/>
      <c r="DB246" s="1"/>
      <c r="DC246" s="1"/>
      <c r="DD246" s="1"/>
      <c r="DE246" s="1"/>
      <c r="DF246" s="1"/>
      <c r="DG246" s="1"/>
      <c r="DH246" s="1"/>
      <c r="DI246" s="1"/>
      <c r="DJ246" s="1"/>
      <c r="DK246" s="1"/>
      <c r="DL246" s="1"/>
      <c r="DM246" s="1"/>
      <c r="DN246" s="1"/>
      <c r="DO246" s="1"/>
      <c r="DP246" s="1"/>
      <c r="DQ246" s="1"/>
      <c r="DR246" s="1"/>
      <c r="DS246" s="1"/>
      <c r="DT246" s="1"/>
      <c r="DU246" s="1"/>
      <c r="DV246" s="1"/>
      <c r="DW246" s="1"/>
      <c r="DX246" s="1"/>
      <c r="DY246" s="1"/>
      <c r="DZ246" s="1"/>
      <c r="EA246" s="1"/>
      <c r="EB246" s="1"/>
      <c r="EC246" s="1"/>
      <c r="ED246" s="1"/>
      <c r="EE246" s="1"/>
      <c r="EF246" s="1"/>
      <c r="EG246" s="1"/>
      <c r="EH246" s="1"/>
      <c r="EI246" s="1"/>
      <c r="EJ246" s="1"/>
      <c r="EK246" s="1"/>
      <c r="EL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c r="BS247" s="1"/>
      <c r="BT247" s="1"/>
      <c r="BU247" s="1"/>
      <c r="BV247" s="1"/>
      <c r="BW247" s="1"/>
      <c r="BX247" s="1"/>
      <c r="BY247" s="1"/>
      <c r="BZ247" s="1"/>
      <c r="CA247" s="1"/>
      <c r="CB247" s="1"/>
      <c r="CC247" s="1"/>
      <c r="CD247" s="1"/>
      <c r="CE247" s="1"/>
      <c r="CF247" s="1"/>
      <c r="CG247" s="1"/>
      <c r="CH247" s="1"/>
      <c r="CI247" s="1"/>
      <c r="CJ247" s="1"/>
      <c r="CK247" s="1"/>
      <c r="CL247" s="1"/>
      <c r="CM247" s="1"/>
      <c r="CN247" s="1"/>
      <c r="CO247" s="1"/>
      <c r="CP247" s="1"/>
      <c r="CQ247" s="1"/>
      <c r="CR247" s="1"/>
      <c r="CS247" s="1"/>
      <c r="CT247" s="1"/>
      <c r="CU247" s="1"/>
      <c r="CV247" s="1"/>
      <c r="CW247" s="1"/>
      <c r="CX247" s="1"/>
      <c r="CY247" s="1"/>
      <c r="CZ247" s="1"/>
      <c r="DA247" s="1"/>
      <c r="DB247" s="1"/>
      <c r="DC247" s="1"/>
      <c r="DD247" s="1"/>
      <c r="DE247" s="1"/>
      <c r="DF247" s="1"/>
      <c r="DG247" s="1"/>
      <c r="DH247" s="1"/>
      <c r="DI247" s="1"/>
      <c r="DJ247" s="1"/>
      <c r="DK247" s="1"/>
      <c r="DL247" s="1"/>
      <c r="DM247" s="1"/>
      <c r="DN247" s="1"/>
      <c r="DO247" s="1"/>
      <c r="DP247" s="1"/>
      <c r="DQ247" s="1"/>
      <c r="DR247" s="1"/>
      <c r="DS247" s="1"/>
      <c r="DT247" s="1"/>
      <c r="DU247" s="1"/>
      <c r="DV247" s="1"/>
      <c r="DW247" s="1"/>
      <c r="DX247" s="1"/>
      <c r="DY247" s="1"/>
      <c r="DZ247" s="1"/>
      <c r="EA247" s="1"/>
      <c r="EB247" s="1"/>
      <c r="EC247" s="1"/>
      <c r="ED247" s="1"/>
      <c r="EE247" s="1"/>
      <c r="EF247" s="1"/>
      <c r="EG247" s="1"/>
      <c r="EH247" s="1"/>
      <c r="EI247" s="1"/>
      <c r="EJ247" s="1"/>
      <c r="EK247" s="1"/>
      <c r="EL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c r="BS248" s="1"/>
      <c r="BT248" s="1"/>
      <c r="BU248" s="1"/>
      <c r="BV248" s="1"/>
      <c r="BW248" s="1"/>
      <c r="BX248" s="1"/>
      <c r="BY248" s="1"/>
      <c r="BZ248" s="1"/>
      <c r="CA248" s="1"/>
      <c r="CB248" s="1"/>
      <c r="CC248" s="1"/>
      <c r="CD248" s="1"/>
      <c r="CE248" s="1"/>
      <c r="CF248" s="1"/>
      <c r="CG248" s="1"/>
      <c r="CH248" s="1"/>
      <c r="CI248" s="1"/>
      <c r="CJ248" s="1"/>
      <c r="CK248" s="1"/>
      <c r="CL248" s="1"/>
      <c r="CM248" s="1"/>
      <c r="CN248" s="1"/>
      <c r="CO248" s="1"/>
      <c r="CP248" s="1"/>
      <c r="CQ248" s="1"/>
      <c r="CR248" s="1"/>
      <c r="CS248" s="1"/>
      <c r="CT248" s="1"/>
      <c r="CU248" s="1"/>
      <c r="CV248" s="1"/>
      <c r="CW248" s="1"/>
      <c r="CX248" s="1"/>
      <c r="CY248" s="1"/>
      <c r="CZ248" s="1"/>
      <c r="DA248" s="1"/>
      <c r="DB248" s="1"/>
      <c r="DC248" s="1"/>
      <c r="DD248" s="1"/>
      <c r="DE248" s="1"/>
      <c r="DF248" s="1"/>
      <c r="DG248" s="1"/>
      <c r="DH248" s="1"/>
      <c r="DI248" s="1"/>
      <c r="DJ248" s="1"/>
      <c r="DK248" s="1"/>
      <c r="DL248" s="1"/>
      <c r="DM248" s="1"/>
      <c r="DN248" s="1"/>
      <c r="DO248" s="1"/>
      <c r="DP248" s="1"/>
      <c r="DQ248" s="1"/>
      <c r="DR248" s="1"/>
      <c r="DS248" s="1"/>
      <c r="DT248" s="1"/>
      <c r="DU248" s="1"/>
      <c r="DV248" s="1"/>
      <c r="DW248" s="1"/>
      <c r="DX248" s="1"/>
      <c r="DY248" s="1"/>
      <c r="DZ248" s="1"/>
      <c r="EA248" s="1"/>
      <c r="EB248" s="1"/>
      <c r="EC248" s="1"/>
      <c r="ED248" s="1"/>
      <c r="EE248" s="1"/>
      <c r="EF248" s="1"/>
      <c r="EG248" s="1"/>
      <c r="EH248" s="1"/>
      <c r="EI248" s="1"/>
      <c r="EJ248" s="1"/>
      <c r="EK248" s="1"/>
      <c r="EL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c r="BS249" s="1"/>
      <c r="BT249" s="1"/>
      <c r="BU249" s="1"/>
      <c r="BV249" s="1"/>
      <c r="BW249" s="1"/>
      <c r="BX249" s="1"/>
      <c r="BY249" s="1"/>
      <c r="BZ249" s="1"/>
      <c r="CA249" s="1"/>
      <c r="CB249" s="1"/>
      <c r="CC249" s="1"/>
      <c r="CD249" s="1"/>
      <c r="CE249" s="1"/>
      <c r="CF249" s="1"/>
      <c r="CG249" s="1"/>
      <c r="CH249" s="1"/>
      <c r="CI249" s="1"/>
      <c r="CJ249" s="1"/>
      <c r="CK249" s="1"/>
      <c r="CL249" s="1"/>
      <c r="CM249" s="1"/>
      <c r="CN249" s="1"/>
      <c r="CO249" s="1"/>
      <c r="CP249" s="1"/>
      <c r="CQ249" s="1"/>
      <c r="CR249" s="1"/>
      <c r="CS249" s="1"/>
      <c r="CT249" s="1"/>
      <c r="CU249" s="1"/>
      <c r="CV249" s="1"/>
      <c r="CW249" s="1"/>
      <c r="CX249" s="1"/>
      <c r="CY249" s="1"/>
      <c r="CZ249" s="1"/>
      <c r="DA249" s="1"/>
      <c r="DB249" s="1"/>
      <c r="DC249" s="1"/>
      <c r="DD249" s="1"/>
      <c r="DE249" s="1"/>
      <c r="DF249" s="1"/>
      <c r="DG249" s="1"/>
      <c r="DH249" s="1"/>
      <c r="DI249" s="1"/>
      <c r="DJ249" s="1"/>
      <c r="DK249" s="1"/>
      <c r="DL249" s="1"/>
      <c r="DM249" s="1"/>
      <c r="DN249" s="1"/>
      <c r="DO249" s="1"/>
      <c r="DP249" s="1"/>
      <c r="DQ249" s="1"/>
      <c r="DR249" s="1"/>
      <c r="DS249" s="1"/>
      <c r="DT249" s="1"/>
      <c r="DU249" s="1"/>
      <c r="DV249" s="1"/>
      <c r="DW249" s="1"/>
      <c r="DX249" s="1"/>
      <c r="DY249" s="1"/>
      <c r="DZ249" s="1"/>
      <c r="EA249" s="1"/>
      <c r="EB249" s="1"/>
      <c r="EC249" s="1"/>
      <c r="ED249" s="1"/>
      <c r="EE249" s="1"/>
      <c r="EF249" s="1"/>
      <c r="EG249" s="1"/>
      <c r="EH249" s="1"/>
      <c r="EI249" s="1"/>
      <c r="EJ249" s="1"/>
      <c r="EK249" s="1"/>
      <c r="EL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c r="BS250" s="1"/>
      <c r="BT250" s="1"/>
      <c r="BU250" s="1"/>
      <c r="BV250" s="1"/>
      <c r="BW250" s="1"/>
      <c r="BX250" s="1"/>
      <c r="BY250" s="1"/>
      <c r="BZ250" s="1"/>
      <c r="CA250" s="1"/>
      <c r="CB250" s="1"/>
      <c r="CC250" s="1"/>
      <c r="CD250" s="1"/>
      <c r="CE250" s="1"/>
      <c r="CF250" s="1"/>
      <c r="CG250" s="1"/>
      <c r="CH250" s="1"/>
      <c r="CI250" s="1"/>
      <c r="CJ250" s="1"/>
      <c r="CK250" s="1"/>
      <c r="CL250" s="1"/>
      <c r="CM250" s="1"/>
      <c r="CN250" s="1"/>
      <c r="CO250" s="1"/>
      <c r="CP250" s="1"/>
      <c r="CQ250" s="1"/>
      <c r="CR250" s="1"/>
      <c r="CS250" s="1"/>
      <c r="CT250" s="1"/>
      <c r="CU250" s="1"/>
      <c r="CV250" s="1"/>
      <c r="CW250" s="1"/>
      <c r="CX250" s="1"/>
      <c r="CY250" s="1"/>
      <c r="CZ250" s="1"/>
      <c r="DA250" s="1"/>
      <c r="DB250" s="1"/>
      <c r="DC250" s="1"/>
      <c r="DD250" s="1"/>
      <c r="DE250" s="1"/>
      <c r="DF250" s="1"/>
      <c r="DG250" s="1"/>
      <c r="DH250" s="1"/>
      <c r="DI250" s="1"/>
      <c r="DJ250" s="1"/>
      <c r="DK250" s="1"/>
      <c r="DL250" s="1"/>
      <c r="DM250" s="1"/>
      <c r="DN250" s="1"/>
      <c r="DO250" s="1"/>
      <c r="DP250" s="1"/>
      <c r="DQ250" s="1"/>
      <c r="DR250" s="1"/>
      <c r="DS250" s="1"/>
      <c r="DT250" s="1"/>
      <c r="DU250" s="1"/>
      <c r="DV250" s="1"/>
      <c r="DW250" s="1"/>
      <c r="DX250" s="1"/>
      <c r="DY250" s="1"/>
      <c r="DZ250" s="1"/>
      <c r="EA250" s="1"/>
      <c r="EB250" s="1"/>
      <c r="EC250" s="1"/>
      <c r="ED250" s="1"/>
      <c r="EE250" s="1"/>
      <c r="EF250" s="1"/>
      <c r="EG250" s="1"/>
      <c r="EH250" s="1"/>
      <c r="EI250" s="1"/>
      <c r="EJ250" s="1"/>
      <c r="EK250" s="1"/>
      <c r="EL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c r="BS251" s="1"/>
      <c r="BT251" s="1"/>
      <c r="BU251" s="1"/>
      <c r="BV251" s="1"/>
      <c r="BW251" s="1"/>
      <c r="BX251" s="1"/>
      <c r="BY251" s="1"/>
      <c r="BZ251" s="1"/>
      <c r="CA251" s="1"/>
      <c r="CB251" s="1"/>
      <c r="CC251" s="1"/>
      <c r="CD251" s="1"/>
      <c r="CE251" s="1"/>
      <c r="CF251" s="1"/>
      <c r="CG251" s="1"/>
      <c r="CH251" s="1"/>
      <c r="CI251" s="1"/>
      <c r="CJ251" s="1"/>
      <c r="CK251" s="1"/>
      <c r="CL251" s="1"/>
      <c r="CM251" s="1"/>
      <c r="CN251" s="1"/>
      <c r="CO251" s="1"/>
      <c r="CP251" s="1"/>
      <c r="CQ251" s="1"/>
      <c r="CR251" s="1"/>
      <c r="CS251" s="1"/>
      <c r="CT251" s="1"/>
      <c r="CU251" s="1"/>
      <c r="CV251" s="1"/>
      <c r="CW251" s="1"/>
      <c r="CX251" s="1"/>
      <c r="CY251" s="1"/>
      <c r="CZ251" s="1"/>
      <c r="DA251" s="1"/>
      <c r="DB251" s="1"/>
      <c r="DC251" s="1"/>
      <c r="DD251" s="1"/>
      <c r="DE251" s="1"/>
      <c r="DF251" s="1"/>
      <c r="DG251" s="1"/>
      <c r="DH251" s="1"/>
      <c r="DI251" s="1"/>
      <c r="DJ251" s="1"/>
      <c r="DK251" s="1"/>
      <c r="DL251" s="1"/>
      <c r="DM251" s="1"/>
      <c r="DN251" s="1"/>
      <c r="DO251" s="1"/>
      <c r="DP251" s="1"/>
      <c r="DQ251" s="1"/>
      <c r="DR251" s="1"/>
      <c r="DS251" s="1"/>
      <c r="DT251" s="1"/>
      <c r="DU251" s="1"/>
      <c r="DV251" s="1"/>
      <c r="DW251" s="1"/>
      <c r="DX251" s="1"/>
      <c r="DY251" s="1"/>
      <c r="DZ251" s="1"/>
      <c r="EA251" s="1"/>
      <c r="EB251" s="1"/>
      <c r="EC251" s="1"/>
      <c r="ED251" s="1"/>
      <c r="EE251" s="1"/>
      <c r="EF251" s="1"/>
      <c r="EG251" s="1"/>
      <c r="EH251" s="1"/>
      <c r="EI251" s="1"/>
      <c r="EJ251" s="1"/>
      <c r="EK251" s="1"/>
      <c r="EL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c r="BS252" s="1"/>
      <c r="BT252" s="1"/>
      <c r="BU252" s="1"/>
      <c r="BV252" s="1"/>
      <c r="BW252" s="1"/>
      <c r="BX252" s="1"/>
      <c r="BY252" s="1"/>
      <c r="BZ252" s="1"/>
      <c r="CA252" s="1"/>
      <c r="CB252" s="1"/>
      <c r="CC252" s="1"/>
      <c r="CD252" s="1"/>
      <c r="CE252" s="1"/>
      <c r="CF252" s="1"/>
      <c r="CG252" s="1"/>
      <c r="CH252" s="1"/>
      <c r="CI252" s="1"/>
      <c r="CJ252" s="1"/>
      <c r="CK252" s="1"/>
      <c r="CL252" s="1"/>
      <c r="CM252" s="1"/>
      <c r="CN252" s="1"/>
      <c r="CO252" s="1"/>
      <c r="CP252" s="1"/>
      <c r="CQ252" s="1"/>
      <c r="CR252" s="1"/>
      <c r="CS252" s="1"/>
      <c r="CT252" s="1"/>
      <c r="CU252" s="1"/>
      <c r="CV252" s="1"/>
      <c r="CW252" s="1"/>
      <c r="CX252" s="1"/>
      <c r="CY252" s="1"/>
      <c r="CZ252" s="1"/>
      <c r="DA252" s="1"/>
      <c r="DB252" s="1"/>
      <c r="DC252" s="1"/>
      <c r="DD252" s="1"/>
      <c r="DE252" s="1"/>
      <c r="DF252" s="1"/>
      <c r="DG252" s="1"/>
      <c r="DH252" s="1"/>
      <c r="DI252" s="1"/>
      <c r="DJ252" s="1"/>
      <c r="DK252" s="1"/>
      <c r="DL252" s="1"/>
      <c r="DM252" s="1"/>
      <c r="DN252" s="1"/>
      <c r="DO252" s="1"/>
      <c r="DP252" s="1"/>
      <c r="DQ252" s="1"/>
      <c r="DR252" s="1"/>
      <c r="DS252" s="1"/>
      <c r="DT252" s="1"/>
      <c r="DU252" s="1"/>
      <c r="DV252" s="1"/>
      <c r="DW252" s="1"/>
      <c r="DX252" s="1"/>
      <c r="DY252" s="1"/>
      <c r="DZ252" s="1"/>
      <c r="EA252" s="1"/>
      <c r="EB252" s="1"/>
      <c r="EC252" s="1"/>
      <c r="ED252" s="1"/>
      <c r="EE252" s="1"/>
      <c r="EF252" s="1"/>
      <c r="EG252" s="1"/>
      <c r="EH252" s="1"/>
      <c r="EI252" s="1"/>
      <c r="EJ252" s="1"/>
      <c r="EK252" s="1"/>
      <c r="EL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c r="BS253" s="1"/>
      <c r="BT253" s="1"/>
      <c r="BU253" s="1"/>
      <c r="BV253" s="1"/>
      <c r="BW253" s="1"/>
      <c r="BX253" s="1"/>
      <c r="BY253" s="1"/>
      <c r="BZ253" s="1"/>
      <c r="CA253" s="1"/>
      <c r="CB253" s="1"/>
      <c r="CC253" s="1"/>
      <c r="CD253" s="1"/>
      <c r="CE253" s="1"/>
      <c r="CF253" s="1"/>
      <c r="CG253" s="1"/>
      <c r="CH253" s="1"/>
      <c r="CI253" s="1"/>
      <c r="CJ253" s="1"/>
      <c r="CK253" s="1"/>
      <c r="CL253" s="1"/>
      <c r="CM253" s="1"/>
      <c r="CN253" s="1"/>
      <c r="CO253" s="1"/>
      <c r="CP253" s="1"/>
      <c r="CQ253" s="1"/>
      <c r="CR253" s="1"/>
      <c r="CS253" s="1"/>
      <c r="CT253" s="1"/>
      <c r="CU253" s="1"/>
      <c r="CV253" s="1"/>
      <c r="CW253" s="1"/>
      <c r="CX253" s="1"/>
      <c r="CY253" s="1"/>
      <c r="CZ253" s="1"/>
      <c r="DA253" s="1"/>
      <c r="DB253" s="1"/>
      <c r="DC253" s="1"/>
      <c r="DD253" s="1"/>
      <c r="DE253" s="1"/>
      <c r="DF253" s="1"/>
      <c r="DG253" s="1"/>
      <c r="DH253" s="1"/>
      <c r="DI253" s="1"/>
      <c r="DJ253" s="1"/>
      <c r="DK253" s="1"/>
      <c r="DL253" s="1"/>
      <c r="DM253" s="1"/>
      <c r="DN253" s="1"/>
      <c r="DO253" s="1"/>
      <c r="DP253" s="1"/>
      <c r="DQ253" s="1"/>
      <c r="DR253" s="1"/>
      <c r="DS253" s="1"/>
      <c r="DT253" s="1"/>
      <c r="DU253" s="1"/>
      <c r="DV253" s="1"/>
      <c r="DW253" s="1"/>
      <c r="DX253" s="1"/>
      <c r="DY253" s="1"/>
      <c r="DZ253" s="1"/>
      <c r="EA253" s="1"/>
      <c r="EB253" s="1"/>
      <c r="EC253" s="1"/>
      <c r="ED253" s="1"/>
      <c r="EE253" s="1"/>
      <c r="EF253" s="1"/>
      <c r="EG253" s="1"/>
      <c r="EH253" s="1"/>
      <c r="EI253" s="1"/>
      <c r="EJ253" s="1"/>
      <c r="EK253" s="1"/>
      <c r="EL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c r="BS254" s="1"/>
      <c r="BT254" s="1"/>
      <c r="BU254" s="1"/>
      <c r="BV254" s="1"/>
      <c r="BW254" s="1"/>
      <c r="BX254" s="1"/>
      <c r="BY254" s="1"/>
      <c r="BZ254" s="1"/>
      <c r="CA254" s="1"/>
      <c r="CB254" s="1"/>
      <c r="CC254" s="1"/>
      <c r="CD254" s="1"/>
      <c r="CE254" s="1"/>
      <c r="CF254" s="1"/>
      <c r="CG254" s="1"/>
      <c r="CH254" s="1"/>
      <c r="CI254" s="1"/>
      <c r="CJ254" s="1"/>
      <c r="CK254" s="1"/>
      <c r="CL254" s="1"/>
      <c r="CM254" s="1"/>
      <c r="CN254" s="1"/>
      <c r="CO254" s="1"/>
      <c r="CP254" s="1"/>
      <c r="CQ254" s="1"/>
      <c r="CR254" s="1"/>
      <c r="CS254" s="1"/>
      <c r="CT254" s="1"/>
      <c r="CU254" s="1"/>
      <c r="CV254" s="1"/>
      <c r="CW254" s="1"/>
      <c r="CX254" s="1"/>
      <c r="CY254" s="1"/>
      <c r="CZ254" s="1"/>
      <c r="DA254" s="1"/>
      <c r="DB254" s="1"/>
      <c r="DC254" s="1"/>
      <c r="DD254" s="1"/>
      <c r="DE254" s="1"/>
      <c r="DF254" s="1"/>
      <c r="DG254" s="1"/>
      <c r="DH254" s="1"/>
      <c r="DI254" s="1"/>
      <c r="DJ254" s="1"/>
      <c r="DK254" s="1"/>
      <c r="DL254" s="1"/>
      <c r="DM254" s="1"/>
      <c r="DN254" s="1"/>
      <c r="DO254" s="1"/>
      <c r="DP254" s="1"/>
      <c r="DQ254" s="1"/>
      <c r="DR254" s="1"/>
      <c r="DS254" s="1"/>
      <c r="DT254" s="1"/>
      <c r="DU254" s="1"/>
      <c r="DV254" s="1"/>
      <c r="DW254" s="1"/>
      <c r="DX254" s="1"/>
      <c r="DY254" s="1"/>
      <c r="DZ254" s="1"/>
      <c r="EA254" s="1"/>
      <c r="EB254" s="1"/>
      <c r="EC254" s="1"/>
      <c r="ED254" s="1"/>
      <c r="EE254" s="1"/>
      <c r="EF254" s="1"/>
      <c r="EG254" s="1"/>
      <c r="EH254" s="1"/>
      <c r="EI254" s="1"/>
      <c r="EJ254" s="1"/>
      <c r="EK254" s="1"/>
      <c r="EL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c r="BS255" s="1"/>
      <c r="BT255" s="1"/>
      <c r="BU255" s="1"/>
      <c r="BV255" s="1"/>
      <c r="BW255" s="1"/>
      <c r="BX255" s="1"/>
      <c r="BY255" s="1"/>
      <c r="BZ255" s="1"/>
      <c r="CA255" s="1"/>
      <c r="CB255" s="1"/>
      <c r="CC255" s="1"/>
      <c r="CD255" s="1"/>
      <c r="CE255" s="1"/>
      <c r="CF255" s="1"/>
      <c r="CG255" s="1"/>
      <c r="CH255" s="1"/>
      <c r="CI255" s="1"/>
      <c r="CJ255" s="1"/>
      <c r="CK255" s="1"/>
      <c r="CL255" s="1"/>
      <c r="CM255" s="1"/>
      <c r="CN255" s="1"/>
      <c r="CO255" s="1"/>
      <c r="CP255" s="1"/>
      <c r="CQ255" s="1"/>
      <c r="CR255" s="1"/>
      <c r="CS255" s="1"/>
      <c r="CT255" s="1"/>
      <c r="CU255" s="1"/>
      <c r="CV255" s="1"/>
      <c r="CW255" s="1"/>
      <c r="CX255" s="1"/>
      <c r="CY255" s="1"/>
      <c r="CZ255" s="1"/>
      <c r="DA255" s="1"/>
      <c r="DB255" s="1"/>
      <c r="DC255" s="1"/>
      <c r="DD255" s="1"/>
      <c r="DE255" s="1"/>
      <c r="DF255" s="1"/>
      <c r="DG255" s="1"/>
      <c r="DH255" s="1"/>
      <c r="DI255" s="1"/>
      <c r="DJ255" s="1"/>
      <c r="DK255" s="1"/>
      <c r="DL255" s="1"/>
      <c r="DM255" s="1"/>
      <c r="DN255" s="1"/>
      <c r="DO255" s="1"/>
      <c r="DP255" s="1"/>
      <c r="DQ255" s="1"/>
      <c r="DR255" s="1"/>
      <c r="DS255" s="1"/>
      <c r="DT255" s="1"/>
      <c r="DU255" s="1"/>
      <c r="DV255" s="1"/>
      <c r="DW255" s="1"/>
      <c r="DX255" s="1"/>
      <c r="DY255" s="1"/>
      <c r="DZ255" s="1"/>
      <c r="EA255" s="1"/>
      <c r="EB255" s="1"/>
      <c r="EC255" s="1"/>
      <c r="ED255" s="1"/>
      <c r="EE255" s="1"/>
      <c r="EF255" s="1"/>
      <c r="EG255" s="1"/>
      <c r="EH255" s="1"/>
      <c r="EI255" s="1"/>
      <c r="EJ255" s="1"/>
      <c r="EK255" s="1"/>
      <c r="EL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c r="BS256" s="1"/>
      <c r="BT256" s="1"/>
      <c r="BU256" s="1"/>
      <c r="BV256" s="1"/>
      <c r="BW256" s="1"/>
      <c r="BX256" s="1"/>
      <c r="BY256" s="1"/>
      <c r="BZ256" s="1"/>
      <c r="CA256" s="1"/>
      <c r="CB256" s="1"/>
      <c r="CC256" s="1"/>
      <c r="CD256" s="1"/>
      <c r="CE256" s="1"/>
      <c r="CF256" s="1"/>
      <c r="CG256" s="1"/>
      <c r="CH256" s="1"/>
      <c r="CI256" s="1"/>
      <c r="CJ256" s="1"/>
      <c r="CK256" s="1"/>
      <c r="CL256" s="1"/>
      <c r="CM256" s="1"/>
      <c r="CN256" s="1"/>
      <c r="CO256" s="1"/>
      <c r="CP256" s="1"/>
      <c r="CQ256" s="1"/>
      <c r="CR256" s="1"/>
      <c r="CS256" s="1"/>
      <c r="CT256" s="1"/>
      <c r="CU256" s="1"/>
      <c r="CV256" s="1"/>
      <c r="CW256" s="1"/>
      <c r="CX256" s="1"/>
      <c r="CY256" s="1"/>
      <c r="CZ256" s="1"/>
      <c r="DA256" s="1"/>
      <c r="DB256" s="1"/>
      <c r="DC256" s="1"/>
      <c r="DD256" s="1"/>
      <c r="DE256" s="1"/>
      <c r="DF256" s="1"/>
      <c r="DG256" s="1"/>
      <c r="DH256" s="1"/>
      <c r="DI256" s="1"/>
      <c r="DJ256" s="1"/>
      <c r="DK256" s="1"/>
      <c r="DL256" s="1"/>
      <c r="DM256" s="1"/>
      <c r="DN256" s="1"/>
      <c r="DO256" s="1"/>
      <c r="DP256" s="1"/>
      <c r="DQ256" s="1"/>
      <c r="DR256" s="1"/>
      <c r="DS256" s="1"/>
      <c r="DT256" s="1"/>
      <c r="DU256" s="1"/>
      <c r="DV256" s="1"/>
      <c r="DW256" s="1"/>
      <c r="DX256" s="1"/>
      <c r="DY256" s="1"/>
      <c r="DZ256" s="1"/>
      <c r="EA256" s="1"/>
      <c r="EB256" s="1"/>
      <c r="EC256" s="1"/>
      <c r="ED256" s="1"/>
      <c r="EE256" s="1"/>
      <c r="EF256" s="1"/>
      <c r="EG256" s="1"/>
      <c r="EH256" s="1"/>
      <c r="EI256" s="1"/>
      <c r="EJ256" s="1"/>
      <c r="EK256" s="1"/>
      <c r="EL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c r="BS257" s="1"/>
      <c r="BT257" s="1"/>
      <c r="BU257" s="1"/>
      <c r="BV257" s="1"/>
      <c r="BW257" s="1"/>
      <c r="BX257" s="1"/>
      <c r="BY257" s="1"/>
      <c r="BZ257" s="1"/>
      <c r="CA257" s="1"/>
      <c r="CB257" s="1"/>
      <c r="CC257" s="1"/>
      <c r="CD257" s="1"/>
      <c r="CE257" s="1"/>
      <c r="CF257" s="1"/>
      <c r="CG257" s="1"/>
      <c r="CH257" s="1"/>
      <c r="CI257" s="1"/>
      <c r="CJ257" s="1"/>
      <c r="CK257" s="1"/>
      <c r="CL257" s="1"/>
      <c r="CM257" s="1"/>
      <c r="CN257" s="1"/>
      <c r="CO257" s="1"/>
      <c r="CP257" s="1"/>
      <c r="CQ257" s="1"/>
      <c r="CR257" s="1"/>
      <c r="CS257" s="1"/>
      <c r="CT257" s="1"/>
      <c r="CU257" s="1"/>
      <c r="CV257" s="1"/>
      <c r="CW257" s="1"/>
      <c r="CX257" s="1"/>
      <c r="CY257" s="1"/>
      <c r="CZ257" s="1"/>
      <c r="DA257" s="1"/>
      <c r="DB257" s="1"/>
      <c r="DC257" s="1"/>
      <c r="DD257" s="1"/>
      <c r="DE257" s="1"/>
      <c r="DF257" s="1"/>
      <c r="DG257" s="1"/>
      <c r="DH257" s="1"/>
      <c r="DI257" s="1"/>
      <c r="DJ257" s="1"/>
      <c r="DK257" s="1"/>
      <c r="DL257" s="1"/>
      <c r="DM257" s="1"/>
      <c r="DN257" s="1"/>
      <c r="DO257" s="1"/>
      <c r="DP257" s="1"/>
      <c r="DQ257" s="1"/>
      <c r="DR257" s="1"/>
      <c r="DS257" s="1"/>
      <c r="DT257" s="1"/>
      <c r="DU257" s="1"/>
      <c r="DV257" s="1"/>
      <c r="DW257" s="1"/>
      <c r="DX257" s="1"/>
      <c r="DY257" s="1"/>
      <c r="DZ257" s="1"/>
      <c r="EA257" s="1"/>
      <c r="EB257" s="1"/>
      <c r="EC257" s="1"/>
      <c r="ED257" s="1"/>
      <c r="EE257" s="1"/>
      <c r="EF257" s="1"/>
      <c r="EG257" s="1"/>
      <c r="EH257" s="1"/>
      <c r="EI257" s="1"/>
      <c r="EJ257" s="1"/>
      <c r="EK257" s="1"/>
      <c r="EL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c r="BS258" s="1"/>
      <c r="BT258" s="1"/>
      <c r="BU258" s="1"/>
      <c r="BV258" s="1"/>
      <c r="BW258" s="1"/>
      <c r="BX258" s="1"/>
      <c r="BY258" s="1"/>
      <c r="BZ258" s="1"/>
      <c r="CA258" s="1"/>
      <c r="CB258" s="1"/>
      <c r="CC258" s="1"/>
      <c r="CD258" s="1"/>
      <c r="CE258" s="1"/>
      <c r="CF258" s="1"/>
      <c r="CG258" s="1"/>
      <c r="CH258" s="1"/>
      <c r="CI258" s="1"/>
      <c r="CJ258" s="1"/>
      <c r="CK258" s="1"/>
      <c r="CL258" s="1"/>
      <c r="CM258" s="1"/>
      <c r="CN258" s="1"/>
      <c r="CO258" s="1"/>
      <c r="CP258" s="1"/>
      <c r="CQ258" s="1"/>
      <c r="CR258" s="1"/>
      <c r="CS258" s="1"/>
      <c r="CT258" s="1"/>
      <c r="CU258" s="1"/>
      <c r="CV258" s="1"/>
      <c r="CW258" s="1"/>
      <c r="CX258" s="1"/>
      <c r="CY258" s="1"/>
      <c r="CZ258" s="1"/>
      <c r="DA258" s="1"/>
      <c r="DB258" s="1"/>
      <c r="DC258" s="1"/>
      <c r="DD258" s="1"/>
      <c r="DE258" s="1"/>
      <c r="DF258" s="1"/>
      <c r="DG258" s="1"/>
      <c r="DH258" s="1"/>
      <c r="DI258" s="1"/>
      <c r="DJ258" s="1"/>
      <c r="DK258" s="1"/>
      <c r="DL258" s="1"/>
      <c r="DM258" s="1"/>
      <c r="DN258" s="1"/>
      <c r="DO258" s="1"/>
      <c r="DP258" s="1"/>
      <c r="DQ258" s="1"/>
      <c r="DR258" s="1"/>
      <c r="DS258" s="1"/>
      <c r="DT258" s="1"/>
      <c r="DU258" s="1"/>
      <c r="DV258" s="1"/>
      <c r="DW258" s="1"/>
      <c r="DX258" s="1"/>
      <c r="DY258" s="1"/>
      <c r="DZ258" s="1"/>
      <c r="EA258" s="1"/>
      <c r="EB258" s="1"/>
      <c r="EC258" s="1"/>
      <c r="ED258" s="1"/>
      <c r="EE258" s="1"/>
      <c r="EF258" s="1"/>
      <c r="EG258" s="1"/>
      <c r="EH258" s="1"/>
      <c r="EI258" s="1"/>
      <c r="EJ258" s="1"/>
      <c r="EK258" s="1"/>
      <c r="EL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c r="BS259" s="1"/>
      <c r="BT259" s="1"/>
      <c r="BU259" s="1"/>
      <c r="BV259" s="1"/>
      <c r="BW259" s="1"/>
      <c r="BX259" s="1"/>
      <c r="BY259" s="1"/>
      <c r="BZ259" s="1"/>
      <c r="CA259" s="1"/>
      <c r="CB259" s="1"/>
      <c r="CC259" s="1"/>
      <c r="CD259" s="1"/>
      <c r="CE259" s="1"/>
      <c r="CF259" s="1"/>
      <c r="CG259" s="1"/>
      <c r="CH259" s="1"/>
      <c r="CI259" s="1"/>
      <c r="CJ259" s="1"/>
      <c r="CK259" s="1"/>
      <c r="CL259" s="1"/>
      <c r="CM259" s="1"/>
      <c r="CN259" s="1"/>
      <c r="CO259" s="1"/>
      <c r="CP259" s="1"/>
      <c r="CQ259" s="1"/>
      <c r="CR259" s="1"/>
      <c r="CS259" s="1"/>
      <c r="CT259" s="1"/>
      <c r="CU259" s="1"/>
      <c r="CV259" s="1"/>
      <c r="CW259" s="1"/>
      <c r="CX259" s="1"/>
      <c r="CY259" s="1"/>
      <c r="CZ259" s="1"/>
      <c r="DA259" s="1"/>
      <c r="DB259" s="1"/>
      <c r="DC259" s="1"/>
      <c r="DD259" s="1"/>
      <c r="DE259" s="1"/>
      <c r="DF259" s="1"/>
      <c r="DG259" s="1"/>
      <c r="DH259" s="1"/>
      <c r="DI259" s="1"/>
      <c r="DJ259" s="1"/>
      <c r="DK259" s="1"/>
      <c r="DL259" s="1"/>
      <c r="DM259" s="1"/>
      <c r="DN259" s="1"/>
      <c r="DO259" s="1"/>
      <c r="DP259" s="1"/>
      <c r="DQ259" s="1"/>
      <c r="DR259" s="1"/>
      <c r="DS259" s="1"/>
      <c r="DT259" s="1"/>
      <c r="DU259" s="1"/>
      <c r="DV259" s="1"/>
      <c r="DW259" s="1"/>
      <c r="DX259" s="1"/>
      <c r="DY259" s="1"/>
      <c r="DZ259" s="1"/>
      <c r="EA259" s="1"/>
      <c r="EB259" s="1"/>
      <c r="EC259" s="1"/>
      <c r="ED259" s="1"/>
      <c r="EE259" s="1"/>
      <c r="EF259" s="1"/>
      <c r="EG259" s="1"/>
      <c r="EH259" s="1"/>
      <c r="EI259" s="1"/>
      <c r="EJ259" s="1"/>
      <c r="EK259" s="1"/>
      <c r="EL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c r="BS260" s="1"/>
      <c r="BT260" s="1"/>
      <c r="BU260" s="1"/>
      <c r="BV260" s="1"/>
      <c r="BW260" s="1"/>
      <c r="BX260" s="1"/>
      <c r="BY260" s="1"/>
      <c r="BZ260" s="1"/>
      <c r="CA260" s="1"/>
      <c r="CB260" s="1"/>
      <c r="CC260" s="1"/>
      <c r="CD260" s="1"/>
      <c r="CE260" s="1"/>
      <c r="CF260" s="1"/>
      <c r="CG260" s="1"/>
      <c r="CH260" s="1"/>
      <c r="CI260" s="1"/>
      <c r="CJ260" s="1"/>
      <c r="CK260" s="1"/>
      <c r="CL260" s="1"/>
      <c r="CM260" s="1"/>
      <c r="CN260" s="1"/>
      <c r="CO260" s="1"/>
      <c r="CP260" s="1"/>
      <c r="CQ260" s="1"/>
      <c r="CR260" s="1"/>
      <c r="CS260" s="1"/>
      <c r="CT260" s="1"/>
      <c r="CU260" s="1"/>
      <c r="CV260" s="1"/>
      <c r="CW260" s="1"/>
      <c r="CX260" s="1"/>
      <c r="CY260" s="1"/>
      <c r="CZ260" s="1"/>
      <c r="DA260" s="1"/>
      <c r="DB260" s="1"/>
      <c r="DC260" s="1"/>
      <c r="DD260" s="1"/>
      <c r="DE260" s="1"/>
      <c r="DF260" s="1"/>
      <c r="DG260" s="1"/>
      <c r="DH260" s="1"/>
      <c r="DI260" s="1"/>
      <c r="DJ260" s="1"/>
      <c r="DK260" s="1"/>
      <c r="DL260" s="1"/>
      <c r="DM260" s="1"/>
      <c r="DN260" s="1"/>
      <c r="DO260" s="1"/>
      <c r="DP260" s="1"/>
      <c r="DQ260" s="1"/>
      <c r="DR260" s="1"/>
      <c r="DS260" s="1"/>
      <c r="DT260" s="1"/>
      <c r="DU260" s="1"/>
      <c r="DV260" s="1"/>
      <c r="DW260" s="1"/>
      <c r="DX260" s="1"/>
      <c r="DY260" s="1"/>
      <c r="DZ260" s="1"/>
      <c r="EA260" s="1"/>
      <c r="EB260" s="1"/>
      <c r="EC260" s="1"/>
      <c r="ED260" s="1"/>
      <c r="EE260" s="1"/>
      <c r="EF260" s="1"/>
      <c r="EG260" s="1"/>
      <c r="EH260" s="1"/>
      <c r="EI260" s="1"/>
      <c r="EJ260" s="1"/>
      <c r="EK260" s="1"/>
      <c r="EL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c r="BS261" s="1"/>
      <c r="BT261" s="1"/>
      <c r="BU261" s="1"/>
      <c r="BV261" s="1"/>
      <c r="BW261" s="1"/>
      <c r="BX261" s="1"/>
      <c r="BY261" s="1"/>
      <c r="BZ261" s="1"/>
      <c r="CA261" s="1"/>
      <c r="CB261" s="1"/>
      <c r="CC261" s="1"/>
      <c r="CD261" s="1"/>
      <c r="CE261" s="1"/>
      <c r="CF261" s="1"/>
      <c r="CG261" s="1"/>
      <c r="CH261" s="1"/>
      <c r="CI261" s="1"/>
      <c r="CJ261" s="1"/>
      <c r="CK261" s="1"/>
      <c r="CL261" s="1"/>
      <c r="CM261" s="1"/>
      <c r="CN261" s="1"/>
      <c r="CO261" s="1"/>
      <c r="CP261" s="1"/>
      <c r="CQ261" s="1"/>
      <c r="CR261" s="1"/>
      <c r="CS261" s="1"/>
      <c r="CT261" s="1"/>
      <c r="CU261" s="1"/>
      <c r="CV261" s="1"/>
      <c r="CW261" s="1"/>
      <c r="CX261" s="1"/>
      <c r="CY261" s="1"/>
      <c r="CZ261" s="1"/>
      <c r="DA261" s="1"/>
      <c r="DB261" s="1"/>
      <c r="DC261" s="1"/>
      <c r="DD261" s="1"/>
      <c r="DE261" s="1"/>
      <c r="DF261" s="1"/>
      <c r="DG261" s="1"/>
      <c r="DH261" s="1"/>
      <c r="DI261" s="1"/>
      <c r="DJ261" s="1"/>
      <c r="DK261" s="1"/>
      <c r="DL261" s="1"/>
      <c r="DM261" s="1"/>
      <c r="DN261" s="1"/>
      <c r="DO261" s="1"/>
      <c r="DP261" s="1"/>
      <c r="DQ261" s="1"/>
      <c r="DR261" s="1"/>
      <c r="DS261" s="1"/>
      <c r="DT261" s="1"/>
      <c r="DU261" s="1"/>
      <c r="DV261" s="1"/>
      <c r="DW261" s="1"/>
      <c r="DX261" s="1"/>
      <c r="DY261" s="1"/>
      <c r="DZ261" s="1"/>
      <c r="EA261" s="1"/>
      <c r="EB261" s="1"/>
      <c r="EC261" s="1"/>
      <c r="ED261" s="1"/>
      <c r="EE261" s="1"/>
      <c r="EF261" s="1"/>
      <c r="EG261" s="1"/>
      <c r="EH261" s="1"/>
      <c r="EI261" s="1"/>
      <c r="EJ261" s="1"/>
      <c r="EK261" s="1"/>
      <c r="EL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c r="BS262" s="1"/>
      <c r="BT262" s="1"/>
      <c r="BU262" s="1"/>
      <c r="BV262" s="1"/>
      <c r="BW262" s="1"/>
      <c r="BX262" s="1"/>
      <c r="BY262" s="1"/>
      <c r="BZ262" s="1"/>
      <c r="CA262" s="1"/>
      <c r="CB262" s="1"/>
      <c r="CC262" s="1"/>
      <c r="CD262" s="1"/>
      <c r="CE262" s="1"/>
      <c r="CF262" s="1"/>
      <c r="CG262" s="1"/>
      <c r="CH262" s="1"/>
      <c r="CI262" s="1"/>
      <c r="CJ262" s="1"/>
      <c r="CK262" s="1"/>
      <c r="CL262" s="1"/>
      <c r="CM262" s="1"/>
      <c r="CN262" s="1"/>
      <c r="CO262" s="1"/>
      <c r="CP262" s="1"/>
      <c r="CQ262" s="1"/>
      <c r="CR262" s="1"/>
      <c r="CS262" s="1"/>
      <c r="CT262" s="1"/>
      <c r="CU262" s="1"/>
      <c r="CV262" s="1"/>
      <c r="CW262" s="1"/>
      <c r="CX262" s="1"/>
      <c r="CY262" s="1"/>
      <c r="CZ262" s="1"/>
      <c r="DA262" s="1"/>
      <c r="DB262" s="1"/>
      <c r="DC262" s="1"/>
      <c r="DD262" s="1"/>
      <c r="DE262" s="1"/>
      <c r="DF262" s="1"/>
      <c r="DG262" s="1"/>
      <c r="DH262" s="1"/>
      <c r="DI262" s="1"/>
      <c r="DJ262" s="1"/>
      <c r="DK262" s="1"/>
      <c r="DL262" s="1"/>
      <c r="DM262" s="1"/>
      <c r="DN262" s="1"/>
      <c r="DO262" s="1"/>
      <c r="DP262" s="1"/>
      <c r="DQ262" s="1"/>
      <c r="DR262" s="1"/>
      <c r="DS262" s="1"/>
      <c r="DT262" s="1"/>
      <c r="DU262" s="1"/>
      <c r="DV262" s="1"/>
      <c r="DW262" s="1"/>
      <c r="DX262" s="1"/>
      <c r="DY262" s="1"/>
      <c r="DZ262" s="1"/>
      <c r="EA262" s="1"/>
      <c r="EB262" s="1"/>
      <c r="EC262" s="1"/>
      <c r="ED262" s="1"/>
      <c r="EE262" s="1"/>
      <c r="EF262" s="1"/>
      <c r="EG262" s="1"/>
      <c r="EH262" s="1"/>
      <c r="EI262" s="1"/>
      <c r="EJ262" s="1"/>
      <c r="EK262" s="1"/>
      <c r="EL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c r="BS263" s="1"/>
      <c r="BT263" s="1"/>
      <c r="BU263" s="1"/>
      <c r="BV263" s="1"/>
      <c r="BW263" s="1"/>
      <c r="BX263" s="1"/>
      <c r="BY263" s="1"/>
      <c r="BZ263" s="1"/>
      <c r="CA263" s="1"/>
      <c r="CB263" s="1"/>
      <c r="CC263" s="1"/>
      <c r="CD263" s="1"/>
      <c r="CE263" s="1"/>
      <c r="CF263" s="1"/>
      <c r="CG263" s="1"/>
      <c r="CH263" s="1"/>
      <c r="CI263" s="1"/>
      <c r="CJ263" s="1"/>
      <c r="CK263" s="1"/>
      <c r="CL263" s="1"/>
      <c r="CM263" s="1"/>
      <c r="CN263" s="1"/>
      <c r="CO263" s="1"/>
      <c r="CP263" s="1"/>
      <c r="CQ263" s="1"/>
      <c r="CR263" s="1"/>
      <c r="CS263" s="1"/>
      <c r="CT263" s="1"/>
      <c r="CU263" s="1"/>
      <c r="CV263" s="1"/>
      <c r="CW263" s="1"/>
      <c r="CX263" s="1"/>
      <c r="CY263" s="1"/>
      <c r="CZ263" s="1"/>
      <c r="DA263" s="1"/>
      <c r="DB263" s="1"/>
      <c r="DC263" s="1"/>
      <c r="DD263" s="1"/>
      <c r="DE263" s="1"/>
      <c r="DF263" s="1"/>
      <c r="DG263" s="1"/>
      <c r="DH263" s="1"/>
      <c r="DI263" s="1"/>
      <c r="DJ263" s="1"/>
      <c r="DK263" s="1"/>
      <c r="DL263" s="1"/>
      <c r="DM263" s="1"/>
      <c r="DN263" s="1"/>
      <c r="DO263" s="1"/>
      <c r="DP263" s="1"/>
      <c r="DQ263" s="1"/>
      <c r="DR263" s="1"/>
      <c r="DS263" s="1"/>
      <c r="DT263" s="1"/>
      <c r="DU263" s="1"/>
      <c r="DV263" s="1"/>
      <c r="DW263" s="1"/>
      <c r="DX263" s="1"/>
      <c r="DY263" s="1"/>
      <c r="DZ263" s="1"/>
      <c r="EA263" s="1"/>
      <c r="EB263" s="1"/>
      <c r="EC263" s="1"/>
      <c r="ED263" s="1"/>
      <c r="EE263" s="1"/>
      <c r="EF263" s="1"/>
      <c r="EG263" s="1"/>
      <c r="EH263" s="1"/>
      <c r="EI263" s="1"/>
      <c r="EJ263" s="1"/>
      <c r="EK263" s="1"/>
      <c r="EL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c r="BS264" s="1"/>
      <c r="BT264" s="1"/>
      <c r="BU264" s="1"/>
      <c r="BV264" s="1"/>
      <c r="BW264" s="1"/>
      <c r="BX264" s="1"/>
      <c r="BY264" s="1"/>
      <c r="BZ264" s="1"/>
      <c r="CA264" s="1"/>
      <c r="CB264" s="1"/>
      <c r="CC264" s="1"/>
      <c r="CD264" s="1"/>
      <c r="CE264" s="1"/>
      <c r="CF264" s="1"/>
      <c r="CG264" s="1"/>
      <c r="CH264" s="1"/>
      <c r="CI264" s="1"/>
      <c r="CJ264" s="1"/>
      <c r="CK264" s="1"/>
      <c r="CL264" s="1"/>
      <c r="CM264" s="1"/>
      <c r="CN264" s="1"/>
      <c r="CO264" s="1"/>
      <c r="CP264" s="1"/>
      <c r="CQ264" s="1"/>
      <c r="CR264" s="1"/>
      <c r="CS264" s="1"/>
      <c r="CT264" s="1"/>
      <c r="CU264" s="1"/>
      <c r="CV264" s="1"/>
      <c r="CW264" s="1"/>
      <c r="CX264" s="1"/>
      <c r="CY264" s="1"/>
      <c r="CZ264" s="1"/>
      <c r="DA264" s="1"/>
      <c r="DB264" s="1"/>
      <c r="DC264" s="1"/>
      <c r="DD264" s="1"/>
      <c r="DE264" s="1"/>
      <c r="DF264" s="1"/>
      <c r="DG264" s="1"/>
      <c r="DH264" s="1"/>
      <c r="DI264" s="1"/>
      <c r="DJ264" s="1"/>
      <c r="DK264" s="1"/>
      <c r="DL264" s="1"/>
      <c r="DM264" s="1"/>
      <c r="DN264" s="1"/>
      <c r="DO264" s="1"/>
      <c r="DP264" s="1"/>
      <c r="DQ264" s="1"/>
      <c r="DR264" s="1"/>
      <c r="DS264" s="1"/>
      <c r="DT264" s="1"/>
      <c r="DU264" s="1"/>
      <c r="DV264" s="1"/>
      <c r="DW264" s="1"/>
      <c r="DX264" s="1"/>
      <c r="DY264" s="1"/>
      <c r="DZ264" s="1"/>
      <c r="EA264" s="1"/>
      <c r="EB264" s="1"/>
      <c r="EC264" s="1"/>
      <c r="ED264" s="1"/>
      <c r="EE264" s="1"/>
      <c r="EF264" s="1"/>
      <c r="EG264" s="1"/>
      <c r="EH264" s="1"/>
      <c r="EI264" s="1"/>
      <c r="EJ264" s="1"/>
      <c r="EK264" s="1"/>
      <c r="EL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c r="BS265" s="1"/>
      <c r="BT265" s="1"/>
      <c r="BU265" s="1"/>
      <c r="BV265" s="1"/>
      <c r="BW265" s="1"/>
      <c r="BX265" s="1"/>
      <c r="BY265" s="1"/>
      <c r="BZ265" s="1"/>
      <c r="CA265" s="1"/>
      <c r="CB265" s="1"/>
      <c r="CC265" s="1"/>
      <c r="CD265" s="1"/>
      <c r="CE265" s="1"/>
      <c r="CF265" s="1"/>
      <c r="CG265" s="1"/>
      <c r="CH265" s="1"/>
      <c r="CI265" s="1"/>
      <c r="CJ265" s="1"/>
      <c r="CK265" s="1"/>
      <c r="CL265" s="1"/>
      <c r="CM265" s="1"/>
      <c r="CN265" s="1"/>
      <c r="CO265" s="1"/>
      <c r="CP265" s="1"/>
      <c r="CQ265" s="1"/>
      <c r="CR265" s="1"/>
      <c r="CS265" s="1"/>
      <c r="CT265" s="1"/>
      <c r="CU265" s="1"/>
      <c r="CV265" s="1"/>
      <c r="CW265" s="1"/>
      <c r="CX265" s="1"/>
      <c r="CY265" s="1"/>
      <c r="CZ265" s="1"/>
      <c r="DA265" s="1"/>
      <c r="DB265" s="1"/>
      <c r="DC265" s="1"/>
      <c r="DD265" s="1"/>
      <c r="DE265" s="1"/>
      <c r="DF265" s="1"/>
      <c r="DG265" s="1"/>
      <c r="DH265" s="1"/>
      <c r="DI265" s="1"/>
      <c r="DJ265" s="1"/>
      <c r="DK265" s="1"/>
      <c r="DL265" s="1"/>
      <c r="DM265" s="1"/>
      <c r="DN265" s="1"/>
      <c r="DO265" s="1"/>
      <c r="DP265" s="1"/>
      <c r="DQ265" s="1"/>
      <c r="DR265" s="1"/>
      <c r="DS265" s="1"/>
      <c r="DT265" s="1"/>
      <c r="DU265" s="1"/>
      <c r="DV265" s="1"/>
      <c r="DW265" s="1"/>
      <c r="DX265" s="1"/>
      <c r="DY265" s="1"/>
      <c r="DZ265" s="1"/>
      <c r="EA265" s="1"/>
      <c r="EB265" s="1"/>
      <c r="EC265" s="1"/>
      <c r="ED265" s="1"/>
      <c r="EE265" s="1"/>
      <c r="EF265" s="1"/>
      <c r="EG265" s="1"/>
      <c r="EH265" s="1"/>
      <c r="EI265" s="1"/>
      <c r="EJ265" s="1"/>
      <c r="EK265" s="1"/>
      <c r="EL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c r="BS266" s="1"/>
      <c r="BT266" s="1"/>
      <c r="BU266" s="1"/>
      <c r="BV266" s="1"/>
      <c r="BW266" s="1"/>
      <c r="BX266" s="1"/>
      <c r="BY266" s="1"/>
      <c r="BZ266" s="1"/>
      <c r="CA266" s="1"/>
      <c r="CB266" s="1"/>
      <c r="CC266" s="1"/>
      <c r="CD266" s="1"/>
      <c r="CE266" s="1"/>
      <c r="CF266" s="1"/>
      <c r="CG266" s="1"/>
      <c r="CH266" s="1"/>
      <c r="CI266" s="1"/>
      <c r="CJ266" s="1"/>
      <c r="CK266" s="1"/>
      <c r="CL266" s="1"/>
      <c r="CM266" s="1"/>
      <c r="CN266" s="1"/>
      <c r="CO266" s="1"/>
      <c r="CP266" s="1"/>
      <c r="CQ266" s="1"/>
      <c r="CR266" s="1"/>
      <c r="CS266" s="1"/>
      <c r="CT266" s="1"/>
      <c r="CU266" s="1"/>
      <c r="CV266" s="1"/>
      <c r="CW266" s="1"/>
      <c r="CX266" s="1"/>
      <c r="CY266" s="1"/>
      <c r="CZ266" s="1"/>
      <c r="DA266" s="1"/>
      <c r="DB266" s="1"/>
      <c r="DC266" s="1"/>
      <c r="DD266" s="1"/>
      <c r="DE266" s="1"/>
      <c r="DF266" s="1"/>
      <c r="DG266" s="1"/>
      <c r="DH266" s="1"/>
      <c r="DI266" s="1"/>
      <c r="DJ266" s="1"/>
      <c r="DK266" s="1"/>
      <c r="DL266" s="1"/>
      <c r="DM266" s="1"/>
      <c r="DN266" s="1"/>
      <c r="DO266" s="1"/>
      <c r="DP266" s="1"/>
      <c r="DQ266" s="1"/>
      <c r="DR266" s="1"/>
      <c r="DS266" s="1"/>
      <c r="DT266" s="1"/>
      <c r="DU266" s="1"/>
      <c r="DV266" s="1"/>
      <c r="DW266" s="1"/>
      <c r="DX266" s="1"/>
      <c r="DY266" s="1"/>
      <c r="DZ266" s="1"/>
      <c r="EA266" s="1"/>
      <c r="EB266" s="1"/>
      <c r="EC266" s="1"/>
      <c r="ED266" s="1"/>
      <c r="EE266" s="1"/>
      <c r="EF266" s="1"/>
      <c r="EG266" s="1"/>
      <c r="EH266" s="1"/>
      <c r="EI266" s="1"/>
      <c r="EJ266" s="1"/>
      <c r="EK266" s="1"/>
      <c r="EL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c r="BS267" s="1"/>
      <c r="BT267" s="1"/>
      <c r="BU267" s="1"/>
      <c r="BV267" s="1"/>
      <c r="BW267" s="1"/>
      <c r="BX267" s="1"/>
      <c r="BY267" s="1"/>
      <c r="BZ267" s="1"/>
      <c r="CA267" s="1"/>
      <c r="CB267" s="1"/>
      <c r="CC267" s="1"/>
      <c r="CD267" s="1"/>
      <c r="CE267" s="1"/>
      <c r="CF267" s="1"/>
      <c r="CG267" s="1"/>
      <c r="CH267" s="1"/>
      <c r="CI267" s="1"/>
      <c r="CJ267" s="1"/>
      <c r="CK267" s="1"/>
      <c r="CL267" s="1"/>
      <c r="CM267" s="1"/>
      <c r="CN267" s="1"/>
      <c r="CO267" s="1"/>
      <c r="CP267" s="1"/>
      <c r="CQ267" s="1"/>
      <c r="CR267" s="1"/>
      <c r="CS267" s="1"/>
      <c r="CT267" s="1"/>
      <c r="CU267" s="1"/>
      <c r="CV267" s="1"/>
      <c r="CW267" s="1"/>
      <c r="CX267" s="1"/>
      <c r="CY267" s="1"/>
      <c r="CZ267" s="1"/>
      <c r="DA267" s="1"/>
      <c r="DB267" s="1"/>
      <c r="DC267" s="1"/>
      <c r="DD267" s="1"/>
      <c r="DE267" s="1"/>
      <c r="DF267" s="1"/>
      <c r="DG267" s="1"/>
      <c r="DH267" s="1"/>
      <c r="DI267" s="1"/>
      <c r="DJ267" s="1"/>
      <c r="DK267" s="1"/>
      <c r="DL267" s="1"/>
      <c r="DM267" s="1"/>
      <c r="DN267" s="1"/>
      <c r="DO267" s="1"/>
      <c r="DP267" s="1"/>
      <c r="DQ267" s="1"/>
      <c r="DR267" s="1"/>
      <c r="DS267" s="1"/>
      <c r="DT267" s="1"/>
      <c r="DU267" s="1"/>
      <c r="DV267" s="1"/>
      <c r="DW267" s="1"/>
      <c r="DX267" s="1"/>
      <c r="DY267" s="1"/>
      <c r="DZ267" s="1"/>
      <c r="EA267" s="1"/>
      <c r="EB267" s="1"/>
      <c r="EC267" s="1"/>
      <c r="ED267" s="1"/>
      <c r="EE267" s="1"/>
      <c r="EF267" s="1"/>
      <c r="EG267" s="1"/>
      <c r="EH267" s="1"/>
      <c r="EI267" s="1"/>
      <c r="EJ267" s="1"/>
      <c r="EK267" s="1"/>
      <c r="EL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c r="BS268" s="1"/>
      <c r="BT268" s="1"/>
      <c r="BU268" s="1"/>
      <c r="BV268" s="1"/>
      <c r="BW268" s="1"/>
      <c r="BX268" s="1"/>
      <c r="BY268" s="1"/>
      <c r="BZ268" s="1"/>
      <c r="CA268" s="1"/>
      <c r="CB268" s="1"/>
      <c r="CC268" s="1"/>
      <c r="CD268" s="1"/>
      <c r="CE268" s="1"/>
      <c r="CF268" s="1"/>
      <c r="CG268" s="1"/>
      <c r="CH268" s="1"/>
      <c r="CI268" s="1"/>
      <c r="CJ268" s="1"/>
      <c r="CK268" s="1"/>
      <c r="CL268" s="1"/>
      <c r="CM268" s="1"/>
      <c r="CN268" s="1"/>
      <c r="CO268" s="1"/>
      <c r="CP268" s="1"/>
      <c r="CQ268" s="1"/>
      <c r="CR268" s="1"/>
      <c r="CS268" s="1"/>
      <c r="CT268" s="1"/>
      <c r="CU268" s="1"/>
      <c r="CV268" s="1"/>
      <c r="CW268" s="1"/>
      <c r="CX268" s="1"/>
      <c r="CY268" s="1"/>
      <c r="CZ268" s="1"/>
      <c r="DA268" s="1"/>
      <c r="DB268" s="1"/>
      <c r="DC268" s="1"/>
      <c r="DD268" s="1"/>
      <c r="DE268" s="1"/>
      <c r="DF268" s="1"/>
      <c r="DG268" s="1"/>
      <c r="DH268" s="1"/>
      <c r="DI268" s="1"/>
      <c r="DJ268" s="1"/>
      <c r="DK268" s="1"/>
      <c r="DL268" s="1"/>
      <c r="DM268" s="1"/>
      <c r="DN268" s="1"/>
      <c r="DO268" s="1"/>
      <c r="DP268" s="1"/>
      <c r="DQ268" s="1"/>
      <c r="DR268" s="1"/>
      <c r="DS268" s="1"/>
      <c r="DT268" s="1"/>
      <c r="DU268" s="1"/>
      <c r="DV268" s="1"/>
      <c r="DW268" s="1"/>
      <c r="DX268" s="1"/>
      <c r="DY268" s="1"/>
      <c r="DZ268" s="1"/>
      <c r="EA268" s="1"/>
      <c r="EB268" s="1"/>
      <c r="EC268" s="1"/>
      <c r="ED268" s="1"/>
      <c r="EE268" s="1"/>
      <c r="EF268" s="1"/>
      <c r="EG268" s="1"/>
      <c r="EH268" s="1"/>
      <c r="EI268" s="1"/>
      <c r="EJ268" s="1"/>
      <c r="EK268" s="1"/>
      <c r="EL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c r="BS269" s="1"/>
      <c r="BT269" s="1"/>
      <c r="BU269" s="1"/>
      <c r="BV269" s="1"/>
      <c r="BW269" s="1"/>
      <c r="BX269" s="1"/>
      <c r="BY269" s="1"/>
      <c r="BZ269" s="1"/>
      <c r="CA269" s="1"/>
      <c r="CB269" s="1"/>
      <c r="CC269" s="1"/>
      <c r="CD269" s="1"/>
      <c r="CE269" s="1"/>
      <c r="CF269" s="1"/>
      <c r="CG269" s="1"/>
      <c r="CH269" s="1"/>
      <c r="CI269" s="1"/>
      <c r="CJ269" s="1"/>
      <c r="CK269" s="1"/>
      <c r="CL269" s="1"/>
      <c r="CM269" s="1"/>
      <c r="CN269" s="1"/>
      <c r="CO269" s="1"/>
      <c r="CP269" s="1"/>
      <c r="CQ269" s="1"/>
      <c r="CR269" s="1"/>
      <c r="CS269" s="1"/>
      <c r="CT269" s="1"/>
      <c r="CU269" s="1"/>
      <c r="CV269" s="1"/>
      <c r="CW269" s="1"/>
      <c r="CX269" s="1"/>
      <c r="CY269" s="1"/>
      <c r="CZ269" s="1"/>
      <c r="DA269" s="1"/>
      <c r="DB269" s="1"/>
      <c r="DC269" s="1"/>
      <c r="DD269" s="1"/>
      <c r="DE269" s="1"/>
      <c r="DF269" s="1"/>
      <c r="DG269" s="1"/>
      <c r="DH269" s="1"/>
      <c r="DI269" s="1"/>
      <c r="DJ269" s="1"/>
      <c r="DK269" s="1"/>
      <c r="DL269" s="1"/>
      <c r="DM269" s="1"/>
      <c r="DN269" s="1"/>
      <c r="DO269" s="1"/>
      <c r="DP269" s="1"/>
      <c r="DQ269" s="1"/>
      <c r="DR269" s="1"/>
      <c r="DS269" s="1"/>
      <c r="DT269" s="1"/>
      <c r="DU269" s="1"/>
      <c r="DV269" s="1"/>
      <c r="DW269" s="1"/>
      <c r="DX269" s="1"/>
      <c r="DY269" s="1"/>
      <c r="DZ269" s="1"/>
      <c r="EA269" s="1"/>
      <c r="EB269" s="1"/>
      <c r="EC269" s="1"/>
      <c r="ED269" s="1"/>
      <c r="EE269" s="1"/>
      <c r="EF269" s="1"/>
      <c r="EG269" s="1"/>
      <c r="EH269" s="1"/>
      <c r="EI269" s="1"/>
      <c r="EJ269" s="1"/>
      <c r="EK269" s="1"/>
      <c r="EL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c r="BS270" s="1"/>
      <c r="BT270" s="1"/>
      <c r="BU270" s="1"/>
      <c r="BV270" s="1"/>
      <c r="BW270" s="1"/>
      <c r="BX270" s="1"/>
      <c r="BY270" s="1"/>
      <c r="BZ270" s="1"/>
      <c r="CA270" s="1"/>
      <c r="CB270" s="1"/>
      <c r="CC270" s="1"/>
      <c r="CD270" s="1"/>
      <c r="CE270" s="1"/>
      <c r="CF270" s="1"/>
      <c r="CG270" s="1"/>
      <c r="CH270" s="1"/>
      <c r="CI270" s="1"/>
      <c r="CJ270" s="1"/>
      <c r="CK270" s="1"/>
      <c r="CL270" s="1"/>
      <c r="CM270" s="1"/>
      <c r="CN270" s="1"/>
      <c r="CO270" s="1"/>
      <c r="CP270" s="1"/>
      <c r="CQ270" s="1"/>
      <c r="CR270" s="1"/>
      <c r="CS270" s="1"/>
      <c r="CT270" s="1"/>
      <c r="CU270" s="1"/>
      <c r="CV270" s="1"/>
      <c r="CW270" s="1"/>
      <c r="CX270" s="1"/>
      <c r="CY270" s="1"/>
      <c r="CZ270" s="1"/>
      <c r="DA270" s="1"/>
      <c r="DB270" s="1"/>
      <c r="DC270" s="1"/>
      <c r="DD270" s="1"/>
      <c r="DE270" s="1"/>
      <c r="DF270" s="1"/>
      <c r="DG270" s="1"/>
      <c r="DH270" s="1"/>
      <c r="DI270" s="1"/>
      <c r="DJ270" s="1"/>
      <c r="DK270" s="1"/>
      <c r="DL270" s="1"/>
      <c r="DM270" s="1"/>
      <c r="DN270" s="1"/>
      <c r="DO270" s="1"/>
      <c r="DP270" s="1"/>
      <c r="DQ270" s="1"/>
      <c r="DR270" s="1"/>
      <c r="DS270" s="1"/>
      <c r="DT270" s="1"/>
      <c r="DU270" s="1"/>
      <c r="DV270" s="1"/>
      <c r="DW270" s="1"/>
      <c r="DX270" s="1"/>
      <c r="DY270" s="1"/>
      <c r="DZ270" s="1"/>
      <c r="EA270" s="1"/>
      <c r="EB270" s="1"/>
      <c r="EC270" s="1"/>
      <c r="ED270" s="1"/>
      <c r="EE270" s="1"/>
      <c r="EF270" s="1"/>
      <c r="EG270" s="1"/>
      <c r="EH270" s="1"/>
      <c r="EI270" s="1"/>
      <c r="EJ270" s="1"/>
      <c r="EK270" s="1"/>
      <c r="EL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c r="BS271" s="1"/>
      <c r="BT271" s="1"/>
      <c r="BU271" s="1"/>
      <c r="BV271" s="1"/>
      <c r="BW271" s="1"/>
      <c r="BX271" s="1"/>
      <c r="BY271" s="1"/>
      <c r="BZ271" s="1"/>
      <c r="CA271" s="1"/>
      <c r="CB271" s="1"/>
      <c r="CC271" s="1"/>
      <c r="CD271" s="1"/>
      <c r="CE271" s="1"/>
      <c r="CF271" s="1"/>
      <c r="CG271" s="1"/>
      <c r="CH271" s="1"/>
      <c r="CI271" s="1"/>
      <c r="CJ271" s="1"/>
      <c r="CK271" s="1"/>
      <c r="CL271" s="1"/>
      <c r="CM271" s="1"/>
      <c r="CN271" s="1"/>
      <c r="CO271" s="1"/>
      <c r="CP271" s="1"/>
      <c r="CQ271" s="1"/>
      <c r="CR271" s="1"/>
      <c r="CS271" s="1"/>
      <c r="CT271" s="1"/>
      <c r="CU271" s="1"/>
      <c r="CV271" s="1"/>
      <c r="CW271" s="1"/>
      <c r="CX271" s="1"/>
      <c r="CY271" s="1"/>
      <c r="CZ271" s="1"/>
      <c r="DA271" s="1"/>
      <c r="DB271" s="1"/>
      <c r="DC271" s="1"/>
      <c r="DD271" s="1"/>
      <c r="DE271" s="1"/>
      <c r="DF271" s="1"/>
      <c r="DG271" s="1"/>
      <c r="DH271" s="1"/>
      <c r="DI271" s="1"/>
      <c r="DJ271" s="1"/>
      <c r="DK271" s="1"/>
      <c r="DL271" s="1"/>
      <c r="DM271" s="1"/>
      <c r="DN271" s="1"/>
      <c r="DO271" s="1"/>
      <c r="DP271" s="1"/>
      <c r="DQ271" s="1"/>
      <c r="DR271" s="1"/>
      <c r="DS271" s="1"/>
      <c r="DT271" s="1"/>
      <c r="DU271" s="1"/>
      <c r="DV271" s="1"/>
      <c r="DW271" s="1"/>
      <c r="DX271" s="1"/>
      <c r="DY271" s="1"/>
      <c r="DZ271" s="1"/>
      <c r="EA271" s="1"/>
      <c r="EB271" s="1"/>
      <c r="EC271" s="1"/>
      <c r="ED271" s="1"/>
      <c r="EE271" s="1"/>
      <c r="EF271" s="1"/>
      <c r="EG271" s="1"/>
      <c r="EH271" s="1"/>
      <c r="EI271" s="1"/>
      <c r="EJ271" s="1"/>
      <c r="EK271" s="1"/>
      <c r="EL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c r="DZ272" s="1"/>
      <c r="EA272" s="1"/>
      <c r="EB272" s="1"/>
      <c r="EC272" s="1"/>
      <c r="ED272" s="1"/>
      <c r="EE272" s="1"/>
      <c r="EF272" s="1"/>
      <c r="EG272" s="1"/>
      <c r="EH272" s="1"/>
      <c r="EI272" s="1"/>
      <c r="EJ272" s="1"/>
      <c r="EK272" s="1"/>
      <c r="EL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c r="BS273" s="1"/>
      <c r="BT273" s="1"/>
      <c r="BU273" s="1"/>
      <c r="BV273" s="1"/>
      <c r="BW273" s="1"/>
      <c r="BX273" s="1"/>
      <c r="BY273" s="1"/>
      <c r="BZ273" s="1"/>
      <c r="CA273" s="1"/>
      <c r="CB273" s="1"/>
      <c r="CC273" s="1"/>
      <c r="CD273" s="1"/>
      <c r="CE273" s="1"/>
      <c r="CF273" s="1"/>
      <c r="CG273" s="1"/>
      <c r="CH273" s="1"/>
      <c r="CI273" s="1"/>
      <c r="CJ273" s="1"/>
      <c r="CK273" s="1"/>
      <c r="CL273" s="1"/>
      <c r="CM273" s="1"/>
      <c r="CN273" s="1"/>
      <c r="CO273" s="1"/>
      <c r="CP273" s="1"/>
      <c r="CQ273" s="1"/>
      <c r="CR273" s="1"/>
      <c r="CS273" s="1"/>
      <c r="CT273" s="1"/>
      <c r="CU273" s="1"/>
      <c r="CV273" s="1"/>
      <c r="CW273" s="1"/>
      <c r="CX273" s="1"/>
      <c r="CY273" s="1"/>
      <c r="CZ273" s="1"/>
      <c r="DA273" s="1"/>
      <c r="DB273" s="1"/>
      <c r="DC273" s="1"/>
      <c r="DD273" s="1"/>
      <c r="DE273" s="1"/>
      <c r="DF273" s="1"/>
      <c r="DG273" s="1"/>
      <c r="DH273" s="1"/>
      <c r="DI273" s="1"/>
      <c r="DJ273" s="1"/>
      <c r="DK273" s="1"/>
      <c r="DL273" s="1"/>
      <c r="DM273" s="1"/>
      <c r="DN273" s="1"/>
      <c r="DO273" s="1"/>
      <c r="DP273" s="1"/>
      <c r="DQ273" s="1"/>
      <c r="DR273" s="1"/>
      <c r="DS273" s="1"/>
      <c r="DT273" s="1"/>
      <c r="DU273" s="1"/>
      <c r="DV273" s="1"/>
      <c r="DW273" s="1"/>
      <c r="DX273" s="1"/>
      <c r="DY273" s="1"/>
      <c r="DZ273" s="1"/>
      <c r="EA273" s="1"/>
      <c r="EB273" s="1"/>
      <c r="EC273" s="1"/>
      <c r="ED273" s="1"/>
      <c r="EE273" s="1"/>
      <c r="EF273" s="1"/>
      <c r="EG273" s="1"/>
      <c r="EH273" s="1"/>
      <c r="EI273" s="1"/>
      <c r="EJ273" s="1"/>
      <c r="EK273" s="1"/>
      <c r="EL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c r="BW274" s="1"/>
      <c r="BX274" s="1"/>
      <c r="BY274" s="1"/>
      <c r="BZ274" s="1"/>
      <c r="CA274" s="1"/>
      <c r="CB274" s="1"/>
      <c r="CC274" s="1"/>
      <c r="CD274" s="1"/>
      <c r="CE274" s="1"/>
      <c r="CF274" s="1"/>
      <c r="CG274" s="1"/>
      <c r="CH274" s="1"/>
      <c r="CI274" s="1"/>
      <c r="CJ274" s="1"/>
      <c r="CK274" s="1"/>
      <c r="CL274" s="1"/>
      <c r="CM274" s="1"/>
      <c r="CN274" s="1"/>
      <c r="CO274" s="1"/>
      <c r="CP274" s="1"/>
      <c r="CQ274" s="1"/>
      <c r="CR274" s="1"/>
      <c r="CS274" s="1"/>
      <c r="CT274" s="1"/>
      <c r="CU274" s="1"/>
      <c r="CV274" s="1"/>
      <c r="CW274" s="1"/>
      <c r="CX274" s="1"/>
      <c r="CY274" s="1"/>
      <c r="CZ274" s="1"/>
      <c r="DA274" s="1"/>
      <c r="DB274" s="1"/>
      <c r="DC274" s="1"/>
      <c r="DD274" s="1"/>
      <c r="DE274" s="1"/>
      <c r="DF274" s="1"/>
      <c r="DG274" s="1"/>
      <c r="DH274" s="1"/>
      <c r="DI274" s="1"/>
      <c r="DJ274" s="1"/>
      <c r="DK274" s="1"/>
      <c r="DL274" s="1"/>
      <c r="DM274" s="1"/>
      <c r="DN274" s="1"/>
      <c r="DO274" s="1"/>
      <c r="DP274" s="1"/>
      <c r="DQ274" s="1"/>
      <c r="DR274" s="1"/>
      <c r="DS274" s="1"/>
      <c r="DT274" s="1"/>
      <c r="DU274" s="1"/>
      <c r="DV274" s="1"/>
      <c r="DW274" s="1"/>
      <c r="DX274" s="1"/>
      <c r="DY274" s="1"/>
      <c r="DZ274" s="1"/>
      <c r="EA274" s="1"/>
      <c r="EB274" s="1"/>
      <c r="EC274" s="1"/>
      <c r="ED274" s="1"/>
      <c r="EE274" s="1"/>
      <c r="EF274" s="1"/>
      <c r="EG274" s="1"/>
      <c r="EH274" s="1"/>
      <c r="EI274" s="1"/>
      <c r="EJ274" s="1"/>
      <c r="EK274" s="1"/>
      <c r="EL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c r="BW275" s="1"/>
      <c r="BX275" s="1"/>
      <c r="BY275" s="1"/>
      <c r="BZ275" s="1"/>
      <c r="CA275" s="1"/>
      <c r="CB275" s="1"/>
      <c r="CC275" s="1"/>
      <c r="CD275" s="1"/>
      <c r="CE275" s="1"/>
      <c r="CF275" s="1"/>
      <c r="CG275" s="1"/>
      <c r="CH275" s="1"/>
      <c r="CI275" s="1"/>
      <c r="CJ275" s="1"/>
      <c r="CK275" s="1"/>
      <c r="CL275" s="1"/>
      <c r="CM275" s="1"/>
      <c r="CN275" s="1"/>
      <c r="CO275" s="1"/>
      <c r="CP275" s="1"/>
      <c r="CQ275" s="1"/>
      <c r="CR275" s="1"/>
      <c r="CS275" s="1"/>
      <c r="CT275" s="1"/>
      <c r="CU275" s="1"/>
      <c r="CV275" s="1"/>
      <c r="CW275" s="1"/>
      <c r="CX275" s="1"/>
      <c r="CY275" s="1"/>
      <c r="CZ275" s="1"/>
      <c r="DA275" s="1"/>
      <c r="DB275" s="1"/>
      <c r="DC275" s="1"/>
      <c r="DD275" s="1"/>
      <c r="DE275" s="1"/>
      <c r="DF275" s="1"/>
      <c r="DG275" s="1"/>
      <c r="DH275" s="1"/>
      <c r="DI275" s="1"/>
      <c r="DJ275" s="1"/>
      <c r="DK275" s="1"/>
      <c r="DL275" s="1"/>
      <c r="DM275" s="1"/>
      <c r="DN275" s="1"/>
      <c r="DO275" s="1"/>
      <c r="DP275" s="1"/>
      <c r="DQ275" s="1"/>
      <c r="DR275" s="1"/>
      <c r="DS275" s="1"/>
      <c r="DT275" s="1"/>
      <c r="DU275" s="1"/>
      <c r="DV275" s="1"/>
      <c r="DW275" s="1"/>
      <c r="DX275" s="1"/>
      <c r="DY275" s="1"/>
      <c r="DZ275" s="1"/>
      <c r="EA275" s="1"/>
      <c r="EB275" s="1"/>
      <c r="EC275" s="1"/>
      <c r="ED275" s="1"/>
      <c r="EE275" s="1"/>
      <c r="EF275" s="1"/>
      <c r="EG275" s="1"/>
      <c r="EH275" s="1"/>
      <c r="EI275" s="1"/>
      <c r="EJ275" s="1"/>
      <c r="EK275" s="1"/>
      <c r="EL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c r="BS276" s="1"/>
      <c r="BT276" s="1"/>
      <c r="BU276" s="1"/>
      <c r="BV276" s="1"/>
      <c r="BW276" s="1"/>
      <c r="BX276" s="1"/>
      <c r="BY276" s="1"/>
      <c r="BZ276" s="1"/>
      <c r="CA276" s="1"/>
      <c r="CB276" s="1"/>
      <c r="CC276" s="1"/>
      <c r="CD276" s="1"/>
      <c r="CE276" s="1"/>
      <c r="CF276" s="1"/>
      <c r="CG276" s="1"/>
      <c r="CH276" s="1"/>
      <c r="CI276" s="1"/>
      <c r="CJ276" s="1"/>
      <c r="CK276" s="1"/>
      <c r="CL276" s="1"/>
      <c r="CM276" s="1"/>
      <c r="CN276" s="1"/>
      <c r="CO276" s="1"/>
      <c r="CP276" s="1"/>
      <c r="CQ276" s="1"/>
      <c r="CR276" s="1"/>
      <c r="CS276" s="1"/>
      <c r="CT276" s="1"/>
      <c r="CU276" s="1"/>
      <c r="CV276" s="1"/>
      <c r="CW276" s="1"/>
      <c r="CX276" s="1"/>
      <c r="CY276" s="1"/>
      <c r="CZ276" s="1"/>
      <c r="DA276" s="1"/>
      <c r="DB276" s="1"/>
      <c r="DC276" s="1"/>
      <c r="DD276" s="1"/>
      <c r="DE276" s="1"/>
      <c r="DF276" s="1"/>
      <c r="DG276" s="1"/>
      <c r="DH276" s="1"/>
      <c r="DI276" s="1"/>
      <c r="DJ276" s="1"/>
      <c r="DK276" s="1"/>
      <c r="DL276" s="1"/>
      <c r="DM276" s="1"/>
      <c r="DN276" s="1"/>
      <c r="DO276" s="1"/>
      <c r="DP276" s="1"/>
      <c r="DQ276" s="1"/>
      <c r="DR276" s="1"/>
      <c r="DS276" s="1"/>
      <c r="DT276" s="1"/>
      <c r="DU276" s="1"/>
      <c r="DV276" s="1"/>
      <c r="DW276" s="1"/>
      <c r="DX276" s="1"/>
      <c r="DY276" s="1"/>
      <c r="DZ276" s="1"/>
      <c r="EA276" s="1"/>
      <c r="EB276" s="1"/>
      <c r="EC276" s="1"/>
      <c r="ED276" s="1"/>
      <c r="EE276" s="1"/>
      <c r="EF276" s="1"/>
      <c r="EG276" s="1"/>
      <c r="EH276" s="1"/>
      <c r="EI276" s="1"/>
      <c r="EJ276" s="1"/>
      <c r="EK276" s="1"/>
      <c r="EL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c r="BS277" s="1"/>
      <c r="BT277" s="1"/>
      <c r="BU277" s="1"/>
      <c r="BV277" s="1"/>
      <c r="BW277" s="1"/>
      <c r="BX277" s="1"/>
      <c r="BY277" s="1"/>
      <c r="BZ277" s="1"/>
      <c r="CA277" s="1"/>
      <c r="CB277" s="1"/>
      <c r="CC277" s="1"/>
      <c r="CD277" s="1"/>
      <c r="CE277" s="1"/>
      <c r="CF277" s="1"/>
      <c r="CG277" s="1"/>
      <c r="CH277" s="1"/>
      <c r="CI277" s="1"/>
      <c r="CJ277" s="1"/>
      <c r="CK277" s="1"/>
      <c r="CL277" s="1"/>
      <c r="CM277" s="1"/>
      <c r="CN277" s="1"/>
      <c r="CO277" s="1"/>
      <c r="CP277" s="1"/>
      <c r="CQ277" s="1"/>
      <c r="CR277" s="1"/>
      <c r="CS277" s="1"/>
      <c r="CT277" s="1"/>
      <c r="CU277" s="1"/>
      <c r="CV277" s="1"/>
      <c r="CW277" s="1"/>
      <c r="CX277" s="1"/>
      <c r="CY277" s="1"/>
      <c r="CZ277" s="1"/>
      <c r="DA277" s="1"/>
      <c r="DB277" s="1"/>
      <c r="DC277" s="1"/>
      <c r="DD277" s="1"/>
      <c r="DE277" s="1"/>
      <c r="DF277" s="1"/>
      <c r="DG277" s="1"/>
      <c r="DH277" s="1"/>
      <c r="DI277" s="1"/>
      <c r="DJ277" s="1"/>
      <c r="DK277" s="1"/>
      <c r="DL277" s="1"/>
      <c r="DM277" s="1"/>
      <c r="DN277" s="1"/>
      <c r="DO277" s="1"/>
      <c r="DP277" s="1"/>
      <c r="DQ277" s="1"/>
      <c r="DR277" s="1"/>
      <c r="DS277" s="1"/>
      <c r="DT277" s="1"/>
      <c r="DU277" s="1"/>
      <c r="DV277" s="1"/>
      <c r="DW277" s="1"/>
      <c r="DX277" s="1"/>
      <c r="DY277" s="1"/>
      <c r="DZ277" s="1"/>
      <c r="EA277" s="1"/>
      <c r="EB277" s="1"/>
      <c r="EC277" s="1"/>
      <c r="ED277" s="1"/>
      <c r="EE277" s="1"/>
      <c r="EF277" s="1"/>
      <c r="EG277" s="1"/>
      <c r="EH277" s="1"/>
      <c r="EI277" s="1"/>
      <c r="EJ277" s="1"/>
      <c r="EK277" s="1"/>
      <c r="EL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c r="BS278" s="1"/>
      <c r="BT278" s="1"/>
      <c r="BU278" s="1"/>
      <c r="BV278" s="1"/>
      <c r="BW278" s="1"/>
      <c r="BX278" s="1"/>
      <c r="BY278" s="1"/>
      <c r="BZ278" s="1"/>
      <c r="CA278" s="1"/>
      <c r="CB278" s="1"/>
      <c r="CC278" s="1"/>
      <c r="CD278" s="1"/>
      <c r="CE278" s="1"/>
      <c r="CF278" s="1"/>
      <c r="CG278" s="1"/>
      <c r="CH278" s="1"/>
      <c r="CI278" s="1"/>
      <c r="CJ278" s="1"/>
      <c r="CK278" s="1"/>
      <c r="CL278" s="1"/>
      <c r="CM278" s="1"/>
      <c r="CN278" s="1"/>
      <c r="CO278" s="1"/>
      <c r="CP278" s="1"/>
      <c r="CQ278" s="1"/>
      <c r="CR278" s="1"/>
      <c r="CS278" s="1"/>
      <c r="CT278" s="1"/>
      <c r="CU278" s="1"/>
      <c r="CV278" s="1"/>
      <c r="CW278" s="1"/>
      <c r="CX278" s="1"/>
      <c r="CY278" s="1"/>
      <c r="CZ278" s="1"/>
      <c r="DA278" s="1"/>
      <c r="DB278" s="1"/>
      <c r="DC278" s="1"/>
      <c r="DD278" s="1"/>
      <c r="DE278" s="1"/>
      <c r="DF278" s="1"/>
      <c r="DG278" s="1"/>
      <c r="DH278" s="1"/>
      <c r="DI278" s="1"/>
      <c r="DJ278" s="1"/>
      <c r="DK278" s="1"/>
      <c r="DL278" s="1"/>
      <c r="DM278" s="1"/>
      <c r="DN278" s="1"/>
      <c r="DO278" s="1"/>
      <c r="DP278" s="1"/>
      <c r="DQ278" s="1"/>
      <c r="DR278" s="1"/>
      <c r="DS278" s="1"/>
      <c r="DT278" s="1"/>
      <c r="DU278" s="1"/>
      <c r="DV278" s="1"/>
      <c r="DW278" s="1"/>
      <c r="DX278" s="1"/>
      <c r="DY278" s="1"/>
      <c r="DZ278" s="1"/>
      <c r="EA278" s="1"/>
      <c r="EB278" s="1"/>
      <c r="EC278" s="1"/>
      <c r="ED278" s="1"/>
      <c r="EE278" s="1"/>
      <c r="EF278" s="1"/>
      <c r="EG278" s="1"/>
      <c r="EH278" s="1"/>
      <c r="EI278" s="1"/>
      <c r="EJ278" s="1"/>
      <c r="EK278" s="1"/>
      <c r="EL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c r="BS279" s="1"/>
      <c r="BT279" s="1"/>
      <c r="BU279" s="1"/>
      <c r="BV279" s="1"/>
      <c r="BW279" s="1"/>
      <c r="BX279" s="1"/>
      <c r="BY279" s="1"/>
      <c r="BZ279" s="1"/>
      <c r="CA279" s="1"/>
      <c r="CB279" s="1"/>
      <c r="CC279" s="1"/>
      <c r="CD279" s="1"/>
      <c r="CE279" s="1"/>
      <c r="CF279" s="1"/>
      <c r="CG279" s="1"/>
      <c r="CH279" s="1"/>
      <c r="CI279" s="1"/>
      <c r="CJ279" s="1"/>
      <c r="CK279" s="1"/>
      <c r="CL279" s="1"/>
      <c r="CM279" s="1"/>
      <c r="CN279" s="1"/>
      <c r="CO279" s="1"/>
      <c r="CP279" s="1"/>
      <c r="CQ279" s="1"/>
      <c r="CR279" s="1"/>
      <c r="CS279" s="1"/>
      <c r="CT279" s="1"/>
      <c r="CU279" s="1"/>
      <c r="CV279" s="1"/>
      <c r="CW279" s="1"/>
      <c r="CX279" s="1"/>
      <c r="CY279" s="1"/>
      <c r="CZ279" s="1"/>
      <c r="DA279" s="1"/>
      <c r="DB279" s="1"/>
      <c r="DC279" s="1"/>
      <c r="DD279" s="1"/>
      <c r="DE279" s="1"/>
      <c r="DF279" s="1"/>
      <c r="DG279" s="1"/>
      <c r="DH279" s="1"/>
      <c r="DI279" s="1"/>
      <c r="DJ279" s="1"/>
      <c r="DK279" s="1"/>
      <c r="DL279" s="1"/>
      <c r="DM279" s="1"/>
      <c r="DN279" s="1"/>
      <c r="DO279" s="1"/>
      <c r="DP279" s="1"/>
      <c r="DQ279" s="1"/>
      <c r="DR279" s="1"/>
      <c r="DS279" s="1"/>
      <c r="DT279" s="1"/>
      <c r="DU279" s="1"/>
      <c r="DV279" s="1"/>
      <c r="DW279" s="1"/>
      <c r="DX279" s="1"/>
      <c r="DY279" s="1"/>
      <c r="DZ279" s="1"/>
      <c r="EA279" s="1"/>
      <c r="EB279" s="1"/>
      <c r="EC279" s="1"/>
      <c r="ED279" s="1"/>
      <c r="EE279" s="1"/>
      <c r="EF279" s="1"/>
      <c r="EG279" s="1"/>
      <c r="EH279" s="1"/>
      <c r="EI279" s="1"/>
      <c r="EJ279" s="1"/>
      <c r="EK279" s="1"/>
      <c r="EL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c r="BS280" s="1"/>
      <c r="BT280" s="1"/>
      <c r="BU280" s="1"/>
      <c r="BV280" s="1"/>
      <c r="BW280" s="1"/>
      <c r="BX280" s="1"/>
      <c r="BY280" s="1"/>
      <c r="BZ280" s="1"/>
      <c r="CA280" s="1"/>
      <c r="CB280" s="1"/>
      <c r="CC280" s="1"/>
      <c r="CD280" s="1"/>
      <c r="CE280" s="1"/>
      <c r="CF280" s="1"/>
      <c r="CG280" s="1"/>
      <c r="CH280" s="1"/>
      <c r="CI280" s="1"/>
      <c r="CJ280" s="1"/>
      <c r="CK280" s="1"/>
      <c r="CL280" s="1"/>
      <c r="CM280" s="1"/>
      <c r="CN280" s="1"/>
      <c r="CO280" s="1"/>
      <c r="CP280" s="1"/>
      <c r="CQ280" s="1"/>
      <c r="CR280" s="1"/>
      <c r="CS280" s="1"/>
      <c r="CT280" s="1"/>
      <c r="CU280" s="1"/>
      <c r="CV280" s="1"/>
      <c r="CW280" s="1"/>
      <c r="CX280" s="1"/>
      <c r="CY280" s="1"/>
      <c r="CZ280" s="1"/>
      <c r="DA280" s="1"/>
      <c r="DB280" s="1"/>
      <c r="DC280" s="1"/>
      <c r="DD280" s="1"/>
      <c r="DE280" s="1"/>
      <c r="DF280" s="1"/>
      <c r="DG280" s="1"/>
      <c r="DH280" s="1"/>
      <c r="DI280" s="1"/>
      <c r="DJ280" s="1"/>
      <c r="DK280" s="1"/>
      <c r="DL280" s="1"/>
      <c r="DM280" s="1"/>
      <c r="DN280" s="1"/>
      <c r="DO280" s="1"/>
      <c r="DP280" s="1"/>
      <c r="DQ280" s="1"/>
      <c r="DR280" s="1"/>
      <c r="DS280" s="1"/>
      <c r="DT280" s="1"/>
      <c r="DU280" s="1"/>
      <c r="DV280" s="1"/>
      <c r="DW280" s="1"/>
      <c r="DX280" s="1"/>
      <c r="DY280" s="1"/>
      <c r="DZ280" s="1"/>
      <c r="EA280" s="1"/>
      <c r="EB280" s="1"/>
      <c r="EC280" s="1"/>
      <c r="ED280" s="1"/>
      <c r="EE280" s="1"/>
      <c r="EF280" s="1"/>
      <c r="EG280" s="1"/>
      <c r="EH280" s="1"/>
      <c r="EI280" s="1"/>
      <c r="EJ280" s="1"/>
      <c r="EK280" s="1"/>
      <c r="EL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c r="BS281" s="1"/>
      <c r="BT281" s="1"/>
      <c r="BU281" s="1"/>
      <c r="BV281" s="1"/>
      <c r="BW281" s="1"/>
      <c r="BX281" s="1"/>
      <c r="BY281" s="1"/>
      <c r="BZ281" s="1"/>
      <c r="CA281" s="1"/>
      <c r="CB281" s="1"/>
      <c r="CC281" s="1"/>
      <c r="CD281" s="1"/>
      <c r="CE281" s="1"/>
      <c r="CF281" s="1"/>
      <c r="CG281" s="1"/>
      <c r="CH281" s="1"/>
      <c r="CI281" s="1"/>
      <c r="CJ281" s="1"/>
      <c r="CK281" s="1"/>
      <c r="CL281" s="1"/>
      <c r="CM281" s="1"/>
      <c r="CN281" s="1"/>
      <c r="CO281" s="1"/>
      <c r="CP281" s="1"/>
      <c r="CQ281" s="1"/>
      <c r="CR281" s="1"/>
      <c r="CS281" s="1"/>
      <c r="CT281" s="1"/>
      <c r="CU281" s="1"/>
      <c r="CV281" s="1"/>
      <c r="CW281" s="1"/>
      <c r="CX281" s="1"/>
      <c r="CY281" s="1"/>
      <c r="CZ281" s="1"/>
      <c r="DA281" s="1"/>
      <c r="DB281" s="1"/>
      <c r="DC281" s="1"/>
      <c r="DD281" s="1"/>
      <c r="DE281" s="1"/>
      <c r="DF281" s="1"/>
      <c r="DG281" s="1"/>
      <c r="DH281" s="1"/>
      <c r="DI281" s="1"/>
      <c r="DJ281" s="1"/>
      <c r="DK281" s="1"/>
      <c r="DL281" s="1"/>
      <c r="DM281" s="1"/>
      <c r="DN281" s="1"/>
      <c r="DO281" s="1"/>
      <c r="DP281" s="1"/>
      <c r="DQ281" s="1"/>
      <c r="DR281" s="1"/>
      <c r="DS281" s="1"/>
      <c r="DT281" s="1"/>
      <c r="DU281" s="1"/>
      <c r="DV281" s="1"/>
      <c r="DW281" s="1"/>
      <c r="DX281" s="1"/>
      <c r="DY281" s="1"/>
      <c r="DZ281" s="1"/>
      <c r="EA281" s="1"/>
      <c r="EB281" s="1"/>
      <c r="EC281" s="1"/>
      <c r="ED281" s="1"/>
      <c r="EE281" s="1"/>
      <c r="EF281" s="1"/>
      <c r="EG281" s="1"/>
      <c r="EH281" s="1"/>
      <c r="EI281" s="1"/>
      <c r="EJ281" s="1"/>
      <c r="EK281" s="1"/>
      <c r="EL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c r="BS282" s="1"/>
      <c r="BT282" s="1"/>
      <c r="BU282" s="1"/>
      <c r="BV282" s="1"/>
      <c r="BW282" s="1"/>
      <c r="BX282" s="1"/>
      <c r="BY282" s="1"/>
      <c r="BZ282" s="1"/>
      <c r="CA282" s="1"/>
      <c r="CB282" s="1"/>
      <c r="CC282" s="1"/>
      <c r="CD282" s="1"/>
      <c r="CE282" s="1"/>
      <c r="CF282" s="1"/>
      <c r="CG282" s="1"/>
      <c r="CH282" s="1"/>
      <c r="CI282" s="1"/>
      <c r="CJ282" s="1"/>
      <c r="CK282" s="1"/>
      <c r="CL282" s="1"/>
      <c r="CM282" s="1"/>
      <c r="CN282" s="1"/>
      <c r="CO282" s="1"/>
      <c r="CP282" s="1"/>
      <c r="CQ282" s="1"/>
      <c r="CR282" s="1"/>
      <c r="CS282" s="1"/>
      <c r="CT282" s="1"/>
      <c r="CU282" s="1"/>
      <c r="CV282" s="1"/>
      <c r="CW282" s="1"/>
      <c r="CX282" s="1"/>
      <c r="CY282" s="1"/>
      <c r="CZ282" s="1"/>
      <c r="DA282" s="1"/>
      <c r="DB282" s="1"/>
      <c r="DC282" s="1"/>
      <c r="DD282" s="1"/>
      <c r="DE282" s="1"/>
      <c r="DF282" s="1"/>
      <c r="DG282" s="1"/>
      <c r="DH282" s="1"/>
      <c r="DI282" s="1"/>
      <c r="DJ282" s="1"/>
      <c r="DK282" s="1"/>
      <c r="DL282" s="1"/>
      <c r="DM282" s="1"/>
      <c r="DN282" s="1"/>
      <c r="DO282" s="1"/>
      <c r="DP282" s="1"/>
      <c r="DQ282" s="1"/>
      <c r="DR282" s="1"/>
      <c r="DS282" s="1"/>
      <c r="DT282" s="1"/>
      <c r="DU282" s="1"/>
      <c r="DV282" s="1"/>
      <c r="DW282" s="1"/>
      <c r="DX282" s="1"/>
      <c r="DY282" s="1"/>
      <c r="DZ282" s="1"/>
      <c r="EA282" s="1"/>
      <c r="EB282" s="1"/>
      <c r="EC282" s="1"/>
      <c r="ED282" s="1"/>
      <c r="EE282" s="1"/>
      <c r="EF282" s="1"/>
      <c r="EG282" s="1"/>
      <c r="EH282" s="1"/>
      <c r="EI282" s="1"/>
      <c r="EJ282" s="1"/>
      <c r="EK282" s="1"/>
      <c r="EL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c r="BS283" s="1"/>
      <c r="BT283" s="1"/>
      <c r="BU283" s="1"/>
      <c r="BV283" s="1"/>
      <c r="BW283" s="1"/>
      <c r="BX283" s="1"/>
      <c r="BY283" s="1"/>
      <c r="BZ283" s="1"/>
      <c r="CA283" s="1"/>
      <c r="CB283" s="1"/>
      <c r="CC283" s="1"/>
      <c r="CD283" s="1"/>
      <c r="CE283" s="1"/>
      <c r="CF283" s="1"/>
      <c r="CG283" s="1"/>
      <c r="CH283" s="1"/>
      <c r="CI283" s="1"/>
      <c r="CJ283" s="1"/>
      <c r="CK283" s="1"/>
      <c r="CL283" s="1"/>
      <c r="CM283" s="1"/>
      <c r="CN283" s="1"/>
      <c r="CO283" s="1"/>
      <c r="CP283" s="1"/>
      <c r="CQ283" s="1"/>
      <c r="CR283" s="1"/>
      <c r="CS283" s="1"/>
      <c r="CT283" s="1"/>
      <c r="CU283" s="1"/>
      <c r="CV283" s="1"/>
      <c r="CW283" s="1"/>
      <c r="CX283" s="1"/>
      <c r="CY283" s="1"/>
      <c r="CZ283" s="1"/>
      <c r="DA283" s="1"/>
      <c r="DB283" s="1"/>
      <c r="DC283" s="1"/>
      <c r="DD283" s="1"/>
      <c r="DE283" s="1"/>
      <c r="DF283" s="1"/>
      <c r="DG283" s="1"/>
      <c r="DH283" s="1"/>
      <c r="DI283" s="1"/>
      <c r="DJ283" s="1"/>
      <c r="DK283" s="1"/>
      <c r="DL283" s="1"/>
      <c r="DM283" s="1"/>
      <c r="DN283" s="1"/>
      <c r="DO283" s="1"/>
      <c r="DP283" s="1"/>
      <c r="DQ283" s="1"/>
      <c r="DR283" s="1"/>
      <c r="DS283" s="1"/>
      <c r="DT283" s="1"/>
      <c r="DU283" s="1"/>
      <c r="DV283" s="1"/>
      <c r="DW283" s="1"/>
      <c r="DX283" s="1"/>
      <c r="DY283" s="1"/>
      <c r="DZ283" s="1"/>
      <c r="EA283" s="1"/>
      <c r="EB283" s="1"/>
      <c r="EC283" s="1"/>
      <c r="ED283" s="1"/>
      <c r="EE283" s="1"/>
      <c r="EF283" s="1"/>
      <c r="EG283" s="1"/>
      <c r="EH283" s="1"/>
      <c r="EI283" s="1"/>
      <c r="EJ283" s="1"/>
      <c r="EK283" s="1"/>
      <c r="EL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c r="BS284" s="1"/>
      <c r="BT284" s="1"/>
      <c r="BU284" s="1"/>
      <c r="BV284" s="1"/>
      <c r="BW284" s="1"/>
      <c r="BX284" s="1"/>
      <c r="BY284" s="1"/>
      <c r="BZ284" s="1"/>
      <c r="CA284" s="1"/>
      <c r="CB284" s="1"/>
      <c r="CC284" s="1"/>
      <c r="CD284" s="1"/>
      <c r="CE284" s="1"/>
      <c r="CF284" s="1"/>
      <c r="CG284" s="1"/>
      <c r="CH284" s="1"/>
      <c r="CI284" s="1"/>
      <c r="CJ284" s="1"/>
      <c r="CK284" s="1"/>
      <c r="CL284" s="1"/>
      <c r="CM284" s="1"/>
      <c r="CN284" s="1"/>
      <c r="CO284" s="1"/>
      <c r="CP284" s="1"/>
      <c r="CQ284" s="1"/>
      <c r="CR284" s="1"/>
      <c r="CS284" s="1"/>
      <c r="CT284" s="1"/>
      <c r="CU284" s="1"/>
      <c r="CV284" s="1"/>
      <c r="CW284" s="1"/>
      <c r="CX284" s="1"/>
      <c r="CY284" s="1"/>
      <c r="CZ284" s="1"/>
      <c r="DA284" s="1"/>
      <c r="DB284" s="1"/>
      <c r="DC284" s="1"/>
      <c r="DD284" s="1"/>
      <c r="DE284" s="1"/>
      <c r="DF284" s="1"/>
      <c r="DG284" s="1"/>
      <c r="DH284" s="1"/>
      <c r="DI284" s="1"/>
      <c r="DJ284" s="1"/>
      <c r="DK284" s="1"/>
      <c r="DL284" s="1"/>
      <c r="DM284" s="1"/>
      <c r="DN284" s="1"/>
      <c r="DO284" s="1"/>
      <c r="DP284" s="1"/>
      <c r="DQ284" s="1"/>
      <c r="DR284" s="1"/>
      <c r="DS284" s="1"/>
      <c r="DT284" s="1"/>
      <c r="DU284" s="1"/>
      <c r="DV284" s="1"/>
      <c r="DW284" s="1"/>
      <c r="DX284" s="1"/>
      <c r="DY284" s="1"/>
      <c r="DZ284" s="1"/>
      <c r="EA284" s="1"/>
      <c r="EB284" s="1"/>
      <c r="EC284" s="1"/>
      <c r="ED284" s="1"/>
      <c r="EE284" s="1"/>
      <c r="EF284" s="1"/>
      <c r="EG284" s="1"/>
      <c r="EH284" s="1"/>
      <c r="EI284" s="1"/>
      <c r="EJ284" s="1"/>
      <c r="EK284" s="1"/>
      <c r="EL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c r="BS285" s="1"/>
      <c r="BT285" s="1"/>
      <c r="BU285" s="1"/>
      <c r="BV285" s="1"/>
      <c r="BW285" s="1"/>
      <c r="BX285" s="1"/>
      <c r="BY285" s="1"/>
      <c r="BZ285" s="1"/>
      <c r="CA285" s="1"/>
      <c r="CB285" s="1"/>
      <c r="CC285" s="1"/>
      <c r="CD285" s="1"/>
      <c r="CE285" s="1"/>
      <c r="CF285" s="1"/>
      <c r="CG285" s="1"/>
      <c r="CH285" s="1"/>
      <c r="CI285" s="1"/>
      <c r="CJ285" s="1"/>
      <c r="CK285" s="1"/>
      <c r="CL285" s="1"/>
      <c r="CM285" s="1"/>
      <c r="CN285" s="1"/>
      <c r="CO285" s="1"/>
      <c r="CP285" s="1"/>
      <c r="CQ285" s="1"/>
      <c r="CR285" s="1"/>
      <c r="CS285" s="1"/>
      <c r="CT285" s="1"/>
      <c r="CU285" s="1"/>
      <c r="CV285" s="1"/>
      <c r="CW285" s="1"/>
      <c r="CX285" s="1"/>
      <c r="CY285" s="1"/>
      <c r="CZ285" s="1"/>
      <c r="DA285" s="1"/>
      <c r="DB285" s="1"/>
      <c r="DC285" s="1"/>
      <c r="DD285" s="1"/>
      <c r="DE285" s="1"/>
      <c r="DF285" s="1"/>
      <c r="DG285" s="1"/>
      <c r="DH285" s="1"/>
      <c r="DI285" s="1"/>
      <c r="DJ285" s="1"/>
      <c r="DK285" s="1"/>
      <c r="DL285" s="1"/>
      <c r="DM285" s="1"/>
      <c r="DN285" s="1"/>
      <c r="DO285" s="1"/>
      <c r="DP285" s="1"/>
      <c r="DQ285" s="1"/>
      <c r="DR285" s="1"/>
      <c r="DS285" s="1"/>
      <c r="DT285" s="1"/>
      <c r="DU285" s="1"/>
      <c r="DV285" s="1"/>
      <c r="DW285" s="1"/>
      <c r="DX285" s="1"/>
      <c r="DY285" s="1"/>
      <c r="DZ285" s="1"/>
      <c r="EA285" s="1"/>
      <c r="EB285" s="1"/>
      <c r="EC285" s="1"/>
      <c r="ED285" s="1"/>
      <c r="EE285" s="1"/>
      <c r="EF285" s="1"/>
      <c r="EG285" s="1"/>
      <c r="EH285" s="1"/>
      <c r="EI285" s="1"/>
      <c r="EJ285" s="1"/>
      <c r="EK285" s="1"/>
      <c r="EL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c r="DZ286" s="1"/>
      <c r="EA286" s="1"/>
      <c r="EB286" s="1"/>
      <c r="EC286" s="1"/>
      <c r="ED286" s="1"/>
      <c r="EE286" s="1"/>
      <c r="EF286" s="1"/>
      <c r="EG286" s="1"/>
      <c r="EH286" s="1"/>
      <c r="EI286" s="1"/>
      <c r="EJ286" s="1"/>
      <c r="EK286" s="1"/>
      <c r="EL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c r="BW288" s="1"/>
      <c r="BX288" s="1"/>
      <c r="BY288" s="1"/>
      <c r="BZ288" s="1"/>
      <c r="CA288" s="1"/>
      <c r="CB288" s="1"/>
      <c r="CC288" s="1"/>
      <c r="CD288" s="1"/>
      <c r="CE288" s="1"/>
      <c r="CF288" s="1"/>
      <c r="CG288" s="1"/>
      <c r="CH288" s="1"/>
      <c r="CI288" s="1"/>
      <c r="CJ288" s="1"/>
      <c r="CK288" s="1"/>
      <c r="CL288" s="1"/>
      <c r="CM288" s="1"/>
      <c r="CN288" s="1"/>
      <c r="CO288" s="1"/>
      <c r="CP288" s="1"/>
      <c r="CQ288" s="1"/>
      <c r="CR288" s="1"/>
      <c r="CS288" s="1"/>
      <c r="CT288" s="1"/>
      <c r="CU288" s="1"/>
      <c r="CV288" s="1"/>
      <c r="CW288" s="1"/>
      <c r="CX288" s="1"/>
      <c r="CY288" s="1"/>
      <c r="CZ288" s="1"/>
      <c r="DA288" s="1"/>
      <c r="DB288" s="1"/>
      <c r="DC288" s="1"/>
      <c r="DD288" s="1"/>
      <c r="DE288" s="1"/>
      <c r="DF288" s="1"/>
      <c r="DG288" s="1"/>
      <c r="DH288" s="1"/>
      <c r="DI288" s="1"/>
      <c r="DJ288" s="1"/>
      <c r="DK288" s="1"/>
      <c r="DL288" s="1"/>
      <c r="DM288" s="1"/>
      <c r="DN288" s="1"/>
      <c r="DO288" s="1"/>
      <c r="DP288" s="1"/>
      <c r="DQ288" s="1"/>
      <c r="DR288" s="1"/>
      <c r="DS288" s="1"/>
      <c r="DT288" s="1"/>
      <c r="DU288" s="1"/>
      <c r="DV288" s="1"/>
      <c r="DW288" s="1"/>
      <c r="DX288" s="1"/>
      <c r="DY288" s="1"/>
      <c r="DZ288" s="1"/>
      <c r="EA288" s="1"/>
      <c r="EB288" s="1"/>
      <c r="EC288" s="1"/>
      <c r="ED288" s="1"/>
      <c r="EE288" s="1"/>
      <c r="EF288" s="1"/>
      <c r="EG288" s="1"/>
      <c r="EH288" s="1"/>
      <c r="EI288" s="1"/>
      <c r="EJ288" s="1"/>
      <c r="EK288" s="1"/>
      <c r="EL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c r="DZ289" s="1"/>
      <c r="EA289" s="1"/>
      <c r="EB289" s="1"/>
      <c r="EC289" s="1"/>
      <c r="ED289" s="1"/>
      <c r="EE289" s="1"/>
      <c r="EF289" s="1"/>
      <c r="EG289" s="1"/>
      <c r="EH289" s="1"/>
      <c r="EI289" s="1"/>
      <c r="EJ289" s="1"/>
      <c r="EK289" s="1"/>
      <c r="EL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c r="BW290" s="1"/>
      <c r="BX290" s="1"/>
      <c r="BY290" s="1"/>
      <c r="BZ290" s="1"/>
      <c r="CA290" s="1"/>
      <c r="CB290" s="1"/>
      <c r="CC290" s="1"/>
      <c r="CD290" s="1"/>
      <c r="CE290" s="1"/>
      <c r="CF290" s="1"/>
      <c r="CG290" s="1"/>
      <c r="CH290" s="1"/>
      <c r="CI290" s="1"/>
      <c r="CJ290" s="1"/>
      <c r="CK290" s="1"/>
      <c r="CL290" s="1"/>
      <c r="CM290" s="1"/>
      <c r="CN290" s="1"/>
      <c r="CO290" s="1"/>
      <c r="CP290" s="1"/>
      <c r="CQ290" s="1"/>
      <c r="CR290" s="1"/>
      <c r="CS290" s="1"/>
      <c r="CT290" s="1"/>
      <c r="CU290" s="1"/>
      <c r="CV290" s="1"/>
      <c r="CW290" s="1"/>
      <c r="CX290" s="1"/>
      <c r="CY290" s="1"/>
      <c r="CZ290" s="1"/>
      <c r="DA290" s="1"/>
      <c r="DB290" s="1"/>
      <c r="DC290" s="1"/>
      <c r="DD290" s="1"/>
      <c r="DE290" s="1"/>
      <c r="DF290" s="1"/>
      <c r="DG290" s="1"/>
      <c r="DH290" s="1"/>
      <c r="DI290" s="1"/>
      <c r="DJ290" s="1"/>
      <c r="DK290" s="1"/>
      <c r="DL290" s="1"/>
      <c r="DM290" s="1"/>
      <c r="DN290" s="1"/>
      <c r="DO290" s="1"/>
      <c r="DP290" s="1"/>
      <c r="DQ290" s="1"/>
      <c r="DR290" s="1"/>
      <c r="DS290" s="1"/>
      <c r="DT290" s="1"/>
      <c r="DU290" s="1"/>
      <c r="DV290" s="1"/>
      <c r="DW290" s="1"/>
      <c r="DX290" s="1"/>
      <c r="DY290" s="1"/>
      <c r="DZ290" s="1"/>
      <c r="EA290" s="1"/>
      <c r="EB290" s="1"/>
      <c r="EC290" s="1"/>
      <c r="ED290" s="1"/>
      <c r="EE290" s="1"/>
      <c r="EF290" s="1"/>
      <c r="EG290" s="1"/>
      <c r="EH290" s="1"/>
      <c r="EI290" s="1"/>
      <c r="EJ290" s="1"/>
      <c r="EK290" s="1"/>
      <c r="EL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c r="BW291" s="1"/>
      <c r="BX291" s="1"/>
      <c r="BY291" s="1"/>
      <c r="BZ291" s="1"/>
      <c r="CA291" s="1"/>
      <c r="CB291" s="1"/>
      <c r="CC291" s="1"/>
      <c r="CD291" s="1"/>
      <c r="CE291" s="1"/>
      <c r="CF291" s="1"/>
      <c r="CG291" s="1"/>
      <c r="CH291" s="1"/>
      <c r="CI291" s="1"/>
      <c r="CJ291" s="1"/>
      <c r="CK291" s="1"/>
      <c r="CL291" s="1"/>
      <c r="CM291" s="1"/>
      <c r="CN291" s="1"/>
      <c r="CO291" s="1"/>
      <c r="CP291" s="1"/>
      <c r="CQ291" s="1"/>
      <c r="CR291" s="1"/>
      <c r="CS291" s="1"/>
      <c r="CT291" s="1"/>
      <c r="CU291" s="1"/>
      <c r="CV291" s="1"/>
      <c r="CW291" s="1"/>
      <c r="CX291" s="1"/>
      <c r="CY291" s="1"/>
      <c r="CZ291" s="1"/>
      <c r="DA291" s="1"/>
      <c r="DB291" s="1"/>
      <c r="DC291" s="1"/>
      <c r="DD291" s="1"/>
      <c r="DE291" s="1"/>
      <c r="DF291" s="1"/>
      <c r="DG291" s="1"/>
      <c r="DH291" s="1"/>
      <c r="DI291" s="1"/>
      <c r="DJ291" s="1"/>
      <c r="DK291" s="1"/>
      <c r="DL291" s="1"/>
      <c r="DM291" s="1"/>
      <c r="DN291" s="1"/>
      <c r="DO291" s="1"/>
      <c r="DP291" s="1"/>
      <c r="DQ291" s="1"/>
      <c r="DR291" s="1"/>
      <c r="DS291" s="1"/>
      <c r="DT291" s="1"/>
      <c r="DU291" s="1"/>
      <c r="DV291" s="1"/>
      <c r="DW291" s="1"/>
      <c r="DX291" s="1"/>
      <c r="DY291" s="1"/>
      <c r="DZ291" s="1"/>
      <c r="EA291" s="1"/>
      <c r="EB291" s="1"/>
      <c r="EC291" s="1"/>
      <c r="ED291" s="1"/>
      <c r="EE291" s="1"/>
      <c r="EF291" s="1"/>
      <c r="EG291" s="1"/>
      <c r="EH291" s="1"/>
      <c r="EI291" s="1"/>
      <c r="EJ291" s="1"/>
      <c r="EK291" s="1"/>
      <c r="EL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1"/>
      <c r="BW292" s="1"/>
      <c r="BX292" s="1"/>
      <c r="BY292" s="1"/>
      <c r="BZ292" s="1"/>
      <c r="CA292" s="1"/>
      <c r="CB292" s="1"/>
      <c r="CC292" s="1"/>
      <c r="CD292" s="1"/>
      <c r="CE292" s="1"/>
      <c r="CF292" s="1"/>
      <c r="CG292" s="1"/>
      <c r="CH292" s="1"/>
      <c r="CI292" s="1"/>
      <c r="CJ292" s="1"/>
      <c r="CK292" s="1"/>
      <c r="CL292" s="1"/>
      <c r="CM292" s="1"/>
      <c r="CN292" s="1"/>
      <c r="CO292" s="1"/>
      <c r="CP292" s="1"/>
      <c r="CQ292" s="1"/>
      <c r="CR292" s="1"/>
      <c r="CS292" s="1"/>
      <c r="CT292" s="1"/>
      <c r="CU292" s="1"/>
      <c r="CV292" s="1"/>
      <c r="CW292" s="1"/>
      <c r="CX292" s="1"/>
      <c r="CY292" s="1"/>
      <c r="CZ292" s="1"/>
      <c r="DA292" s="1"/>
      <c r="DB292" s="1"/>
      <c r="DC292" s="1"/>
      <c r="DD292" s="1"/>
      <c r="DE292" s="1"/>
      <c r="DF292" s="1"/>
      <c r="DG292" s="1"/>
      <c r="DH292" s="1"/>
      <c r="DI292" s="1"/>
      <c r="DJ292" s="1"/>
      <c r="DK292" s="1"/>
      <c r="DL292" s="1"/>
      <c r="DM292" s="1"/>
      <c r="DN292" s="1"/>
      <c r="DO292" s="1"/>
      <c r="DP292" s="1"/>
      <c r="DQ292" s="1"/>
      <c r="DR292" s="1"/>
      <c r="DS292" s="1"/>
      <c r="DT292" s="1"/>
      <c r="DU292" s="1"/>
      <c r="DV292" s="1"/>
      <c r="DW292" s="1"/>
      <c r="DX292" s="1"/>
      <c r="DY292" s="1"/>
      <c r="DZ292" s="1"/>
      <c r="EA292" s="1"/>
      <c r="EB292" s="1"/>
      <c r="EC292" s="1"/>
      <c r="ED292" s="1"/>
      <c r="EE292" s="1"/>
      <c r="EF292" s="1"/>
      <c r="EG292" s="1"/>
      <c r="EH292" s="1"/>
      <c r="EI292" s="1"/>
      <c r="EJ292" s="1"/>
      <c r="EK292" s="1"/>
      <c r="EL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c r="BW293" s="1"/>
      <c r="BX293" s="1"/>
      <c r="BY293" s="1"/>
      <c r="BZ293" s="1"/>
      <c r="CA293" s="1"/>
      <c r="CB293" s="1"/>
      <c r="CC293" s="1"/>
      <c r="CD293" s="1"/>
      <c r="CE293" s="1"/>
      <c r="CF293" s="1"/>
      <c r="CG293" s="1"/>
      <c r="CH293" s="1"/>
      <c r="CI293" s="1"/>
      <c r="CJ293" s="1"/>
      <c r="CK293" s="1"/>
      <c r="CL293" s="1"/>
      <c r="CM293" s="1"/>
      <c r="CN293" s="1"/>
      <c r="CO293" s="1"/>
      <c r="CP293" s="1"/>
      <c r="CQ293" s="1"/>
      <c r="CR293" s="1"/>
      <c r="CS293" s="1"/>
      <c r="CT293" s="1"/>
      <c r="CU293" s="1"/>
      <c r="CV293" s="1"/>
      <c r="CW293" s="1"/>
      <c r="CX293" s="1"/>
      <c r="CY293" s="1"/>
      <c r="CZ293" s="1"/>
      <c r="DA293" s="1"/>
      <c r="DB293" s="1"/>
      <c r="DC293" s="1"/>
      <c r="DD293" s="1"/>
      <c r="DE293" s="1"/>
      <c r="DF293" s="1"/>
      <c r="DG293" s="1"/>
      <c r="DH293" s="1"/>
      <c r="DI293" s="1"/>
      <c r="DJ293" s="1"/>
      <c r="DK293" s="1"/>
      <c r="DL293" s="1"/>
      <c r="DM293" s="1"/>
      <c r="DN293" s="1"/>
      <c r="DO293" s="1"/>
      <c r="DP293" s="1"/>
      <c r="DQ293" s="1"/>
      <c r="DR293" s="1"/>
      <c r="DS293" s="1"/>
      <c r="DT293" s="1"/>
      <c r="DU293" s="1"/>
      <c r="DV293" s="1"/>
      <c r="DW293" s="1"/>
      <c r="DX293" s="1"/>
      <c r="DY293" s="1"/>
      <c r="DZ293" s="1"/>
      <c r="EA293" s="1"/>
      <c r="EB293" s="1"/>
      <c r="EC293" s="1"/>
      <c r="ED293" s="1"/>
      <c r="EE293" s="1"/>
      <c r="EF293" s="1"/>
      <c r="EG293" s="1"/>
      <c r="EH293" s="1"/>
      <c r="EI293" s="1"/>
      <c r="EJ293" s="1"/>
      <c r="EK293" s="1"/>
      <c r="EL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1"/>
      <c r="BW294" s="1"/>
      <c r="BX294" s="1"/>
      <c r="BY294" s="1"/>
      <c r="BZ294" s="1"/>
      <c r="CA294" s="1"/>
      <c r="CB294" s="1"/>
      <c r="CC294" s="1"/>
      <c r="CD294" s="1"/>
      <c r="CE294" s="1"/>
      <c r="CF294" s="1"/>
      <c r="CG294" s="1"/>
      <c r="CH294" s="1"/>
      <c r="CI294" s="1"/>
      <c r="CJ294" s="1"/>
      <c r="CK294" s="1"/>
      <c r="CL294" s="1"/>
      <c r="CM294" s="1"/>
      <c r="CN294" s="1"/>
      <c r="CO294" s="1"/>
      <c r="CP294" s="1"/>
      <c r="CQ294" s="1"/>
      <c r="CR294" s="1"/>
      <c r="CS294" s="1"/>
      <c r="CT294" s="1"/>
      <c r="CU294" s="1"/>
      <c r="CV294" s="1"/>
      <c r="CW294" s="1"/>
      <c r="CX294" s="1"/>
      <c r="CY294" s="1"/>
      <c r="CZ294" s="1"/>
      <c r="DA294" s="1"/>
      <c r="DB294" s="1"/>
      <c r="DC294" s="1"/>
      <c r="DD294" s="1"/>
      <c r="DE294" s="1"/>
      <c r="DF294" s="1"/>
      <c r="DG294" s="1"/>
      <c r="DH294" s="1"/>
      <c r="DI294" s="1"/>
      <c r="DJ294" s="1"/>
      <c r="DK294" s="1"/>
      <c r="DL294" s="1"/>
      <c r="DM294" s="1"/>
      <c r="DN294" s="1"/>
      <c r="DO294" s="1"/>
      <c r="DP294" s="1"/>
      <c r="DQ294" s="1"/>
      <c r="DR294" s="1"/>
      <c r="DS294" s="1"/>
      <c r="DT294" s="1"/>
      <c r="DU294" s="1"/>
      <c r="DV294" s="1"/>
      <c r="DW294" s="1"/>
      <c r="DX294" s="1"/>
      <c r="DY294" s="1"/>
      <c r="DZ294" s="1"/>
      <c r="EA294" s="1"/>
      <c r="EB294" s="1"/>
      <c r="EC294" s="1"/>
      <c r="ED294" s="1"/>
      <c r="EE294" s="1"/>
      <c r="EF294" s="1"/>
      <c r="EG294" s="1"/>
      <c r="EH294" s="1"/>
      <c r="EI294" s="1"/>
      <c r="EJ294" s="1"/>
      <c r="EK294" s="1"/>
      <c r="EL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1"/>
      <c r="BW295" s="1"/>
      <c r="BX295" s="1"/>
      <c r="BY295" s="1"/>
      <c r="BZ295" s="1"/>
      <c r="CA295" s="1"/>
      <c r="CB295" s="1"/>
      <c r="CC295" s="1"/>
      <c r="CD295" s="1"/>
      <c r="CE295" s="1"/>
      <c r="CF295" s="1"/>
      <c r="CG295" s="1"/>
      <c r="CH295" s="1"/>
      <c r="CI295" s="1"/>
      <c r="CJ295" s="1"/>
      <c r="CK295" s="1"/>
      <c r="CL295" s="1"/>
      <c r="CM295" s="1"/>
      <c r="CN295" s="1"/>
      <c r="CO295" s="1"/>
      <c r="CP295" s="1"/>
      <c r="CQ295" s="1"/>
      <c r="CR295" s="1"/>
      <c r="CS295" s="1"/>
      <c r="CT295" s="1"/>
      <c r="CU295" s="1"/>
      <c r="CV295" s="1"/>
      <c r="CW295" s="1"/>
      <c r="CX295" s="1"/>
      <c r="CY295" s="1"/>
      <c r="CZ295" s="1"/>
      <c r="DA295" s="1"/>
      <c r="DB295" s="1"/>
      <c r="DC295" s="1"/>
      <c r="DD295" s="1"/>
      <c r="DE295" s="1"/>
      <c r="DF295" s="1"/>
      <c r="DG295" s="1"/>
      <c r="DH295" s="1"/>
      <c r="DI295" s="1"/>
      <c r="DJ295" s="1"/>
      <c r="DK295" s="1"/>
      <c r="DL295" s="1"/>
      <c r="DM295" s="1"/>
      <c r="DN295" s="1"/>
      <c r="DO295" s="1"/>
      <c r="DP295" s="1"/>
      <c r="DQ295" s="1"/>
      <c r="DR295" s="1"/>
      <c r="DS295" s="1"/>
      <c r="DT295" s="1"/>
      <c r="DU295" s="1"/>
      <c r="DV295" s="1"/>
      <c r="DW295" s="1"/>
      <c r="DX295" s="1"/>
      <c r="DY295" s="1"/>
      <c r="DZ295" s="1"/>
      <c r="EA295" s="1"/>
      <c r="EB295" s="1"/>
      <c r="EC295" s="1"/>
      <c r="ED295" s="1"/>
      <c r="EE295" s="1"/>
      <c r="EF295" s="1"/>
      <c r="EG295" s="1"/>
      <c r="EH295" s="1"/>
      <c r="EI295" s="1"/>
      <c r="EJ295" s="1"/>
      <c r="EK295" s="1"/>
      <c r="EL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1"/>
      <c r="BW296" s="1"/>
      <c r="BX296" s="1"/>
      <c r="BY296" s="1"/>
      <c r="BZ296" s="1"/>
      <c r="CA296" s="1"/>
      <c r="CB296" s="1"/>
      <c r="CC296" s="1"/>
      <c r="CD296" s="1"/>
      <c r="CE296" s="1"/>
      <c r="CF296" s="1"/>
      <c r="CG296" s="1"/>
      <c r="CH296" s="1"/>
      <c r="CI296" s="1"/>
      <c r="CJ296" s="1"/>
      <c r="CK296" s="1"/>
      <c r="CL296" s="1"/>
      <c r="CM296" s="1"/>
      <c r="CN296" s="1"/>
      <c r="CO296" s="1"/>
      <c r="CP296" s="1"/>
      <c r="CQ296" s="1"/>
      <c r="CR296" s="1"/>
      <c r="CS296" s="1"/>
      <c r="CT296" s="1"/>
      <c r="CU296" s="1"/>
      <c r="CV296" s="1"/>
      <c r="CW296" s="1"/>
      <c r="CX296" s="1"/>
      <c r="CY296" s="1"/>
      <c r="CZ296" s="1"/>
      <c r="DA296" s="1"/>
      <c r="DB296" s="1"/>
      <c r="DC296" s="1"/>
      <c r="DD296" s="1"/>
      <c r="DE296" s="1"/>
      <c r="DF296" s="1"/>
      <c r="DG296" s="1"/>
      <c r="DH296" s="1"/>
      <c r="DI296" s="1"/>
      <c r="DJ296" s="1"/>
      <c r="DK296" s="1"/>
      <c r="DL296" s="1"/>
      <c r="DM296" s="1"/>
      <c r="DN296" s="1"/>
      <c r="DO296" s="1"/>
      <c r="DP296" s="1"/>
      <c r="DQ296" s="1"/>
      <c r="DR296" s="1"/>
      <c r="DS296" s="1"/>
      <c r="DT296" s="1"/>
      <c r="DU296" s="1"/>
      <c r="DV296" s="1"/>
      <c r="DW296" s="1"/>
      <c r="DX296" s="1"/>
      <c r="DY296" s="1"/>
      <c r="DZ296" s="1"/>
      <c r="EA296" s="1"/>
      <c r="EB296" s="1"/>
      <c r="EC296" s="1"/>
      <c r="ED296" s="1"/>
      <c r="EE296" s="1"/>
      <c r="EF296" s="1"/>
      <c r="EG296" s="1"/>
      <c r="EH296" s="1"/>
      <c r="EI296" s="1"/>
      <c r="EJ296" s="1"/>
      <c r="EK296" s="1"/>
      <c r="EL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1"/>
      <c r="BW297" s="1"/>
      <c r="BX297" s="1"/>
      <c r="BY297" s="1"/>
      <c r="BZ297" s="1"/>
      <c r="CA297" s="1"/>
      <c r="CB297" s="1"/>
      <c r="CC297" s="1"/>
      <c r="CD297" s="1"/>
      <c r="CE297" s="1"/>
      <c r="CF297" s="1"/>
      <c r="CG297" s="1"/>
      <c r="CH297" s="1"/>
      <c r="CI297" s="1"/>
      <c r="CJ297" s="1"/>
      <c r="CK297" s="1"/>
      <c r="CL297" s="1"/>
      <c r="CM297" s="1"/>
      <c r="CN297" s="1"/>
      <c r="CO297" s="1"/>
      <c r="CP297" s="1"/>
      <c r="CQ297" s="1"/>
      <c r="CR297" s="1"/>
      <c r="CS297" s="1"/>
      <c r="CT297" s="1"/>
      <c r="CU297" s="1"/>
      <c r="CV297" s="1"/>
      <c r="CW297" s="1"/>
      <c r="CX297" s="1"/>
      <c r="CY297" s="1"/>
      <c r="CZ297" s="1"/>
      <c r="DA297" s="1"/>
      <c r="DB297" s="1"/>
      <c r="DC297" s="1"/>
      <c r="DD297" s="1"/>
      <c r="DE297" s="1"/>
      <c r="DF297" s="1"/>
      <c r="DG297" s="1"/>
      <c r="DH297" s="1"/>
      <c r="DI297" s="1"/>
      <c r="DJ297" s="1"/>
      <c r="DK297" s="1"/>
      <c r="DL297" s="1"/>
      <c r="DM297" s="1"/>
      <c r="DN297" s="1"/>
      <c r="DO297" s="1"/>
      <c r="DP297" s="1"/>
      <c r="DQ297" s="1"/>
      <c r="DR297" s="1"/>
      <c r="DS297" s="1"/>
      <c r="DT297" s="1"/>
      <c r="DU297" s="1"/>
      <c r="DV297" s="1"/>
      <c r="DW297" s="1"/>
      <c r="DX297" s="1"/>
      <c r="DY297" s="1"/>
      <c r="DZ297" s="1"/>
      <c r="EA297" s="1"/>
      <c r="EB297" s="1"/>
      <c r="EC297" s="1"/>
      <c r="ED297" s="1"/>
      <c r="EE297" s="1"/>
      <c r="EF297" s="1"/>
      <c r="EG297" s="1"/>
      <c r="EH297" s="1"/>
      <c r="EI297" s="1"/>
      <c r="EJ297" s="1"/>
      <c r="EK297" s="1"/>
      <c r="EL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1"/>
      <c r="BW298" s="1"/>
      <c r="BX298" s="1"/>
      <c r="BY298" s="1"/>
      <c r="BZ298" s="1"/>
      <c r="CA298" s="1"/>
      <c r="CB298" s="1"/>
      <c r="CC298" s="1"/>
      <c r="CD298" s="1"/>
      <c r="CE298" s="1"/>
      <c r="CF298" s="1"/>
      <c r="CG298" s="1"/>
      <c r="CH298" s="1"/>
      <c r="CI298" s="1"/>
      <c r="CJ298" s="1"/>
      <c r="CK298" s="1"/>
      <c r="CL298" s="1"/>
      <c r="CM298" s="1"/>
      <c r="CN298" s="1"/>
      <c r="CO298" s="1"/>
      <c r="CP298" s="1"/>
      <c r="CQ298" s="1"/>
      <c r="CR298" s="1"/>
      <c r="CS298" s="1"/>
      <c r="CT298" s="1"/>
      <c r="CU298" s="1"/>
      <c r="CV298" s="1"/>
      <c r="CW298" s="1"/>
      <c r="CX298" s="1"/>
      <c r="CY298" s="1"/>
      <c r="CZ298" s="1"/>
      <c r="DA298" s="1"/>
      <c r="DB298" s="1"/>
      <c r="DC298" s="1"/>
      <c r="DD298" s="1"/>
      <c r="DE298" s="1"/>
      <c r="DF298" s="1"/>
      <c r="DG298" s="1"/>
      <c r="DH298" s="1"/>
      <c r="DI298" s="1"/>
      <c r="DJ298" s="1"/>
      <c r="DK298" s="1"/>
      <c r="DL298" s="1"/>
      <c r="DM298" s="1"/>
      <c r="DN298" s="1"/>
      <c r="DO298" s="1"/>
      <c r="DP298" s="1"/>
      <c r="DQ298" s="1"/>
      <c r="DR298" s="1"/>
      <c r="DS298" s="1"/>
      <c r="DT298" s="1"/>
      <c r="DU298" s="1"/>
      <c r="DV298" s="1"/>
      <c r="DW298" s="1"/>
      <c r="DX298" s="1"/>
      <c r="DY298" s="1"/>
      <c r="DZ298" s="1"/>
      <c r="EA298" s="1"/>
      <c r="EB298" s="1"/>
      <c r="EC298" s="1"/>
      <c r="ED298" s="1"/>
      <c r="EE298" s="1"/>
      <c r="EF298" s="1"/>
      <c r="EG298" s="1"/>
      <c r="EH298" s="1"/>
      <c r="EI298" s="1"/>
      <c r="EJ298" s="1"/>
      <c r="EK298" s="1"/>
      <c r="EL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1"/>
      <c r="BW299" s="1"/>
      <c r="BX299" s="1"/>
      <c r="BY299" s="1"/>
      <c r="BZ299" s="1"/>
      <c r="CA299" s="1"/>
      <c r="CB299" s="1"/>
      <c r="CC299" s="1"/>
      <c r="CD299" s="1"/>
      <c r="CE299" s="1"/>
      <c r="CF299" s="1"/>
      <c r="CG299" s="1"/>
      <c r="CH299" s="1"/>
      <c r="CI299" s="1"/>
      <c r="CJ299" s="1"/>
      <c r="CK299" s="1"/>
      <c r="CL299" s="1"/>
      <c r="CM299" s="1"/>
      <c r="CN299" s="1"/>
      <c r="CO299" s="1"/>
      <c r="CP299" s="1"/>
      <c r="CQ299" s="1"/>
      <c r="CR299" s="1"/>
      <c r="CS299" s="1"/>
      <c r="CT299" s="1"/>
      <c r="CU299" s="1"/>
      <c r="CV299" s="1"/>
      <c r="CW299" s="1"/>
      <c r="CX299" s="1"/>
      <c r="CY299" s="1"/>
      <c r="CZ299" s="1"/>
      <c r="DA299" s="1"/>
      <c r="DB299" s="1"/>
      <c r="DC299" s="1"/>
      <c r="DD299" s="1"/>
      <c r="DE299" s="1"/>
      <c r="DF299" s="1"/>
      <c r="DG299" s="1"/>
      <c r="DH299" s="1"/>
      <c r="DI299" s="1"/>
      <c r="DJ299" s="1"/>
      <c r="DK299" s="1"/>
      <c r="DL299" s="1"/>
      <c r="DM299" s="1"/>
      <c r="DN299" s="1"/>
      <c r="DO299" s="1"/>
      <c r="DP299" s="1"/>
      <c r="DQ299" s="1"/>
      <c r="DR299" s="1"/>
      <c r="DS299" s="1"/>
      <c r="DT299" s="1"/>
      <c r="DU299" s="1"/>
      <c r="DV299" s="1"/>
      <c r="DW299" s="1"/>
      <c r="DX299" s="1"/>
      <c r="DY299" s="1"/>
      <c r="DZ299" s="1"/>
      <c r="EA299" s="1"/>
      <c r="EB299" s="1"/>
      <c r="EC299" s="1"/>
      <c r="ED299" s="1"/>
      <c r="EE299" s="1"/>
      <c r="EF299" s="1"/>
      <c r="EG299" s="1"/>
      <c r="EH299" s="1"/>
      <c r="EI299" s="1"/>
      <c r="EJ299" s="1"/>
      <c r="EK299" s="1"/>
      <c r="EL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c r="DZ300" s="1"/>
      <c r="EA300" s="1"/>
      <c r="EB300" s="1"/>
      <c r="EC300" s="1"/>
      <c r="ED300" s="1"/>
      <c r="EE300" s="1"/>
      <c r="EF300" s="1"/>
      <c r="EG300" s="1"/>
      <c r="EH300" s="1"/>
      <c r="EI300" s="1"/>
      <c r="EJ300" s="1"/>
      <c r="EK300" s="1"/>
      <c r="EL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1"/>
      <c r="BW301" s="1"/>
      <c r="BX301" s="1"/>
      <c r="BY301" s="1"/>
      <c r="BZ301" s="1"/>
      <c r="CA301" s="1"/>
      <c r="CB301" s="1"/>
      <c r="CC301" s="1"/>
      <c r="CD301" s="1"/>
      <c r="CE301" s="1"/>
      <c r="CF301" s="1"/>
      <c r="CG301" s="1"/>
      <c r="CH301" s="1"/>
      <c r="CI301" s="1"/>
      <c r="CJ301" s="1"/>
      <c r="CK301" s="1"/>
      <c r="CL301" s="1"/>
      <c r="CM301" s="1"/>
      <c r="CN301" s="1"/>
      <c r="CO301" s="1"/>
      <c r="CP301" s="1"/>
      <c r="CQ301" s="1"/>
      <c r="CR301" s="1"/>
      <c r="CS301" s="1"/>
      <c r="CT301" s="1"/>
      <c r="CU301" s="1"/>
      <c r="CV301" s="1"/>
      <c r="CW301" s="1"/>
      <c r="CX301" s="1"/>
      <c r="CY301" s="1"/>
      <c r="CZ301" s="1"/>
      <c r="DA301" s="1"/>
      <c r="DB301" s="1"/>
      <c r="DC301" s="1"/>
      <c r="DD301" s="1"/>
      <c r="DE301" s="1"/>
      <c r="DF301" s="1"/>
      <c r="DG301" s="1"/>
      <c r="DH301" s="1"/>
      <c r="DI301" s="1"/>
      <c r="DJ301" s="1"/>
      <c r="DK301" s="1"/>
      <c r="DL301" s="1"/>
      <c r="DM301" s="1"/>
      <c r="DN301" s="1"/>
      <c r="DO301" s="1"/>
      <c r="DP301" s="1"/>
      <c r="DQ301" s="1"/>
      <c r="DR301" s="1"/>
      <c r="DS301" s="1"/>
      <c r="DT301" s="1"/>
      <c r="DU301" s="1"/>
      <c r="DV301" s="1"/>
      <c r="DW301" s="1"/>
      <c r="DX301" s="1"/>
      <c r="DY301" s="1"/>
      <c r="DZ301" s="1"/>
      <c r="EA301" s="1"/>
      <c r="EB301" s="1"/>
      <c r="EC301" s="1"/>
      <c r="ED301" s="1"/>
      <c r="EE301" s="1"/>
      <c r="EF301" s="1"/>
      <c r="EG301" s="1"/>
      <c r="EH301" s="1"/>
      <c r="EI301" s="1"/>
      <c r="EJ301" s="1"/>
      <c r="EK301" s="1"/>
      <c r="EL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c r="BW302" s="1"/>
      <c r="BX302" s="1"/>
      <c r="BY302" s="1"/>
      <c r="BZ302" s="1"/>
      <c r="CA302" s="1"/>
      <c r="CB302" s="1"/>
      <c r="CC302" s="1"/>
      <c r="CD302" s="1"/>
      <c r="CE302" s="1"/>
      <c r="CF302" s="1"/>
      <c r="CG302" s="1"/>
      <c r="CH302" s="1"/>
      <c r="CI302" s="1"/>
      <c r="CJ302" s="1"/>
      <c r="CK302" s="1"/>
      <c r="CL302" s="1"/>
      <c r="CM302" s="1"/>
      <c r="CN302" s="1"/>
      <c r="CO302" s="1"/>
      <c r="CP302" s="1"/>
      <c r="CQ302" s="1"/>
      <c r="CR302" s="1"/>
      <c r="CS302" s="1"/>
      <c r="CT302" s="1"/>
      <c r="CU302" s="1"/>
      <c r="CV302" s="1"/>
      <c r="CW302" s="1"/>
      <c r="CX302" s="1"/>
      <c r="CY302" s="1"/>
      <c r="CZ302" s="1"/>
      <c r="DA302" s="1"/>
      <c r="DB302" s="1"/>
      <c r="DC302" s="1"/>
      <c r="DD302" s="1"/>
      <c r="DE302" s="1"/>
      <c r="DF302" s="1"/>
      <c r="DG302" s="1"/>
      <c r="DH302" s="1"/>
      <c r="DI302" s="1"/>
      <c r="DJ302" s="1"/>
      <c r="DK302" s="1"/>
      <c r="DL302" s="1"/>
      <c r="DM302" s="1"/>
      <c r="DN302" s="1"/>
      <c r="DO302" s="1"/>
      <c r="DP302" s="1"/>
      <c r="DQ302" s="1"/>
      <c r="DR302" s="1"/>
      <c r="DS302" s="1"/>
      <c r="DT302" s="1"/>
      <c r="DU302" s="1"/>
      <c r="DV302" s="1"/>
      <c r="DW302" s="1"/>
      <c r="DX302" s="1"/>
      <c r="DY302" s="1"/>
      <c r="DZ302" s="1"/>
      <c r="EA302" s="1"/>
      <c r="EB302" s="1"/>
      <c r="EC302" s="1"/>
      <c r="ED302" s="1"/>
      <c r="EE302" s="1"/>
      <c r="EF302" s="1"/>
      <c r="EG302" s="1"/>
      <c r="EH302" s="1"/>
      <c r="EI302" s="1"/>
      <c r="EJ302" s="1"/>
      <c r="EK302" s="1"/>
      <c r="EL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c r="BW303" s="1"/>
      <c r="BX303" s="1"/>
      <c r="BY303" s="1"/>
      <c r="BZ303" s="1"/>
      <c r="CA303" s="1"/>
      <c r="CB303" s="1"/>
      <c r="CC303" s="1"/>
      <c r="CD303" s="1"/>
      <c r="CE303" s="1"/>
      <c r="CF303" s="1"/>
      <c r="CG303" s="1"/>
      <c r="CH303" s="1"/>
      <c r="CI303" s="1"/>
      <c r="CJ303" s="1"/>
      <c r="CK303" s="1"/>
      <c r="CL303" s="1"/>
      <c r="CM303" s="1"/>
      <c r="CN303" s="1"/>
      <c r="CO303" s="1"/>
      <c r="CP303" s="1"/>
      <c r="CQ303" s="1"/>
      <c r="CR303" s="1"/>
      <c r="CS303" s="1"/>
      <c r="CT303" s="1"/>
      <c r="CU303" s="1"/>
      <c r="CV303" s="1"/>
      <c r="CW303" s="1"/>
      <c r="CX303" s="1"/>
      <c r="CY303" s="1"/>
      <c r="CZ303" s="1"/>
      <c r="DA303" s="1"/>
      <c r="DB303" s="1"/>
      <c r="DC303" s="1"/>
      <c r="DD303" s="1"/>
      <c r="DE303" s="1"/>
      <c r="DF303" s="1"/>
      <c r="DG303" s="1"/>
      <c r="DH303" s="1"/>
      <c r="DI303" s="1"/>
      <c r="DJ303" s="1"/>
      <c r="DK303" s="1"/>
      <c r="DL303" s="1"/>
      <c r="DM303" s="1"/>
      <c r="DN303" s="1"/>
      <c r="DO303" s="1"/>
      <c r="DP303" s="1"/>
      <c r="DQ303" s="1"/>
      <c r="DR303" s="1"/>
      <c r="DS303" s="1"/>
      <c r="DT303" s="1"/>
      <c r="DU303" s="1"/>
      <c r="DV303" s="1"/>
      <c r="DW303" s="1"/>
      <c r="DX303" s="1"/>
      <c r="DY303" s="1"/>
      <c r="DZ303" s="1"/>
      <c r="EA303" s="1"/>
      <c r="EB303" s="1"/>
      <c r="EC303" s="1"/>
      <c r="ED303" s="1"/>
      <c r="EE303" s="1"/>
      <c r="EF303" s="1"/>
      <c r="EG303" s="1"/>
      <c r="EH303" s="1"/>
      <c r="EI303" s="1"/>
      <c r="EJ303" s="1"/>
      <c r="EK303" s="1"/>
      <c r="EL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1"/>
      <c r="BW304" s="1"/>
      <c r="BX304" s="1"/>
      <c r="BY304" s="1"/>
      <c r="BZ304" s="1"/>
      <c r="CA304" s="1"/>
      <c r="CB304" s="1"/>
      <c r="CC304" s="1"/>
      <c r="CD304" s="1"/>
      <c r="CE304" s="1"/>
      <c r="CF304" s="1"/>
      <c r="CG304" s="1"/>
      <c r="CH304" s="1"/>
      <c r="CI304" s="1"/>
      <c r="CJ304" s="1"/>
      <c r="CK304" s="1"/>
      <c r="CL304" s="1"/>
      <c r="CM304" s="1"/>
      <c r="CN304" s="1"/>
      <c r="CO304" s="1"/>
      <c r="CP304" s="1"/>
      <c r="CQ304" s="1"/>
      <c r="CR304" s="1"/>
      <c r="CS304" s="1"/>
      <c r="CT304" s="1"/>
      <c r="CU304" s="1"/>
      <c r="CV304" s="1"/>
      <c r="CW304" s="1"/>
      <c r="CX304" s="1"/>
      <c r="CY304" s="1"/>
      <c r="CZ304" s="1"/>
      <c r="DA304" s="1"/>
      <c r="DB304" s="1"/>
      <c r="DC304" s="1"/>
      <c r="DD304" s="1"/>
      <c r="DE304" s="1"/>
      <c r="DF304" s="1"/>
      <c r="DG304" s="1"/>
      <c r="DH304" s="1"/>
      <c r="DI304" s="1"/>
      <c r="DJ304" s="1"/>
      <c r="DK304" s="1"/>
      <c r="DL304" s="1"/>
      <c r="DM304" s="1"/>
      <c r="DN304" s="1"/>
      <c r="DO304" s="1"/>
      <c r="DP304" s="1"/>
      <c r="DQ304" s="1"/>
      <c r="DR304" s="1"/>
      <c r="DS304" s="1"/>
      <c r="DT304" s="1"/>
      <c r="DU304" s="1"/>
      <c r="DV304" s="1"/>
      <c r="DW304" s="1"/>
      <c r="DX304" s="1"/>
      <c r="DY304" s="1"/>
      <c r="DZ304" s="1"/>
      <c r="EA304" s="1"/>
      <c r="EB304" s="1"/>
      <c r="EC304" s="1"/>
      <c r="ED304" s="1"/>
      <c r="EE304" s="1"/>
      <c r="EF304" s="1"/>
      <c r="EG304" s="1"/>
      <c r="EH304" s="1"/>
      <c r="EI304" s="1"/>
      <c r="EJ304" s="1"/>
      <c r="EK304" s="1"/>
      <c r="EL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1"/>
      <c r="BW305" s="1"/>
      <c r="BX305" s="1"/>
      <c r="BY305" s="1"/>
      <c r="BZ305" s="1"/>
      <c r="CA305" s="1"/>
      <c r="CB305" s="1"/>
      <c r="CC305" s="1"/>
      <c r="CD305" s="1"/>
      <c r="CE305" s="1"/>
      <c r="CF305" s="1"/>
      <c r="CG305" s="1"/>
      <c r="CH305" s="1"/>
      <c r="CI305" s="1"/>
      <c r="CJ305" s="1"/>
      <c r="CK305" s="1"/>
      <c r="CL305" s="1"/>
      <c r="CM305" s="1"/>
      <c r="CN305" s="1"/>
      <c r="CO305" s="1"/>
      <c r="CP305" s="1"/>
      <c r="CQ305" s="1"/>
      <c r="CR305" s="1"/>
      <c r="CS305" s="1"/>
      <c r="CT305" s="1"/>
      <c r="CU305" s="1"/>
      <c r="CV305" s="1"/>
      <c r="CW305" s="1"/>
      <c r="CX305" s="1"/>
      <c r="CY305" s="1"/>
      <c r="CZ305" s="1"/>
      <c r="DA305" s="1"/>
      <c r="DB305" s="1"/>
      <c r="DC305" s="1"/>
      <c r="DD305" s="1"/>
      <c r="DE305" s="1"/>
      <c r="DF305" s="1"/>
      <c r="DG305" s="1"/>
      <c r="DH305" s="1"/>
      <c r="DI305" s="1"/>
      <c r="DJ305" s="1"/>
      <c r="DK305" s="1"/>
      <c r="DL305" s="1"/>
      <c r="DM305" s="1"/>
      <c r="DN305" s="1"/>
      <c r="DO305" s="1"/>
      <c r="DP305" s="1"/>
      <c r="DQ305" s="1"/>
      <c r="DR305" s="1"/>
      <c r="DS305" s="1"/>
      <c r="DT305" s="1"/>
      <c r="DU305" s="1"/>
      <c r="DV305" s="1"/>
      <c r="DW305" s="1"/>
      <c r="DX305" s="1"/>
      <c r="DY305" s="1"/>
      <c r="DZ305" s="1"/>
      <c r="EA305" s="1"/>
      <c r="EB305" s="1"/>
      <c r="EC305" s="1"/>
      <c r="ED305" s="1"/>
      <c r="EE305" s="1"/>
      <c r="EF305" s="1"/>
      <c r="EG305" s="1"/>
      <c r="EH305" s="1"/>
      <c r="EI305" s="1"/>
      <c r="EJ305" s="1"/>
      <c r="EK305" s="1"/>
      <c r="EL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c r="DZ306" s="1"/>
      <c r="EA306" s="1"/>
      <c r="EB306" s="1"/>
      <c r="EC306" s="1"/>
      <c r="ED306" s="1"/>
      <c r="EE306" s="1"/>
      <c r="EF306" s="1"/>
      <c r="EG306" s="1"/>
      <c r="EH306" s="1"/>
      <c r="EI306" s="1"/>
      <c r="EJ306" s="1"/>
      <c r="EK306" s="1"/>
      <c r="EL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1"/>
      <c r="BW307" s="1"/>
      <c r="BX307" s="1"/>
      <c r="BY307" s="1"/>
      <c r="BZ307" s="1"/>
      <c r="CA307" s="1"/>
      <c r="CB307" s="1"/>
      <c r="CC307" s="1"/>
      <c r="CD307" s="1"/>
      <c r="CE307" s="1"/>
      <c r="CF307" s="1"/>
      <c r="CG307" s="1"/>
      <c r="CH307" s="1"/>
      <c r="CI307" s="1"/>
      <c r="CJ307" s="1"/>
      <c r="CK307" s="1"/>
      <c r="CL307" s="1"/>
      <c r="CM307" s="1"/>
      <c r="CN307" s="1"/>
      <c r="CO307" s="1"/>
      <c r="CP307" s="1"/>
      <c r="CQ307" s="1"/>
      <c r="CR307" s="1"/>
      <c r="CS307" s="1"/>
      <c r="CT307" s="1"/>
      <c r="CU307" s="1"/>
      <c r="CV307" s="1"/>
      <c r="CW307" s="1"/>
      <c r="CX307" s="1"/>
      <c r="CY307" s="1"/>
      <c r="CZ307" s="1"/>
      <c r="DA307" s="1"/>
      <c r="DB307" s="1"/>
      <c r="DC307" s="1"/>
      <c r="DD307" s="1"/>
      <c r="DE307" s="1"/>
      <c r="DF307" s="1"/>
      <c r="DG307" s="1"/>
      <c r="DH307" s="1"/>
      <c r="DI307" s="1"/>
      <c r="DJ307" s="1"/>
      <c r="DK307" s="1"/>
      <c r="DL307" s="1"/>
      <c r="DM307" s="1"/>
      <c r="DN307" s="1"/>
      <c r="DO307" s="1"/>
      <c r="DP307" s="1"/>
      <c r="DQ307" s="1"/>
      <c r="DR307" s="1"/>
      <c r="DS307" s="1"/>
      <c r="DT307" s="1"/>
      <c r="DU307" s="1"/>
      <c r="DV307" s="1"/>
      <c r="DW307" s="1"/>
      <c r="DX307" s="1"/>
      <c r="DY307" s="1"/>
      <c r="DZ307" s="1"/>
      <c r="EA307" s="1"/>
      <c r="EB307" s="1"/>
      <c r="EC307" s="1"/>
      <c r="ED307" s="1"/>
      <c r="EE307" s="1"/>
      <c r="EF307" s="1"/>
      <c r="EG307" s="1"/>
      <c r="EH307" s="1"/>
      <c r="EI307" s="1"/>
      <c r="EJ307" s="1"/>
      <c r="EK307" s="1"/>
      <c r="EL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c r="BW308" s="1"/>
      <c r="BX308" s="1"/>
      <c r="BY308" s="1"/>
      <c r="BZ308" s="1"/>
      <c r="CA308" s="1"/>
      <c r="CB308" s="1"/>
      <c r="CC308" s="1"/>
      <c r="CD308" s="1"/>
      <c r="CE308" s="1"/>
      <c r="CF308" s="1"/>
      <c r="CG308" s="1"/>
      <c r="CH308" s="1"/>
      <c r="CI308" s="1"/>
      <c r="CJ308" s="1"/>
      <c r="CK308" s="1"/>
      <c r="CL308" s="1"/>
      <c r="CM308" s="1"/>
      <c r="CN308" s="1"/>
      <c r="CO308" s="1"/>
      <c r="CP308" s="1"/>
      <c r="CQ308" s="1"/>
      <c r="CR308" s="1"/>
      <c r="CS308" s="1"/>
      <c r="CT308" s="1"/>
      <c r="CU308" s="1"/>
      <c r="CV308" s="1"/>
      <c r="CW308" s="1"/>
      <c r="CX308" s="1"/>
      <c r="CY308" s="1"/>
      <c r="CZ308" s="1"/>
      <c r="DA308" s="1"/>
      <c r="DB308" s="1"/>
      <c r="DC308" s="1"/>
      <c r="DD308" s="1"/>
      <c r="DE308" s="1"/>
      <c r="DF308" s="1"/>
      <c r="DG308" s="1"/>
      <c r="DH308" s="1"/>
      <c r="DI308" s="1"/>
      <c r="DJ308" s="1"/>
      <c r="DK308" s="1"/>
      <c r="DL308" s="1"/>
      <c r="DM308" s="1"/>
      <c r="DN308" s="1"/>
      <c r="DO308" s="1"/>
      <c r="DP308" s="1"/>
      <c r="DQ308" s="1"/>
      <c r="DR308" s="1"/>
      <c r="DS308" s="1"/>
      <c r="DT308" s="1"/>
      <c r="DU308" s="1"/>
      <c r="DV308" s="1"/>
      <c r="DW308" s="1"/>
      <c r="DX308" s="1"/>
      <c r="DY308" s="1"/>
      <c r="DZ308" s="1"/>
      <c r="EA308" s="1"/>
      <c r="EB308" s="1"/>
      <c r="EC308" s="1"/>
      <c r="ED308" s="1"/>
      <c r="EE308" s="1"/>
      <c r="EF308" s="1"/>
      <c r="EG308" s="1"/>
      <c r="EH308" s="1"/>
      <c r="EI308" s="1"/>
      <c r="EJ308" s="1"/>
      <c r="EK308" s="1"/>
      <c r="EL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c r="BW309" s="1"/>
      <c r="BX309" s="1"/>
      <c r="BY309" s="1"/>
      <c r="BZ309" s="1"/>
      <c r="CA309" s="1"/>
      <c r="CB309" s="1"/>
      <c r="CC309" s="1"/>
      <c r="CD309" s="1"/>
      <c r="CE309" s="1"/>
      <c r="CF309" s="1"/>
      <c r="CG309" s="1"/>
      <c r="CH309" s="1"/>
      <c r="CI309" s="1"/>
      <c r="CJ309" s="1"/>
      <c r="CK309" s="1"/>
      <c r="CL309" s="1"/>
      <c r="CM309" s="1"/>
      <c r="CN309" s="1"/>
      <c r="CO309" s="1"/>
      <c r="CP309" s="1"/>
      <c r="CQ309" s="1"/>
      <c r="CR309" s="1"/>
      <c r="CS309" s="1"/>
      <c r="CT309" s="1"/>
      <c r="CU309" s="1"/>
      <c r="CV309" s="1"/>
      <c r="CW309" s="1"/>
      <c r="CX309" s="1"/>
      <c r="CY309" s="1"/>
      <c r="CZ309" s="1"/>
      <c r="DA309" s="1"/>
      <c r="DB309" s="1"/>
      <c r="DC309" s="1"/>
      <c r="DD309" s="1"/>
      <c r="DE309" s="1"/>
      <c r="DF309" s="1"/>
      <c r="DG309" s="1"/>
      <c r="DH309" s="1"/>
      <c r="DI309" s="1"/>
      <c r="DJ309" s="1"/>
      <c r="DK309" s="1"/>
      <c r="DL309" s="1"/>
      <c r="DM309" s="1"/>
      <c r="DN309" s="1"/>
      <c r="DO309" s="1"/>
      <c r="DP309" s="1"/>
      <c r="DQ309" s="1"/>
      <c r="DR309" s="1"/>
      <c r="DS309" s="1"/>
      <c r="DT309" s="1"/>
      <c r="DU309" s="1"/>
      <c r="DV309" s="1"/>
      <c r="DW309" s="1"/>
      <c r="DX309" s="1"/>
      <c r="DY309" s="1"/>
      <c r="DZ309" s="1"/>
      <c r="EA309" s="1"/>
      <c r="EB309" s="1"/>
      <c r="EC309" s="1"/>
      <c r="ED309" s="1"/>
      <c r="EE309" s="1"/>
      <c r="EF309" s="1"/>
      <c r="EG309" s="1"/>
      <c r="EH309" s="1"/>
      <c r="EI309" s="1"/>
      <c r="EJ309" s="1"/>
      <c r="EK309" s="1"/>
      <c r="EL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1"/>
      <c r="BW310" s="1"/>
      <c r="BX310" s="1"/>
      <c r="BY310" s="1"/>
      <c r="BZ310" s="1"/>
      <c r="CA310" s="1"/>
      <c r="CB310" s="1"/>
      <c r="CC310" s="1"/>
      <c r="CD310" s="1"/>
      <c r="CE310" s="1"/>
      <c r="CF310" s="1"/>
      <c r="CG310" s="1"/>
      <c r="CH310" s="1"/>
      <c r="CI310" s="1"/>
      <c r="CJ310" s="1"/>
      <c r="CK310" s="1"/>
      <c r="CL310" s="1"/>
      <c r="CM310" s="1"/>
      <c r="CN310" s="1"/>
      <c r="CO310" s="1"/>
      <c r="CP310" s="1"/>
      <c r="CQ310" s="1"/>
      <c r="CR310" s="1"/>
      <c r="CS310" s="1"/>
      <c r="CT310" s="1"/>
      <c r="CU310" s="1"/>
      <c r="CV310" s="1"/>
      <c r="CW310" s="1"/>
      <c r="CX310" s="1"/>
      <c r="CY310" s="1"/>
      <c r="CZ310" s="1"/>
      <c r="DA310" s="1"/>
      <c r="DB310" s="1"/>
      <c r="DC310" s="1"/>
      <c r="DD310" s="1"/>
      <c r="DE310" s="1"/>
      <c r="DF310" s="1"/>
      <c r="DG310" s="1"/>
      <c r="DH310" s="1"/>
      <c r="DI310" s="1"/>
      <c r="DJ310" s="1"/>
      <c r="DK310" s="1"/>
      <c r="DL310" s="1"/>
      <c r="DM310" s="1"/>
      <c r="DN310" s="1"/>
      <c r="DO310" s="1"/>
      <c r="DP310" s="1"/>
      <c r="DQ310" s="1"/>
      <c r="DR310" s="1"/>
      <c r="DS310" s="1"/>
      <c r="DT310" s="1"/>
      <c r="DU310" s="1"/>
      <c r="DV310" s="1"/>
      <c r="DW310" s="1"/>
      <c r="DX310" s="1"/>
      <c r="DY310" s="1"/>
      <c r="DZ310" s="1"/>
      <c r="EA310" s="1"/>
      <c r="EB310" s="1"/>
      <c r="EC310" s="1"/>
      <c r="ED310" s="1"/>
      <c r="EE310" s="1"/>
      <c r="EF310" s="1"/>
      <c r="EG310" s="1"/>
      <c r="EH310" s="1"/>
      <c r="EI310" s="1"/>
      <c r="EJ310" s="1"/>
      <c r="EK310" s="1"/>
      <c r="EL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1"/>
      <c r="BW311" s="1"/>
      <c r="BX311" s="1"/>
      <c r="BY311" s="1"/>
      <c r="BZ311" s="1"/>
      <c r="CA311" s="1"/>
      <c r="CB311" s="1"/>
      <c r="CC311" s="1"/>
      <c r="CD311" s="1"/>
      <c r="CE311" s="1"/>
      <c r="CF311" s="1"/>
      <c r="CG311" s="1"/>
      <c r="CH311" s="1"/>
      <c r="CI311" s="1"/>
      <c r="CJ311" s="1"/>
      <c r="CK311" s="1"/>
      <c r="CL311" s="1"/>
      <c r="CM311" s="1"/>
      <c r="CN311" s="1"/>
      <c r="CO311" s="1"/>
      <c r="CP311" s="1"/>
      <c r="CQ311" s="1"/>
      <c r="CR311" s="1"/>
      <c r="CS311" s="1"/>
      <c r="CT311" s="1"/>
      <c r="CU311" s="1"/>
      <c r="CV311" s="1"/>
      <c r="CW311" s="1"/>
      <c r="CX311" s="1"/>
      <c r="CY311" s="1"/>
      <c r="CZ311" s="1"/>
      <c r="DA311" s="1"/>
      <c r="DB311" s="1"/>
      <c r="DC311" s="1"/>
      <c r="DD311" s="1"/>
      <c r="DE311" s="1"/>
      <c r="DF311" s="1"/>
      <c r="DG311" s="1"/>
      <c r="DH311" s="1"/>
      <c r="DI311" s="1"/>
      <c r="DJ311" s="1"/>
      <c r="DK311" s="1"/>
      <c r="DL311" s="1"/>
      <c r="DM311" s="1"/>
      <c r="DN311" s="1"/>
      <c r="DO311" s="1"/>
      <c r="DP311" s="1"/>
      <c r="DQ311" s="1"/>
      <c r="DR311" s="1"/>
      <c r="DS311" s="1"/>
      <c r="DT311" s="1"/>
      <c r="DU311" s="1"/>
      <c r="DV311" s="1"/>
      <c r="DW311" s="1"/>
      <c r="DX311" s="1"/>
      <c r="DY311" s="1"/>
      <c r="DZ311" s="1"/>
      <c r="EA311" s="1"/>
      <c r="EB311" s="1"/>
      <c r="EC311" s="1"/>
      <c r="ED311" s="1"/>
      <c r="EE311" s="1"/>
      <c r="EF311" s="1"/>
      <c r="EG311" s="1"/>
      <c r="EH311" s="1"/>
      <c r="EI311" s="1"/>
      <c r="EJ311" s="1"/>
      <c r="EK311" s="1"/>
      <c r="EL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1"/>
      <c r="BW312" s="1"/>
      <c r="BX312" s="1"/>
      <c r="BY312" s="1"/>
      <c r="BZ312" s="1"/>
      <c r="CA312" s="1"/>
      <c r="CB312" s="1"/>
      <c r="CC312" s="1"/>
      <c r="CD312" s="1"/>
      <c r="CE312" s="1"/>
      <c r="CF312" s="1"/>
      <c r="CG312" s="1"/>
      <c r="CH312" s="1"/>
      <c r="CI312" s="1"/>
      <c r="CJ312" s="1"/>
      <c r="CK312" s="1"/>
      <c r="CL312" s="1"/>
      <c r="CM312" s="1"/>
      <c r="CN312" s="1"/>
      <c r="CO312" s="1"/>
      <c r="CP312" s="1"/>
      <c r="CQ312" s="1"/>
      <c r="CR312" s="1"/>
      <c r="CS312" s="1"/>
      <c r="CT312" s="1"/>
      <c r="CU312" s="1"/>
      <c r="CV312" s="1"/>
      <c r="CW312" s="1"/>
      <c r="CX312" s="1"/>
      <c r="CY312" s="1"/>
      <c r="CZ312" s="1"/>
      <c r="DA312" s="1"/>
      <c r="DB312" s="1"/>
      <c r="DC312" s="1"/>
      <c r="DD312" s="1"/>
      <c r="DE312" s="1"/>
      <c r="DF312" s="1"/>
      <c r="DG312" s="1"/>
      <c r="DH312" s="1"/>
      <c r="DI312" s="1"/>
      <c r="DJ312" s="1"/>
      <c r="DK312" s="1"/>
      <c r="DL312" s="1"/>
      <c r="DM312" s="1"/>
      <c r="DN312" s="1"/>
      <c r="DO312" s="1"/>
      <c r="DP312" s="1"/>
      <c r="DQ312" s="1"/>
      <c r="DR312" s="1"/>
      <c r="DS312" s="1"/>
      <c r="DT312" s="1"/>
      <c r="DU312" s="1"/>
      <c r="DV312" s="1"/>
      <c r="DW312" s="1"/>
      <c r="DX312" s="1"/>
      <c r="DY312" s="1"/>
      <c r="DZ312" s="1"/>
      <c r="EA312" s="1"/>
      <c r="EB312" s="1"/>
      <c r="EC312" s="1"/>
      <c r="ED312" s="1"/>
      <c r="EE312" s="1"/>
      <c r="EF312" s="1"/>
      <c r="EG312" s="1"/>
      <c r="EH312" s="1"/>
      <c r="EI312" s="1"/>
      <c r="EJ312" s="1"/>
      <c r="EK312" s="1"/>
      <c r="EL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c r="DZ313" s="1"/>
      <c r="EA313" s="1"/>
      <c r="EB313" s="1"/>
      <c r="EC313" s="1"/>
      <c r="ED313" s="1"/>
      <c r="EE313" s="1"/>
      <c r="EF313" s="1"/>
      <c r="EG313" s="1"/>
      <c r="EH313" s="1"/>
      <c r="EI313" s="1"/>
      <c r="EJ313" s="1"/>
      <c r="EK313" s="1"/>
      <c r="EL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1"/>
      <c r="BW314" s="1"/>
      <c r="BX314" s="1"/>
      <c r="BY314" s="1"/>
      <c r="BZ314" s="1"/>
      <c r="CA314" s="1"/>
      <c r="CB314" s="1"/>
      <c r="CC314" s="1"/>
      <c r="CD314" s="1"/>
      <c r="CE314" s="1"/>
      <c r="CF314" s="1"/>
      <c r="CG314" s="1"/>
      <c r="CH314" s="1"/>
      <c r="CI314" s="1"/>
      <c r="CJ314" s="1"/>
      <c r="CK314" s="1"/>
      <c r="CL314" s="1"/>
      <c r="CM314" s="1"/>
      <c r="CN314" s="1"/>
      <c r="CO314" s="1"/>
      <c r="CP314" s="1"/>
      <c r="CQ314" s="1"/>
      <c r="CR314" s="1"/>
      <c r="CS314" s="1"/>
      <c r="CT314" s="1"/>
      <c r="CU314" s="1"/>
      <c r="CV314" s="1"/>
      <c r="CW314" s="1"/>
      <c r="CX314" s="1"/>
      <c r="CY314" s="1"/>
      <c r="CZ314" s="1"/>
      <c r="DA314" s="1"/>
      <c r="DB314" s="1"/>
      <c r="DC314" s="1"/>
      <c r="DD314" s="1"/>
      <c r="DE314" s="1"/>
      <c r="DF314" s="1"/>
      <c r="DG314" s="1"/>
      <c r="DH314" s="1"/>
      <c r="DI314" s="1"/>
      <c r="DJ314" s="1"/>
      <c r="DK314" s="1"/>
      <c r="DL314" s="1"/>
      <c r="DM314" s="1"/>
      <c r="DN314" s="1"/>
      <c r="DO314" s="1"/>
      <c r="DP314" s="1"/>
      <c r="DQ314" s="1"/>
      <c r="DR314" s="1"/>
      <c r="DS314" s="1"/>
      <c r="DT314" s="1"/>
      <c r="DU314" s="1"/>
      <c r="DV314" s="1"/>
      <c r="DW314" s="1"/>
      <c r="DX314" s="1"/>
      <c r="DY314" s="1"/>
      <c r="DZ314" s="1"/>
      <c r="EA314" s="1"/>
      <c r="EB314" s="1"/>
      <c r="EC314" s="1"/>
      <c r="ED314" s="1"/>
      <c r="EE314" s="1"/>
      <c r="EF314" s="1"/>
      <c r="EG314" s="1"/>
      <c r="EH314" s="1"/>
      <c r="EI314" s="1"/>
      <c r="EJ314" s="1"/>
      <c r="EK314" s="1"/>
      <c r="EL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c r="BW315" s="1"/>
      <c r="BX315" s="1"/>
      <c r="BY315" s="1"/>
      <c r="BZ315" s="1"/>
      <c r="CA315" s="1"/>
      <c r="CB315" s="1"/>
      <c r="CC315" s="1"/>
      <c r="CD315" s="1"/>
      <c r="CE315" s="1"/>
      <c r="CF315" s="1"/>
      <c r="CG315" s="1"/>
      <c r="CH315" s="1"/>
      <c r="CI315" s="1"/>
      <c r="CJ315" s="1"/>
      <c r="CK315" s="1"/>
      <c r="CL315" s="1"/>
      <c r="CM315" s="1"/>
      <c r="CN315" s="1"/>
      <c r="CO315" s="1"/>
      <c r="CP315" s="1"/>
      <c r="CQ315" s="1"/>
      <c r="CR315" s="1"/>
      <c r="CS315" s="1"/>
      <c r="CT315" s="1"/>
      <c r="CU315" s="1"/>
      <c r="CV315" s="1"/>
      <c r="CW315" s="1"/>
      <c r="CX315" s="1"/>
      <c r="CY315" s="1"/>
      <c r="CZ315" s="1"/>
      <c r="DA315" s="1"/>
      <c r="DB315" s="1"/>
      <c r="DC315" s="1"/>
      <c r="DD315" s="1"/>
      <c r="DE315" s="1"/>
      <c r="DF315" s="1"/>
      <c r="DG315" s="1"/>
      <c r="DH315" s="1"/>
      <c r="DI315" s="1"/>
      <c r="DJ315" s="1"/>
      <c r="DK315" s="1"/>
      <c r="DL315" s="1"/>
      <c r="DM315" s="1"/>
      <c r="DN315" s="1"/>
      <c r="DO315" s="1"/>
      <c r="DP315" s="1"/>
      <c r="DQ315" s="1"/>
      <c r="DR315" s="1"/>
      <c r="DS315" s="1"/>
      <c r="DT315" s="1"/>
      <c r="DU315" s="1"/>
      <c r="DV315" s="1"/>
      <c r="DW315" s="1"/>
      <c r="DX315" s="1"/>
      <c r="DY315" s="1"/>
      <c r="DZ315" s="1"/>
      <c r="EA315" s="1"/>
      <c r="EB315" s="1"/>
      <c r="EC315" s="1"/>
      <c r="ED315" s="1"/>
      <c r="EE315" s="1"/>
      <c r="EF315" s="1"/>
      <c r="EG315" s="1"/>
      <c r="EH315" s="1"/>
      <c r="EI315" s="1"/>
      <c r="EJ315" s="1"/>
      <c r="EK315" s="1"/>
      <c r="EL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1"/>
      <c r="BW316" s="1"/>
      <c r="BX316" s="1"/>
      <c r="BY316" s="1"/>
      <c r="BZ316" s="1"/>
      <c r="CA316" s="1"/>
      <c r="CB316" s="1"/>
      <c r="CC316" s="1"/>
      <c r="CD316" s="1"/>
      <c r="CE316" s="1"/>
      <c r="CF316" s="1"/>
      <c r="CG316" s="1"/>
      <c r="CH316" s="1"/>
      <c r="CI316" s="1"/>
      <c r="CJ316" s="1"/>
      <c r="CK316" s="1"/>
      <c r="CL316" s="1"/>
      <c r="CM316" s="1"/>
      <c r="CN316" s="1"/>
      <c r="CO316" s="1"/>
      <c r="CP316" s="1"/>
      <c r="CQ316" s="1"/>
      <c r="CR316" s="1"/>
      <c r="CS316" s="1"/>
      <c r="CT316" s="1"/>
      <c r="CU316" s="1"/>
      <c r="CV316" s="1"/>
      <c r="CW316" s="1"/>
      <c r="CX316" s="1"/>
      <c r="CY316" s="1"/>
      <c r="CZ316" s="1"/>
      <c r="DA316" s="1"/>
      <c r="DB316" s="1"/>
      <c r="DC316" s="1"/>
      <c r="DD316" s="1"/>
      <c r="DE316" s="1"/>
      <c r="DF316" s="1"/>
      <c r="DG316" s="1"/>
      <c r="DH316" s="1"/>
      <c r="DI316" s="1"/>
      <c r="DJ316" s="1"/>
      <c r="DK316" s="1"/>
      <c r="DL316" s="1"/>
      <c r="DM316" s="1"/>
      <c r="DN316" s="1"/>
      <c r="DO316" s="1"/>
      <c r="DP316" s="1"/>
      <c r="DQ316" s="1"/>
      <c r="DR316" s="1"/>
      <c r="DS316" s="1"/>
      <c r="DT316" s="1"/>
      <c r="DU316" s="1"/>
      <c r="DV316" s="1"/>
      <c r="DW316" s="1"/>
      <c r="DX316" s="1"/>
      <c r="DY316" s="1"/>
      <c r="DZ316" s="1"/>
      <c r="EA316" s="1"/>
      <c r="EB316" s="1"/>
      <c r="EC316" s="1"/>
      <c r="ED316" s="1"/>
      <c r="EE316" s="1"/>
      <c r="EF316" s="1"/>
      <c r="EG316" s="1"/>
      <c r="EH316" s="1"/>
      <c r="EI316" s="1"/>
      <c r="EJ316" s="1"/>
      <c r="EK316" s="1"/>
      <c r="EL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1"/>
      <c r="BU317" s="1"/>
      <c r="BV317" s="1"/>
      <c r="BW317" s="1"/>
      <c r="BX317" s="1"/>
      <c r="BY317" s="1"/>
      <c r="BZ317" s="1"/>
      <c r="CA317" s="1"/>
      <c r="CB317" s="1"/>
      <c r="CC317" s="1"/>
      <c r="CD317" s="1"/>
      <c r="CE317" s="1"/>
      <c r="CF317" s="1"/>
      <c r="CG317" s="1"/>
      <c r="CH317" s="1"/>
      <c r="CI317" s="1"/>
      <c r="CJ317" s="1"/>
      <c r="CK317" s="1"/>
      <c r="CL317" s="1"/>
      <c r="CM317" s="1"/>
      <c r="CN317" s="1"/>
      <c r="CO317" s="1"/>
      <c r="CP317" s="1"/>
      <c r="CQ317" s="1"/>
      <c r="CR317" s="1"/>
      <c r="CS317" s="1"/>
      <c r="CT317" s="1"/>
      <c r="CU317" s="1"/>
      <c r="CV317" s="1"/>
      <c r="CW317" s="1"/>
      <c r="CX317" s="1"/>
      <c r="CY317" s="1"/>
      <c r="CZ317" s="1"/>
      <c r="DA317" s="1"/>
      <c r="DB317" s="1"/>
      <c r="DC317" s="1"/>
      <c r="DD317" s="1"/>
      <c r="DE317" s="1"/>
      <c r="DF317" s="1"/>
      <c r="DG317" s="1"/>
      <c r="DH317" s="1"/>
      <c r="DI317" s="1"/>
      <c r="DJ317" s="1"/>
      <c r="DK317" s="1"/>
      <c r="DL317" s="1"/>
      <c r="DM317" s="1"/>
      <c r="DN317" s="1"/>
      <c r="DO317" s="1"/>
      <c r="DP317" s="1"/>
      <c r="DQ317" s="1"/>
      <c r="DR317" s="1"/>
      <c r="DS317" s="1"/>
      <c r="DT317" s="1"/>
      <c r="DU317" s="1"/>
      <c r="DV317" s="1"/>
      <c r="DW317" s="1"/>
      <c r="DX317" s="1"/>
      <c r="DY317" s="1"/>
      <c r="DZ317" s="1"/>
      <c r="EA317" s="1"/>
      <c r="EB317" s="1"/>
      <c r="EC317" s="1"/>
      <c r="ED317" s="1"/>
      <c r="EE317" s="1"/>
      <c r="EF317" s="1"/>
      <c r="EG317" s="1"/>
      <c r="EH317" s="1"/>
      <c r="EI317" s="1"/>
      <c r="EJ317" s="1"/>
      <c r="EK317" s="1"/>
      <c r="EL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1"/>
      <c r="BW318" s="1"/>
      <c r="BX318" s="1"/>
      <c r="BY318" s="1"/>
      <c r="BZ318" s="1"/>
      <c r="CA318" s="1"/>
      <c r="CB318" s="1"/>
      <c r="CC318" s="1"/>
      <c r="CD318" s="1"/>
      <c r="CE318" s="1"/>
      <c r="CF318" s="1"/>
      <c r="CG318" s="1"/>
      <c r="CH318" s="1"/>
      <c r="CI318" s="1"/>
      <c r="CJ318" s="1"/>
      <c r="CK318" s="1"/>
      <c r="CL318" s="1"/>
      <c r="CM318" s="1"/>
      <c r="CN318" s="1"/>
      <c r="CO318" s="1"/>
      <c r="CP318" s="1"/>
      <c r="CQ318" s="1"/>
      <c r="CR318" s="1"/>
      <c r="CS318" s="1"/>
      <c r="CT318" s="1"/>
      <c r="CU318" s="1"/>
      <c r="CV318" s="1"/>
      <c r="CW318" s="1"/>
      <c r="CX318" s="1"/>
      <c r="CY318" s="1"/>
      <c r="CZ318" s="1"/>
      <c r="DA318" s="1"/>
      <c r="DB318" s="1"/>
      <c r="DC318" s="1"/>
      <c r="DD318" s="1"/>
      <c r="DE318" s="1"/>
      <c r="DF318" s="1"/>
      <c r="DG318" s="1"/>
      <c r="DH318" s="1"/>
      <c r="DI318" s="1"/>
      <c r="DJ318" s="1"/>
      <c r="DK318" s="1"/>
      <c r="DL318" s="1"/>
      <c r="DM318" s="1"/>
      <c r="DN318" s="1"/>
      <c r="DO318" s="1"/>
      <c r="DP318" s="1"/>
      <c r="DQ318" s="1"/>
      <c r="DR318" s="1"/>
      <c r="DS318" s="1"/>
      <c r="DT318" s="1"/>
      <c r="DU318" s="1"/>
      <c r="DV318" s="1"/>
      <c r="DW318" s="1"/>
      <c r="DX318" s="1"/>
      <c r="DY318" s="1"/>
      <c r="DZ318" s="1"/>
      <c r="EA318" s="1"/>
      <c r="EB318" s="1"/>
      <c r="EC318" s="1"/>
      <c r="ED318" s="1"/>
      <c r="EE318" s="1"/>
      <c r="EF318" s="1"/>
      <c r="EG318" s="1"/>
      <c r="EH318" s="1"/>
      <c r="EI318" s="1"/>
      <c r="EJ318" s="1"/>
      <c r="EK318" s="1"/>
      <c r="EL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1"/>
      <c r="BW319" s="1"/>
      <c r="BX319" s="1"/>
      <c r="BY319" s="1"/>
      <c r="BZ319" s="1"/>
      <c r="CA319" s="1"/>
      <c r="CB319" s="1"/>
      <c r="CC319" s="1"/>
      <c r="CD319" s="1"/>
      <c r="CE319" s="1"/>
      <c r="CF319" s="1"/>
      <c r="CG319" s="1"/>
      <c r="CH319" s="1"/>
      <c r="CI319" s="1"/>
      <c r="CJ319" s="1"/>
      <c r="CK319" s="1"/>
      <c r="CL319" s="1"/>
      <c r="CM319" s="1"/>
      <c r="CN319" s="1"/>
      <c r="CO319" s="1"/>
      <c r="CP319" s="1"/>
      <c r="CQ319" s="1"/>
      <c r="CR319" s="1"/>
      <c r="CS319" s="1"/>
      <c r="CT319" s="1"/>
      <c r="CU319" s="1"/>
      <c r="CV319" s="1"/>
      <c r="CW319" s="1"/>
      <c r="CX319" s="1"/>
      <c r="CY319" s="1"/>
      <c r="CZ319" s="1"/>
      <c r="DA319" s="1"/>
      <c r="DB319" s="1"/>
      <c r="DC319" s="1"/>
      <c r="DD319" s="1"/>
      <c r="DE319" s="1"/>
      <c r="DF319" s="1"/>
      <c r="DG319" s="1"/>
      <c r="DH319" s="1"/>
      <c r="DI319" s="1"/>
      <c r="DJ319" s="1"/>
      <c r="DK319" s="1"/>
      <c r="DL319" s="1"/>
      <c r="DM319" s="1"/>
      <c r="DN319" s="1"/>
      <c r="DO319" s="1"/>
      <c r="DP319" s="1"/>
      <c r="DQ319" s="1"/>
      <c r="DR319" s="1"/>
      <c r="DS319" s="1"/>
      <c r="DT319" s="1"/>
      <c r="DU319" s="1"/>
      <c r="DV319" s="1"/>
      <c r="DW319" s="1"/>
      <c r="DX319" s="1"/>
      <c r="DY319" s="1"/>
      <c r="DZ319" s="1"/>
      <c r="EA319" s="1"/>
      <c r="EB319" s="1"/>
      <c r="EC319" s="1"/>
      <c r="ED319" s="1"/>
      <c r="EE319" s="1"/>
      <c r="EF319" s="1"/>
      <c r="EG319" s="1"/>
      <c r="EH319" s="1"/>
      <c r="EI319" s="1"/>
      <c r="EJ319" s="1"/>
      <c r="EK319" s="1"/>
      <c r="EL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1"/>
      <c r="BW320" s="1"/>
      <c r="BX320" s="1"/>
      <c r="BY320" s="1"/>
      <c r="BZ320" s="1"/>
      <c r="CA320" s="1"/>
      <c r="CB320" s="1"/>
      <c r="CC320" s="1"/>
      <c r="CD320" s="1"/>
      <c r="CE320" s="1"/>
      <c r="CF320" s="1"/>
      <c r="CG320" s="1"/>
      <c r="CH320" s="1"/>
      <c r="CI320" s="1"/>
      <c r="CJ320" s="1"/>
      <c r="CK320" s="1"/>
      <c r="CL320" s="1"/>
      <c r="CM320" s="1"/>
      <c r="CN320" s="1"/>
      <c r="CO320" s="1"/>
      <c r="CP320" s="1"/>
      <c r="CQ320" s="1"/>
      <c r="CR320" s="1"/>
      <c r="CS320" s="1"/>
      <c r="CT320" s="1"/>
      <c r="CU320" s="1"/>
      <c r="CV320" s="1"/>
      <c r="CW320" s="1"/>
      <c r="CX320" s="1"/>
      <c r="CY320" s="1"/>
      <c r="CZ320" s="1"/>
      <c r="DA320" s="1"/>
      <c r="DB320" s="1"/>
      <c r="DC320" s="1"/>
      <c r="DD320" s="1"/>
      <c r="DE320" s="1"/>
      <c r="DF320" s="1"/>
      <c r="DG320" s="1"/>
      <c r="DH320" s="1"/>
      <c r="DI320" s="1"/>
      <c r="DJ320" s="1"/>
      <c r="DK320" s="1"/>
      <c r="DL320" s="1"/>
      <c r="DM320" s="1"/>
      <c r="DN320" s="1"/>
      <c r="DO320" s="1"/>
      <c r="DP320" s="1"/>
      <c r="DQ320" s="1"/>
      <c r="DR320" s="1"/>
      <c r="DS320" s="1"/>
      <c r="DT320" s="1"/>
      <c r="DU320" s="1"/>
      <c r="DV320" s="1"/>
      <c r="DW320" s="1"/>
      <c r="DX320" s="1"/>
      <c r="DY320" s="1"/>
      <c r="DZ320" s="1"/>
      <c r="EA320" s="1"/>
      <c r="EB320" s="1"/>
      <c r="EC320" s="1"/>
      <c r="ED320" s="1"/>
      <c r="EE320" s="1"/>
      <c r="EF320" s="1"/>
      <c r="EG320" s="1"/>
      <c r="EH320" s="1"/>
      <c r="EI320" s="1"/>
      <c r="EJ320" s="1"/>
      <c r="EK320" s="1"/>
      <c r="EL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1"/>
      <c r="BW321" s="1"/>
      <c r="BX321" s="1"/>
      <c r="BY321" s="1"/>
      <c r="BZ321" s="1"/>
      <c r="CA321" s="1"/>
      <c r="CB321" s="1"/>
      <c r="CC321" s="1"/>
      <c r="CD321" s="1"/>
      <c r="CE321" s="1"/>
      <c r="CF321" s="1"/>
      <c r="CG321" s="1"/>
      <c r="CH321" s="1"/>
      <c r="CI321" s="1"/>
      <c r="CJ321" s="1"/>
      <c r="CK321" s="1"/>
      <c r="CL321" s="1"/>
      <c r="CM321" s="1"/>
      <c r="CN321" s="1"/>
      <c r="CO321" s="1"/>
      <c r="CP321" s="1"/>
      <c r="CQ321" s="1"/>
      <c r="CR321" s="1"/>
      <c r="CS321" s="1"/>
      <c r="CT321" s="1"/>
      <c r="CU321" s="1"/>
      <c r="CV321" s="1"/>
      <c r="CW321" s="1"/>
      <c r="CX321" s="1"/>
      <c r="CY321" s="1"/>
      <c r="CZ321" s="1"/>
      <c r="DA321" s="1"/>
      <c r="DB321" s="1"/>
      <c r="DC321" s="1"/>
      <c r="DD321" s="1"/>
      <c r="DE321" s="1"/>
      <c r="DF321" s="1"/>
      <c r="DG321" s="1"/>
      <c r="DH321" s="1"/>
      <c r="DI321" s="1"/>
      <c r="DJ321" s="1"/>
      <c r="DK321" s="1"/>
      <c r="DL321" s="1"/>
      <c r="DM321" s="1"/>
      <c r="DN321" s="1"/>
      <c r="DO321" s="1"/>
      <c r="DP321" s="1"/>
      <c r="DQ321" s="1"/>
      <c r="DR321" s="1"/>
      <c r="DS321" s="1"/>
      <c r="DT321" s="1"/>
      <c r="DU321" s="1"/>
      <c r="DV321" s="1"/>
      <c r="DW321" s="1"/>
      <c r="DX321" s="1"/>
      <c r="DY321" s="1"/>
      <c r="DZ321" s="1"/>
      <c r="EA321" s="1"/>
      <c r="EB321" s="1"/>
      <c r="EC321" s="1"/>
      <c r="ED321" s="1"/>
      <c r="EE321" s="1"/>
      <c r="EF321" s="1"/>
      <c r="EG321" s="1"/>
      <c r="EH321" s="1"/>
      <c r="EI321" s="1"/>
      <c r="EJ321" s="1"/>
      <c r="EK321" s="1"/>
      <c r="EL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1"/>
      <c r="BW322" s="1"/>
      <c r="BX322" s="1"/>
      <c r="BY322" s="1"/>
      <c r="BZ322" s="1"/>
      <c r="CA322" s="1"/>
      <c r="CB322" s="1"/>
      <c r="CC322" s="1"/>
      <c r="CD322" s="1"/>
      <c r="CE322" s="1"/>
      <c r="CF322" s="1"/>
      <c r="CG322" s="1"/>
      <c r="CH322" s="1"/>
      <c r="CI322" s="1"/>
      <c r="CJ322" s="1"/>
      <c r="CK322" s="1"/>
      <c r="CL322" s="1"/>
      <c r="CM322" s="1"/>
      <c r="CN322" s="1"/>
      <c r="CO322" s="1"/>
      <c r="CP322" s="1"/>
      <c r="CQ322" s="1"/>
      <c r="CR322" s="1"/>
      <c r="CS322" s="1"/>
      <c r="CT322" s="1"/>
      <c r="CU322" s="1"/>
      <c r="CV322" s="1"/>
      <c r="CW322" s="1"/>
      <c r="CX322" s="1"/>
      <c r="CY322" s="1"/>
      <c r="CZ322" s="1"/>
      <c r="DA322" s="1"/>
      <c r="DB322" s="1"/>
      <c r="DC322" s="1"/>
      <c r="DD322" s="1"/>
      <c r="DE322" s="1"/>
      <c r="DF322" s="1"/>
      <c r="DG322" s="1"/>
      <c r="DH322" s="1"/>
      <c r="DI322" s="1"/>
      <c r="DJ322" s="1"/>
      <c r="DK322" s="1"/>
      <c r="DL322" s="1"/>
      <c r="DM322" s="1"/>
      <c r="DN322" s="1"/>
      <c r="DO322" s="1"/>
      <c r="DP322" s="1"/>
      <c r="DQ322" s="1"/>
      <c r="DR322" s="1"/>
      <c r="DS322" s="1"/>
      <c r="DT322" s="1"/>
      <c r="DU322" s="1"/>
      <c r="DV322" s="1"/>
      <c r="DW322" s="1"/>
      <c r="DX322" s="1"/>
      <c r="DY322" s="1"/>
      <c r="DZ322" s="1"/>
      <c r="EA322" s="1"/>
      <c r="EB322" s="1"/>
      <c r="EC322" s="1"/>
      <c r="ED322" s="1"/>
      <c r="EE322" s="1"/>
      <c r="EF322" s="1"/>
      <c r="EG322" s="1"/>
      <c r="EH322" s="1"/>
      <c r="EI322" s="1"/>
      <c r="EJ322" s="1"/>
      <c r="EK322" s="1"/>
      <c r="EL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1"/>
      <c r="BW323" s="1"/>
      <c r="BX323" s="1"/>
      <c r="BY323" s="1"/>
      <c r="BZ323" s="1"/>
      <c r="CA323" s="1"/>
      <c r="CB323" s="1"/>
      <c r="CC323" s="1"/>
      <c r="CD323" s="1"/>
      <c r="CE323" s="1"/>
      <c r="CF323" s="1"/>
      <c r="CG323" s="1"/>
      <c r="CH323" s="1"/>
      <c r="CI323" s="1"/>
      <c r="CJ323" s="1"/>
      <c r="CK323" s="1"/>
      <c r="CL323" s="1"/>
      <c r="CM323" s="1"/>
      <c r="CN323" s="1"/>
      <c r="CO323" s="1"/>
      <c r="CP323" s="1"/>
      <c r="CQ323" s="1"/>
      <c r="CR323" s="1"/>
      <c r="CS323" s="1"/>
      <c r="CT323" s="1"/>
      <c r="CU323" s="1"/>
      <c r="CV323" s="1"/>
      <c r="CW323" s="1"/>
      <c r="CX323" s="1"/>
      <c r="CY323" s="1"/>
      <c r="CZ323" s="1"/>
      <c r="DA323" s="1"/>
      <c r="DB323" s="1"/>
      <c r="DC323" s="1"/>
      <c r="DD323" s="1"/>
      <c r="DE323" s="1"/>
      <c r="DF323" s="1"/>
      <c r="DG323" s="1"/>
      <c r="DH323" s="1"/>
      <c r="DI323" s="1"/>
      <c r="DJ323" s="1"/>
      <c r="DK323" s="1"/>
      <c r="DL323" s="1"/>
      <c r="DM323" s="1"/>
      <c r="DN323" s="1"/>
      <c r="DO323" s="1"/>
      <c r="DP323" s="1"/>
      <c r="DQ323" s="1"/>
      <c r="DR323" s="1"/>
      <c r="DS323" s="1"/>
      <c r="DT323" s="1"/>
      <c r="DU323" s="1"/>
      <c r="DV323" s="1"/>
      <c r="DW323" s="1"/>
      <c r="DX323" s="1"/>
      <c r="DY323" s="1"/>
      <c r="DZ323" s="1"/>
      <c r="EA323" s="1"/>
      <c r="EB323" s="1"/>
      <c r="EC323" s="1"/>
      <c r="ED323" s="1"/>
      <c r="EE323" s="1"/>
      <c r="EF323" s="1"/>
      <c r="EG323" s="1"/>
      <c r="EH323" s="1"/>
      <c r="EI323" s="1"/>
      <c r="EJ323" s="1"/>
      <c r="EK323" s="1"/>
      <c r="EL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c r="BW324" s="1"/>
      <c r="BX324" s="1"/>
      <c r="BY324" s="1"/>
      <c r="BZ324" s="1"/>
      <c r="CA324" s="1"/>
      <c r="CB324" s="1"/>
      <c r="CC324" s="1"/>
      <c r="CD324" s="1"/>
      <c r="CE324" s="1"/>
      <c r="CF324" s="1"/>
      <c r="CG324" s="1"/>
      <c r="CH324" s="1"/>
      <c r="CI324" s="1"/>
      <c r="CJ324" s="1"/>
      <c r="CK324" s="1"/>
      <c r="CL324" s="1"/>
      <c r="CM324" s="1"/>
      <c r="CN324" s="1"/>
      <c r="CO324" s="1"/>
      <c r="CP324" s="1"/>
      <c r="CQ324" s="1"/>
      <c r="CR324" s="1"/>
      <c r="CS324" s="1"/>
      <c r="CT324" s="1"/>
      <c r="CU324" s="1"/>
      <c r="CV324" s="1"/>
      <c r="CW324" s="1"/>
      <c r="CX324" s="1"/>
      <c r="CY324" s="1"/>
      <c r="CZ324" s="1"/>
      <c r="DA324" s="1"/>
      <c r="DB324" s="1"/>
      <c r="DC324" s="1"/>
      <c r="DD324" s="1"/>
      <c r="DE324" s="1"/>
      <c r="DF324" s="1"/>
      <c r="DG324" s="1"/>
      <c r="DH324" s="1"/>
      <c r="DI324" s="1"/>
      <c r="DJ324" s="1"/>
      <c r="DK324" s="1"/>
      <c r="DL324" s="1"/>
      <c r="DM324" s="1"/>
      <c r="DN324" s="1"/>
      <c r="DO324" s="1"/>
      <c r="DP324" s="1"/>
      <c r="DQ324" s="1"/>
      <c r="DR324" s="1"/>
      <c r="DS324" s="1"/>
      <c r="DT324" s="1"/>
      <c r="DU324" s="1"/>
      <c r="DV324" s="1"/>
      <c r="DW324" s="1"/>
      <c r="DX324" s="1"/>
      <c r="DY324" s="1"/>
      <c r="DZ324" s="1"/>
      <c r="EA324" s="1"/>
      <c r="EB324" s="1"/>
      <c r="EC324" s="1"/>
      <c r="ED324" s="1"/>
      <c r="EE324" s="1"/>
      <c r="EF324" s="1"/>
      <c r="EG324" s="1"/>
      <c r="EH324" s="1"/>
      <c r="EI324" s="1"/>
      <c r="EJ324" s="1"/>
      <c r="EK324" s="1"/>
      <c r="EL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c r="CD325" s="1"/>
      <c r="CE325" s="1"/>
      <c r="CF325" s="1"/>
      <c r="CG325" s="1"/>
      <c r="CH325" s="1"/>
      <c r="CI325" s="1"/>
      <c r="CJ325" s="1"/>
      <c r="CK325" s="1"/>
      <c r="CL325" s="1"/>
      <c r="CM325" s="1"/>
      <c r="CN325" s="1"/>
      <c r="CO325" s="1"/>
      <c r="CP325" s="1"/>
      <c r="CQ325" s="1"/>
      <c r="CR325" s="1"/>
      <c r="CS325" s="1"/>
      <c r="CT325" s="1"/>
      <c r="CU325" s="1"/>
      <c r="CV325" s="1"/>
      <c r="CW325" s="1"/>
      <c r="CX325" s="1"/>
      <c r="CY325" s="1"/>
      <c r="CZ325" s="1"/>
      <c r="DA325" s="1"/>
      <c r="DB325" s="1"/>
      <c r="DC325" s="1"/>
      <c r="DD325" s="1"/>
      <c r="DE325" s="1"/>
      <c r="DF325" s="1"/>
      <c r="DG325" s="1"/>
      <c r="DH325" s="1"/>
      <c r="DI325" s="1"/>
      <c r="DJ325" s="1"/>
      <c r="DK325" s="1"/>
      <c r="DL325" s="1"/>
      <c r="DM325" s="1"/>
      <c r="DN325" s="1"/>
      <c r="DO325" s="1"/>
      <c r="DP325" s="1"/>
      <c r="DQ325" s="1"/>
      <c r="DR325" s="1"/>
      <c r="DS325" s="1"/>
      <c r="DT325" s="1"/>
      <c r="DU325" s="1"/>
      <c r="DV325" s="1"/>
      <c r="DW325" s="1"/>
      <c r="DX325" s="1"/>
      <c r="DY325" s="1"/>
      <c r="DZ325" s="1"/>
      <c r="EA325" s="1"/>
      <c r="EB325" s="1"/>
      <c r="EC325" s="1"/>
      <c r="ED325" s="1"/>
      <c r="EE325" s="1"/>
      <c r="EF325" s="1"/>
      <c r="EG325" s="1"/>
      <c r="EH325" s="1"/>
      <c r="EI325" s="1"/>
      <c r="EJ325" s="1"/>
      <c r="EK325" s="1"/>
      <c r="EL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c r="BW326" s="1"/>
      <c r="BX326" s="1"/>
      <c r="BY326" s="1"/>
      <c r="BZ326" s="1"/>
      <c r="CA326" s="1"/>
      <c r="CB326" s="1"/>
      <c r="CC326" s="1"/>
      <c r="CD326" s="1"/>
      <c r="CE326" s="1"/>
      <c r="CF326" s="1"/>
      <c r="CG326" s="1"/>
      <c r="CH326" s="1"/>
      <c r="CI326" s="1"/>
      <c r="CJ326" s="1"/>
      <c r="CK326" s="1"/>
      <c r="CL326" s="1"/>
      <c r="CM326" s="1"/>
      <c r="CN326" s="1"/>
      <c r="CO326" s="1"/>
      <c r="CP326" s="1"/>
      <c r="CQ326" s="1"/>
      <c r="CR326" s="1"/>
      <c r="CS326" s="1"/>
      <c r="CT326" s="1"/>
      <c r="CU326" s="1"/>
      <c r="CV326" s="1"/>
      <c r="CW326" s="1"/>
      <c r="CX326" s="1"/>
      <c r="CY326" s="1"/>
      <c r="CZ326" s="1"/>
      <c r="DA326" s="1"/>
      <c r="DB326" s="1"/>
      <c r="DC326" s="1"/>
      <c r="DD326" s="1"/>
      <c r="DE326" s="1"/>
      <c r="DF326" s="1"/>
      <c r="DG326" s="1"/>
      <c r="DH326" s="1"/>
      <c r="DI326" s="1"/>
      <c r="DJ326" s="1"/>
      <c r="DK326" s="1"/>
      <c r="DL326" s="1"/>
      <c r="DM326" s="1"/>
      <c r="DN326" s="1"/>
      <c r="DO326" s="1"/>
      <c r="DP326" s="1"/>
      <c r="DQ326" s="1"/>
      <c r="DR326" s="1"/>
      <c r="DS326" s="1"/>
      <c r="DT326" s="1"/>
      <c r="DU326" s="1"/>
      <c r="DV326" s="1"/>
      <c r="DW326" s="1"/>
      <c r="DX326" s="1"/>
      <c r="DY326" s="1"/>
      <c r="DZ326" s="1"/>
      <c r="EA326" s="1"/>
      <c r="EB326" s="1"/>
      <c r="EC326" s="1"/>
      <c r="ED326" s="1"/>
      <c r="EE326" s="1"/>
      <c r="EF326" s="1"/>
      <c r="EG326" s="1"/>
      <c r="EH326" s="1"/>
      <c r="EI326" s="1"/>
      <c r="EJ326" s="1"/>
      <c r="EK326" s="1"/>
      <c r="EL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c r="BW327" s="1"/>
      <c r="BX327" s="1"/>
      <c r="BY327" s="1"/>
      <c r="BZ327" s="1"/>
      <c r="CA327" s="1"/>
      <c r="CB327" s="1"/>
      <c r="CC327" s="1"/>
      <c r="CD327" s="1"/>
      <c r="CE327" s="1"/>
      <c r="CF327" s="1"/>
      <c r="CG327" s="1"/>
      <c r="CH327" s="1"/>
      <c r="CI327" s="1"/>
      <c r="CJ327" s="1"/>
      <c r="CK327" s="1"/>
      <c r="CL327" s="1"/>
      <c r="CM327" s="1"/>
      <c r="CN327" s="1"/>
      <c r="CO327" s="1"/>
      <c r="CP327" s="1"/>
      <c r="CQ327" s="1"/>
      <c r="CR327" s="1"/>
      <c r="CS327" s="1"/>
      <c r="CT327" s="1"/>
      <c r="CU327" s="1"/>
      <c r="CV327" s="1"/>
      <c r="CW327" s="1"/>
      <c r="CX327" s="1"/>
      <c r="CY327" s="1"/>
      <c r="CZ327" s="1"/>
      <c r="DA327" s="1"/>
      <c r="DB327" s="1"/>
      <c r="DC327" s="1"/>
      <c r="DD327" s="1"/>
      <c r="DE327" s="1"/>
      <c r="DF327" s="1"/>
      <c r="DG327" s="1"/>
      <c r="DH327" s="1"/>
      <c r="DI327" s="1"/>
      <c r="DJ327" s="1"/>
      <c r="DK327" s="1"/>
      <c r="DL327" s="1"/>
      <c r="DM327" s="1"/>
      <c r="DN327" s="1"/>
      <c r="DO327" s="1"/>
      <c r="DP327" s="1"/>
      <c r="DQ327" s="1"/>
      <c r="DR327" s="1"/>
      <c r="DS327" s="1"/>
      <c r="DT327" s="1"/>
      <c r="DU327" s="1"/>
      <c r="DV327" s="1"/>
      <c r="DW327" s="1"/>
      <c r="DX327" s="1"/>
      <c r="DY327" s="1"/>
      <c r="DZ327" s="1"/>
      <c r="EA327" s="1"/>
      <c r="EB327" s="1"/>
      <c r="EC327" s="1"/>
      <c r="ED327" s="1"/>
      <c r="EE327" s="1"/>
      <c r="EF327" s="1"/>
      <c r="EG327" s="1"/>
      <c r="EH327" s="1"/>
      <c r="EI327" s="1"/>
      <c r="EJ327" s="1"/>
      <c r="EK327" s="1"/>
      <c r="EL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c r="BW328" s="1"/>
      <c r="BX328" s="1"/>
      <c r="BY328" s="1"/>
      <c r="BZ328" s="1"/>
      <c r="CA328" s="1"/>
      <c r="CB328" s="1"/>
      <c r="CC328" s="1"/>
      <c r="CD328" s="1"/>
      <c r="CE328" s="1"/>
      <c r="CF328" s="1"/>
      <c r="CG328" s="1"/>
      <c r="CH328" s="1"/>
      <c r="CI328" s="1"/>
      <c r="CJ328" s="1"/>
      <c r="CK328" s="1"/>
      <c r="CL328" s="1"/>
      <c r="CM328" s="1"/>
      <c r="CN328" s="1"/>
      <c r="CO328" s="1"/>
      <c r="CP328" s="1"/>
      <c r="CQ328" s="1"/>
      <c r="CR328" s="1"/>
      <c r="CS328" s="1"/>
      <c r="CT328" s="1"/>
      <c r="CU328" s="1"/>
      <c r="CV328" s="1"/>
      <c r="CW328" s="1"/>
      <c r="CX328" s="1"/>
      <c r="CY328" s="1"/>
      <c r="CZ328" s="1"/>
      <c r="DA328" s="1"/>
      <c r="DB328" s="1"/>
      <c r="DC328" s="1"/>
      <c r="DD328" s="1"/>
      <c r="DE328" s="1"/>
      <c r="DF328" s="1"/>
      <c r="DG328" s="1"/>
      <c r="DH328" s="1"/>
      <c r="DI328" s="1"/>
      <c r="DJ328" s="1"/>
      <c r="DK328" s="1"/>
      <c r="DL328" s="1"/>
      <c r="DM328" s="1"/>
      <c r="DN328" s="1"/>
      <c r="DO328" s="1"/>
      <c r="DP328" s="1"/>
      <c r="DQ328" s="1"/>
      <c r="DR328" s="1"/>
      <c r="DS328" s="1"/>
      <c r="DT328" s="1"/>
      <c r="DU328" s="1"/>
      <c r="DV328" s="1"/>
      <c r="DW328" s="1"/>
      <c r="DX328" s="1"/>
      <c r="DY328" s="1"/>
      <c r="DZ328" s="1"/>
      <c r="EA328" s="1"/>
      <c r="EB328" s="1"/>
      <c r="EC328" s="1"/>
      <c r="ED328" s="1"/>
      <c r="EE328" s="1"/>
      <c r="EF328" s="1"/>
      <c r="EG328" s="1"/>
      <c r="EH328" s="1"/>
      <c r="EI328" s="1"/>
      <c r="EJ328" s="1"/>
      <c r="EK328" s="1"/>
      <c r="EL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c r="BW329" s="1"/>
      <c r="BX329" s="1"/>
      <c r="BY329" s="1"/>
      <c r="BZ329" s="1"/>
      <c r="CA329" s="1"/>
      <c r="CB329" s="1"/>
      <c r="CC329" s="1"/>
      <c r="CD329" s="1"/>
      <c r="CE329" s="1"/>
      <c r="CF329" s="1"/>
      <c r="CG329" s="1"/>
      <c r="CH329" s="1"/>
      <c r="CI329" s="1"/>
      <c r="CJ329" s="1"/>
      <c r="CK329" s="1"/>
      <c r="CL329" s="1"/>
      <c r="CM329" s="1"/>
      <c r="CN329" s="1"/>
      <c r="CO329" s="1"/>
      <c r="CP329" s="1"/>
      <c r="CQ329" s="1"/>
      <c r="CR329" s="1"/>
      <c r="CS329" s="1"/>
      <c r="CT329" s="1"/>
      <c r="CU329" s="1"/>
      <c r="CV329" s="1"/>
      <c r="CW329" s="1"/>
      <c r="CX329" s="1"/>
      <c r="CY329" s="1"/>
      <c r="CZ329" s="1"/>
      <c r="DA329" s="1"/>
      <c r="DB329" s="1"/>
      <c r="DC329" s="1"/>
      <c r="DD329" s="1"/>
      <c r="DE329" s="1"/>
      <c r="DF329" s="1"/>
      <c r="DG329" s="1"/>
      <c r="DH329" s="1"/>
      <c r="DI329" s="1"/>
      <c r="DJ329" s="1"/>
      <c r="DK329" s="1"/>
      <c r="DL329" s="1"/>
      <c r="DM329" s="1"/>
      <c r="DN329" s="1"/>
      <c r="DO329" s="1"/>
      <c r="DP329" s="1"/>
      <c r="DQ329" s="1"/>
      <c r="DR329" s="1"/>
      <c r="DS329" s="1"/>
      <c r="DT329" s="1"/>
      <c r="DU329" s="1"/>
      <c r="DV329" s="1"/>
      <c r="DW329" s="1"/>
      <c r="DX329" s="1"/>
      <c r="DY329" s="1"/>
      <c r="DZ329" s="1"/>
      <c r="EA329" s="1"/>
      <c r="EB329" s="1"/>
      <c r="EC329" s="1"/>
      <c r="ED329" s="1"/>
      <c r="EE329" s="1"/>
      <c r="EF329" s="1"/>
      <c r="EG329" s="1"/>
      <c r="EH329" s="1"/>
      <c r="EI329" s="1"/>
      <c r="EJ329" s="1"/>
      <c r="EK329" s="1"/>
      <c r="EL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c r="BW330" s="1"/>
      <c r="BX330" s="1"/>
      <c r="BY330" s="1"/>
      <c r="BZ330" s="1"/>
      <c r="CA330" s="1"/>
      <c r="CB330" s="1"/>
      <c r="CC330" s="1"/>
      <c r="CD330" s="1"/>
      <c r="CE330" s="1"/>
      <c r="CF330" s="1"/>
      <c r="CG330" s="1"/>
      <c r="CH330" s="1"/>
      <c r="CI330" s="1"/>
      <c r="CJ330" s="1"/>
      <c r="CK330" s="1"/>
      <c r="CL330" s="1"/>
      <c r="CM330" s="1"/>
      <c r="CN330" s="1"/>
      <c r="CO330" s="1"/>
      <c r="CP330" s="1"/>
      <c r="CQ330" s="1"/>
      <c r="CR330" s="1"/>
      <c r="CS330" s="1"/>
      <c r="CT330" s="1"/>
      <c r="CU330" s="1"/>
      <c r="CV330" s="1"/>
      <c r="CW330" s="1"/>
      <c r="CX330" s="1"/>
      <c r="CY330" s="1"/>
      <c r="CZ330" s="1"/>
      <c r="DA330" s="1"/>
      <c r="DB330" s="1"/>
      <c r="DC330" s="1"/>
      <c r="DD330" s="1"/>
      <c r="DE330" s="1"/>
      <c r="DF330" s="1"/>
      <c r="DG330" s="1"/>
      <c r="DH330" s="1"/>
      <c r="DI330" s="1"/>
      <c r="DJ330" s="1"/>
      <c r="DK330" s="1"/>
      <c r="DL330" s="1"/>
      <c r="DM330" s="1"/>
      <c r="DN330" s="1"/>
      <c r="DO330" s="1"/>
      <c r="DP330" s="1"/>
      <c r="DQ330" s="1"/>
      <c r="DR330" s="1"/>
      <c r="DS330" s="1"/>
      <c r="DT330" s="1"/>
      <c r="DU330" s="1"/>
      <c r="DV330" s="1"/>
      <c r="DW330" s="1"/>
      <c r="DX330" s="1"/>
      <c r="DY330" s="1"/>
      <c r="DZ330" s="1"/>
      <c r="EA330" s="1"/>
      <c r="EB330" s="1"/>
      <c r="EC330" s="1"/>
      <c r="ED330" s="1"/>
      <c r="EE330" s="1"/>
      <c r="EF330" s="1"/>
      <c r="EG330" s="1"/>
      <c r="EH330" s="1"/>
      <c r="EI330" s="1"/>
      <c r="EJ330" s="1"/>
      <c r="EK330" s="1"/>
      <c r="EL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c r="BW331" s="1"/>
      <c r="BX331" s="1"/>
      <c r="BY331" s="1"/>
      <c r="BZ331" s="1"/>
      <c r="CA331" s="1"/>
      <c r="CB331" s="1"/>
      <c r="CC331" s="1"/>
      <c r="CD331" s="1"/>
      <c r="CE331" s="1"/>
      <c r="CF331" s="1"/>
      <c r="CG331" s="1"/>
      <c r="CH331" s="1"/>
      <c r="CI331" s="1"/>
      <c r="CJ331" s="1"/>
      <c r="CK331" s="1"/>
      <c r="CL331" s="1"/>
      <c r="CM331" s="1"/>
      <c r="CN331" s="1"/>
      <c r="CO331" s="1"/>
      <c r="CP331" s="1"/>
      <c r="CQ331" s="1"/>
      <c r="CR331" s="1"/>
      <c r="CS331" s="1"/>
      <c r="CT331" s="1"/>
      <c r="CU331" s="1"/>
      <c r="CV331" s="1"/>
      <c r="CW331" s="1"/>
      <c r="CX331" s="1"/>
      <c r="CY331" s="1"/>
      <c r="CZ331" s="1"/>
      <c r="DA331" s="1"/>
      <c r="DB331" s="1"/>
      <c r="DC331" s="1"/>
      <c r="DD331" s="1"/>
      <c r="DE331" s="1"/>
      <c r="DF331" s="1"/>
      <c r="DG331" s="1"/>
      <c r="DH331" s="1"/>
      <c r="DI331" s="1"/>
      <c r="DJ331" s="1"/>
      <c r="DK331" s="1"/>
      <c r="DL331" s="1"/>
      <c r="DM331" s="1"/>
      <c r="DN331" s="1"/>
      <c r="DO331" s="1"/>
      <c r="DP331" s="1"/>
      <c r="DQ331" s="1"/>
      <c r="DR331" s="1"/>
      <c r="DS331" s="1"/>
      <c r="DT331" s="1"/>
      <c r="DU331" s="1"/>
      <c r="DV331" s="1"/>
      <c r="DW331" s="1"/>
      <c r="DX331" s="1"/>
      <c r="DY331" s="1"/>
      <c r="DZ331" s="1"/>
      <c r="EA331" s="1"/>
      <c r="EB331" s="1"/>
      <c r="EC331" s="1"/>
      <c r="ED331" s="1"/>
      <c r="EE331" s="1"/>
      <c r="EF331" s="1"/>
      <c r="EG331" s="1"/>
      <c r="EH331" s="1"/>
      <c r="EI331" s="1"/>
      <c r="EJ331" s="1"/>
      <c r="EK331" s="1"/>
      <c r="EL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1"/>
      <c r="BW332" s="1"/>
      <c r="BX332" s="1"/>
      <c r="BY332" s="1"/>
      <c r="BZ332" s="1"/>
      <c r="CA332" s="1"/>
      <c r="CB332" s="1"/>
      <c r="CC332" s="1"/>
      <c r="CD332" s="1"/>
      <c r="CE332" s="1"/>
      <c r="CF332" s="1"/>
      <c r="CG332" s="1"/>
      <c r="CH332" s="1"/>
      <c r="CI332" s="1"/>
      <c r="CJ332" s="1"/>
      <c r="CK332" s="1"/>
      <c r="CL332" s="1"/>
      <c r="CM332" s="1"/>
      <c r="CN332" s="1"/>
      <c r="CO332" s="1"/>
      <c r="CP332" s="1"/>
      <c r="CQ332" s="1"/>
      <c r="CR332" s="1"/>
      <c r="CS332" s="1"/>
      <c r="CT332" s="1"/>
      <c r="CU332" s="1"/>
      <c r="CV332" s="1"/>
      <c r="CW332" s="1"/>
      <c r="CX332" s="1"/>
      <c r="CY332" s="1"/>
      <c r="CZ332" s="1"/>
      <c r="DA332" s="1"/>
      <c r="DB332" s="1"/>
      <c r="DC332" s="1"/>
      <c r="DD332" s="1"/>
      <c r="DE332" s="1"/>
      <c r="DF332" s="1"/>
      <c r="DG332" s="1"/>
      <c r="DH332" s="1"/>
      <c r="DI332" s="1"/>
      <c r="DJ332" s="1"/>
      <c r="DK332" s="1"/>
      <c r="DL332" s="1"/>
      <c r="DM332" s="1"/>
      <c r="DN332" s="1"/>
      <c r="DO332" s="1"/>
      <c r="DP332" s="1"/>
      <c r="DQ332" s="1"/>
      <c r="DR332" s="1"/>
      <c r="DS332" s="1"/>
      <c r="DT332" s="1"/>
      <c r="DU332" s="1"/>
      <c r="DV332" s="1"/>
      <c r="DW332" s="1"/>
      <c r="DX332" s="1"/>
      <c r="DY332" s="1"/>
      <c r="DZ332" s="1"/>
      <c r="EA332" s="1"/>
      <c r="EB332" s="1"/>
      <c r="EC332" s="1"/>
      <c r="ED332" s="1"/>
      <c r="EE332" s="1"/>
      <c r="EF332" s="1"/>
      <c r="EG332" s="1"/>
      <c r="EH332" s="1"/>
      <c r="EI332" s="1"/>
      <c r="EJ332" s="1"/>
      <c r="EK332" s="1"/>
      <c r="EL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c r="BS333" s="1"/>
      <c r="BT333" s="1"/>
      <c r="BU333" s="1"/>
      <c r="BV333" s="1"/>
      <c r="BW333" s="1"/>
      <c r="BX333" s="1"/>
      <c r="BY333" s="1"/>
      <c r="BZ333" s="1"/>
      <c r="CA333" s="1"/>
      <c r="CB333" s="1"/>
      <c r="CC333" s="1"/>
      <c r="CD333" s="1"/>
      <c r="CE333" s="1"/>
      <c r="CF333" s="1"/>
      <c r="CG333" s="1"/>
      <c r="CH333" s="1"/>
      <c r="CI333" s="1"/>
      <c r="CJ333" s="1"/>
      <c r="CK333" s="1"/>
      <c r="CL333" s="1"/>
      <c r="CM333" s="1"/>
      <c r="CN333" s="1"/>
      <c r="CO333" s="1"/>
      <c r="CP333" s="1"/>
      <c r="CQ333" s="1"/>
      <c r="CR333" s="1"/>
      <c r="CS333" s="1"/>
      <c r="CT333" s="1"/>
      <c r="CU333" s="1"/>
      <c r="CV333" s="1"/>
      <c r="CW333" s="1"/>
      <c r="CX333" s="1"/>
      <c r="CY333" s="1"/>
      <c r="CZ333" s="1"/>
      <c r="DA333" s="1"/>
      <c r="DB333" s="1"/>
      <c r="DC333" s="1"/>
      <c r="DD333" s="1"/>
      <c r="DE333" s="1"/>
      <c r="DF333" s="1"/>
      <c r="DG333" s="1"/>
      <c r="DH333" s="1"/>
      <c r="DI333" s="1"/>
      <c r="DJ333" s="1"/>
      <c r="DK333" s="1"/>
      <c r="DL333" s="1"/>
      <c r="DM333" s="1"/>
      <c r="DN333" s="1"/>
      <c r="DO333" s="1"/>
      <c r="DP333" s="1"/>
      <c r="DQ333" s="1"/>
      <c r="DR333" s="1"/>
      <c r="DS333" s="1"/>
      <c r="DT333" s="1"/>
      <c r="DU333" s="1"/>
      <c r="DV333" s="1"/>
      <c r="DW333" s="1"/>
      <c r="DX333" s="1"/>
      <c r="DY333" s="1"/>
      <c r="DZ333" s="1"/>
      <c r="EA333" s="1"/>
      <c r="EB333" s="1"/>
      <c r="EC333" s="1"/>
      <c r="ED333" s="1"/>
      <c r="EE333" s="1"/>
      <c r="EF333" s="1"/>
      <c r="EG333" s="1"/>
      <c r="EH333" s="1"/>
      <c r="EI333" s="1"/>
      <c r="EJ333" s="1"/>
      <c r="EK333" s="1"/>
      <c r="EL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c r="BW334" s="1"/>
      <c r="BX334" s="1"/>
      <c r="BY334" s="1"/>
      <c r="BZ334" s="1"/>
      <c r="CA334" s="1"/>
      <c r="CB334" s="1"/>
      <c r="CC334" s="1"/>
      <c r="CD334" s="1"/>
      <c r="CE334" s="1"/>
      <c r="CF334" s="1"/>
      <c r="CG334" s="1"/>
      <c r="CH334" s="1"/>
      <c r="CI334" s="1"/>
      <c r="CJ334" s="1"/>
      <c r="CK334" s="1"/>
      <c r="CL334" s="1"/>
      <c r="CM334" s="1"/>
      <c r="CN334" s="1"/>
      <c r="CO334" s="1"/>
      <c r="CP334" s="1"/>
      <c r="CQ334" s="1"/>
      <c r="CR334" s="1"/>
      <c r="CS334" s="1"/>
      <c r="CT334" s="1"/>
      <c r="CU334" s="1"/>
      <c r="CV334" s="1"/>
      <c r="CW334" s="1"/>
      <c r="CX334" s="1"/>
      <c r="CY334" s="1"/>
      <c r="CZ334" s="1"/>
      <c r="DA334" s="1"/>
      <c r="DB334" s="1"/>
      <c r="DC334" s="1"/>
      <c r="DD334" s="1"/>
      <c r="DE334" s="1"/>
      <c r="DF334" s="1"/>
      <c r="DG334" s="1"/>
      <c r="DH334" s="1"/>
      <c r="DI334" s="1"/>
      <c r="DJ334" s="1"/>
      <c r="DK334" s="1"/>
      <c r="DL334" s="1"/>
      <c r="DM334" s="1"/>
      <c r="DN334" s="1"/>
      <c r="DO334" s="1"/>
      <c r="DP334" s="1"/>
      <c r="DQ334" s="1"/>
      <c r="DR334" s="1"/>
      <c r="DS334" s="1"/>
      <c r="DT334" s="1"/>
      <c r="DU334" s="1"/>
      <c r="DV334" s="1"/>
      <c r="DW334" s="1"/>
      <c r="DX334" s="1"/>
      <c r="DY334" s="1"/>
      <c r="DZ334" s="1"/>
      <c r="EA334" s="1"/>
      <c r="EB334" s="1"/>
      <c r="EC334" s="1"/>
      <c r="ED334" s="1"/>
      <c r="EE334" s="1"/>
      <c r="EF334" s="1"/>
      <c r="EG334" s="1"/>
      <c r="EH334" s="1"/>
      <c r="EI334" s="1"/>
      <c r="EJ334" s="1"/>
      <c r="EK334" s="1"/>
      <c r="EL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c r="BW335" s="1"/>
      <c r="BX335" s="1"/>
      <c r="BY335" s="1"/>
      <c r="BZ335" s="1"/>
      <c r="CA335" s="1"/>
      <c r="CB335" s="1"/>
      <c r="CC335" s="1"/>
      <c r="CD335" s="1"/>
      <c r="CE335" s="1"/>
      <c r="CF335" s="1"/>
      <c r="CG335" s="1"/>
      <c r="CH335" s="1"/>
      <c r="CI335" s="1"/>
      <c r="CJ335" s="1"/>
      <c r="CK335" s="1"/>
      <c r="CL335" s="1"/>
      <c r="CM335" s="1"/>
      <c r="CN335" s="1"/>
      <c r="CO335" s="1"/>
      <c r="CP335" s="1"/>
      <c r="CQ335" s="1"/>
      <c r="CR335" s="1"/>
      <c r="CS335" s="1"/>
      <c r="CT335" s="1"/>
      <c r="CU335" s="1"/>
      <c r="CV335" s="1"/>
      <c r="CW335" s="1"/>
      <c r="CX335" s="1"/>
      <c r="CY335" s="1"/>
      <c r="CZ335" s="1"/>
      <c r="DA335" s="1"/>
      <c r="DB335" s="1"/>
      <c r="DC335" s="1"/>
      <c r="DD335" s="1"/>
      <c r="DE335" s="1"/>
      <c r="DF335" s="1"/>
      <c r="DG335" s="1"/>
      <c r="DH335" s="1"/>
      <c r="DI335" s="1"/>
      <c r="DJ335" s="1"/>
      <c r="DK335" s="1"/>
      <c r="DL335" s="1"/>
      <c r="DM335" s="1"/>
      <c r="DN335" s="1"/>
      <c r="DO335" s="1"/>
      <c r="DP335" s="1"/>
      <c r="DQ335" s="1"/>
      <c r="DR335" s="1"/>
      <c r="DS335" s="1"/>
      <c r="DT335" s="1"/>
      <c r="DU335" s="1"/>
      <c r="DV335" s="1"/>
      <c r="DW335" s="1"/>
      <c r="DX335" s="1"/>
      <c r="DY335" s="1"/>
      <c r="DZ335" s="1"/>
      <c r="EA335" s="1"/>
      <c r="EB335" s="1"/>
      <c r="EC335" s="1"/>
      <c r="ED335" s="1"/>
      <c r="EE335" s="1"/>
      <c r="EF335" s="1"/>
      <c r="EG335" s="1"/>
      <c r="EH335" s="1"/>
      <c r="EI335" s="1"/>
      <c r="EJ335" s="1"/>
      <c r="EK335" s="1"/>
      <c r="EL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c r="BW336" s="1"/>
      <c r="BX336" s="1"/>
      <c r="BY336" s="1"/>
      <c r="BZ336" s="1"/>
      <c r="CA336" s="1"/>
      <c r="CB336" s="1"/>
      <c r="CC336" s="1"/>
      <c r="CD336" s="1"/>
      <c r="CE336" s="1"/>
      <c r="CF336" s="1"/>
      <c r="CG336" s="1"/>
      <c r="CH336" s="1"/>
      <c r="CI336" s="1"/>
      <c r="CJ336" s="1"/>
      <c r="CK336" s="1"/>
      <c r="CL336" s="1"/>
      <c r="CM336" s="1"/>
      <c r="CN336" s="1"/>
      <c r="CO336" s="1"/>
      <c r="CP336" s="1"/>
      <c r="CQ336" s="1"/>
      <c r="CR336" s="1"/>
      <c r="CS336" s="1"/>
      <c r="CT336" s="1"/>
      <c r="CU336" s="1"/>
      <c r="CV336" s="1"/>
      <c r="CW336" s="1"/>
      <c r="CX336" s="1"/>
      <c r="CY336" s="1"/>
      <c r="CZ336" s="1"/>
      <c r="DA336" s="1"/>
      <c r="DB336" s="1"/>
      <c r="DC336" s="1"/>
      <c r="DD336" s="1"/>
      <c r="DE336" s="1"/>
      <c r="DF336" s="1"/>
      <c r="DG336" s="1"/>
      <c r="DH336" s="1"/>
      <c r="DI336" s="1"/>
      <c r="DJ336" s="1"/>
      <c r="DK336" s="1"/>
      <c r="DL336" s="1"/>
      <c r="DM336" s="1"/>
      <c r="DN336" s="1"/>
      <c r="DO336" s="1"/>
      <c r="DP336" s="1"/>
      <c r="DQ336" s="1"/>
      <c r="DR336" s="1"/>
      <c r="DS336" s="1"/>
      <c r="DT336" s="1"/>
      <c r="DU336" s="1"/>
      <c r="DV336" s="1"/>
      <c r="DW336" s="1"/>
      <c r="DX336" s="1"/>
      <c r="DY336" s="1"/>
      <c r="DZ336" s="1"/>
      <c r="EA336" s="1"/>
      <c r="EB336" s="1"/>
      <c r="EC336" s="1"/>
      <c r="ED336" s="1"/>
      <c r="EE336" s="1"/>
      <c r="EF336" s="1"/>
      <c r="EG336" s="1"/>
      <c r="EH336" s="1"/>
      <c r="EI336" s="1"/>
      <c r="EJ336" s="1"/>
      <c r="EK336" s="1"/>
      <c r="EL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c r="DZ337" s="1"/>
      <c r="EA337" s="1"/>
      <c r="EB337" s="1"/>
      <c r="EC337" s="1"/>
      <c r="ED337" s="1"/>
      <c r="EE337" s="1"/>
      <c r="EF337" s="1"/>
      <c r="EG337" s="1"/>
      <c r="EH337" s="1"/>
      <c r="EI337" s="1"/>
      <c r="EJ337" s="1"/>
      <c r="EK337" s="1"/>
      <c r="EL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c r="BS338" s="1"/>
      <c r="BT338" s="1"/>
      <c r="BU338" s="1"/>
      <c r="BV338" s="1"/>
      <c r="BW338" s="1"/>
      <c r="BX338" s="1"/>
      <c r="BY338" s="1"/>
      <c r="BZ338" s="1"/>
      <c r="CA338" s="1"/>
      <c r="CB338" s="1"/>
      <c r="CC338" s="1"/>
      <c r="CD338" s="1"/>
      <c r="CE338" s="1"/>
      <c r="CF338" s="1"/>
      <c r="CG338" s="1"/>
      <c r="CH338" s="1"/>
      <c r="CI338" s="1"/>
      <c r="CJ338" s="1"/>
      <c r="CK338" s="1"/>
      <c r="CL338" s="1"/>
      <c r="CM338" s="1"/>
      <c r="CN338" s="1"/>
      <c r="CO338" s="1"/>
      <c r="CP338" s="1"/>
      <c r="CQ338" s="1"/>
      <c r="CR338" s="1"/>
      <c r="CS338" s="1"/>
      <c r="CT338" s="1"/>
      <c r="CU338" s="1"/>
      <c r="CV338" s="1"/>
      <c r="CW338" s="1"/>
      <c r="CX338" s="1"/>
      <c r="CY338" s="1"/>
      <c r="CZ338" s="1"/>
      <c r="DA338" s="1"/>
      <c r="DB338" s="1"/>
      <c r="DC338" s="1"/>
      <c r="DD338" s="1"/>
      <c r="DE338" s="1"/>
      <c r="DF338" s="1"/>
      <c r="DG338" s="1"/>
      <c r="DH338" s="1"/>
      <c r="DI338" s="1"/>
      <c r="DJ338" s="1"/>
      <c r="DK338" s="1"/>
      <c r="DL338" s="1"/>
      <c r="DM338" s="1"/>
      <c r="DN338" s="1"/>
      <c r="DO338" s="1"/>
      <c r="DP338" s="1"/>
      <c r="DQ338" s="1"/>
      <c r="DR338" s="1"/>
      <c r="DS338" s="1"/>
      <c r="DT338" s="1"/>
      <c r="DU338" s="1"/>
      <c r="DV338" s="1"/>
      <c r="DW338" s="1"/>
      <c r="DX338" s="1"/>
      <c r="DY338" s="1"/>
      <c r="DZ338" s="1"/>
      <c r="EA338" s="1"/>
      <c r="EB338" s="1"/>
      <c r="EC338" s="1"/>
      <c r="ED338" s="1"/>
      <c r="EE338" s="1"/>
      <c r="EF338" s="1"/>
      <c r="EG338" s="1"/>
      <c r="EH338" s="1"/>
      <c r="EI338" s="1"/>
      <c r="EJ338" s="1"/>
      <c r="EK338" s="1"/>
      <c r="EL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c r="BW339" s="1"/>
      <c r="BX339" s="1"/>
      <c r="BY339" s="1"/>
      <c r="BZ339" s="1"/>
      <c r="CA339" s="1"/>
      <c r="CB339" s="1"/>
      <c r="CC339" s="1"/>
      <c r="CD339" s="1"/>
      <c r="CE339" s="1"/>
      <c r="CF339" s="1"/>
      <c r="CG339" s="1"/>
      <c r="CH339" s="1"/>
      <c r="CI339" s="1"/>
      <c r="CJ339" s="1"/>
      <c r="CK339" s="1"/>
      <c r="CL339" s="1"/>
      <c r="CM339" s="1"/>
      <c r="CN339" s="1"/>
      <c r="CO339" s="1"/>
      <c r="CP339" s="1"/>
      <c r="CQ339" s="1"/>
      <c r="CR339" s="1"/>
      <c r="CS339" s="1"/>
      <c r="CT339" s="1"/>
      <c r="CU339" s="1"/>
      <c r="CV339" s="1"/>
      <c r="CW339" s="1"/>
      <c r="CX339" s="1"/>
      <c r="CY339" s="1"/>
      <c r="CZ339" s="1"/>
      <c r="DA339" s="1"/>
      <c r="DB339" s="1"/>
      <c r="DC339" s="1"/>
      <c r="DD339" s="1"/>
      <c r="DE339" s="1"/>
      <c r="DF339" s="1"/>
      <c r="DG339" s="1"/>
      <c r="DH339" s="1"/>
      <c r="DI339" s="1"/>
      <c r="DJ339" s="1"/>
      <c r="DK339" s="1"/>
      <c r="DL339" s="1"/>
      <c r="DM339" s="1"/>
      <c r="DN339" s="1"/>
      <c r="DO339" s="1"/>
      <c r="DP339" s="1"/>
      <c r="DQ339" s="1"/>
      <c r="DR339" s="1"/>
      <c r="DS339" s="1"/>
      <c r="DT339" s="1"/>
      <c r="DU339" s="1"/>
      <c r="DV339" s="1"/>
      <c r="DW339" s="1"/>
      <c r="DX339" s="1"/>
      <c r="DY339" s="1"/>
      <c r="DZ339" s="1"/>
      <c r="EA339" s="1"/>
      <c r="EB339" s="1"/>
      <c r="EC339" s="1"/>
      <c r="ED339" s="1"/>
      <c r="EE339" s="1"/>
      <c r="EF339" s="1"/>
      <c r="EG339" s="1"/>
      <c r="EH339" s="1"/>
      <c r="EI339" s="1"/>
      <c r="EJ339" s="1"/>
      <c r="EK339" s="1"/>
      <c r="EL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c r="BW340" s="1"/>
      <c r="BX340" s="1"/>
      <c r="BY340" s="1"/>
      <c r="BZ340" s="1"/>
      <c r="CA340" s="1"/>
      <c r="CB340" s="1"/>
      <c r="CC340" s="1"/>
      <c r="CD340" s="1"/>
      <c r="CE340" s="1"/>
      <c r="CF340" s="1"/>
      <c r="CG340" s="1"/>
      <c r="CH340" s="1"/>
      <c r="CI340" s="1"/>
      <c r="CJ340" s="1"/>
      <c r="CK340" s="1"/>
      <c r="CL340" s="1"/>
      <c r="CM340" s="1"/>
      <c r="CN340" s="1"/>
      <c r="CO340" s="1"/>
      <c r="CP340" s="1"/>
      <c r="CQ340" s="1"/>
      <c r="CR340" s="1"/>
      <c r="CS340" s="1"/>
      <c r="CT340" s="1"/>
      <c r="CU340" s="1"/>
      <c r="CV340" s="1"/>
      <c r="CW340" s="1"/>
      <c r="CX340" s="1"/>
      <c r="CY340" s="1"/>
      <c r="CZ340" s="1"/>
      <c r="DA340" s="1"/>
      <c r="DB340" s="1"/>
      <c r="DC340" s="1"/>
      <c r="DD340" s="1"/>
      <c r="DE340" s="1"/>
      <c r="DF340" s="1"/>
      <c r="DG340" s="1"/>
      <c r="DH340" s="1"/>
      <c r="DI340" s="1"/>
      <c r="DJ340" s="1"/>
      <c r="DK340" s="1"/>
      <c r="DL340" s="1"/>
      <c r="DM340" s="1"/>
      <c r="DN340" s="1"/>
      <c r="DO340" s="1"/>
      <c r="DP340" s="1"/>
      <c r="DQ340" s="1"/>
      <c r="DR340" s="1"/>
      <c r="DS340" s="1"/>
      <c r="DT340" s="1"/>
      <c r="DU340" s="1"/>
      <c r="DV340" s="1"/>
      <c r="DW340" s="1"/>
      <c r="DX340" s="1"/>
      <c r="DY340" s="1"/>
      <c r="DZ340" s="1"/>
      <c r="EA340" s="1"/>
      <c r="EB340" s="1"/>
      <c r="EC340" s="1"/>
      <c r="ED340" s="1"/>
      <c r="EE340" s="1"/>
      <c r="EF340" s="1"/>
      <c r="EG340" s="1"/>
      <c r="EH340" s="1"/>
      <c r="EI340" s="1"/>
      <c r="EJ340" s="1"/>
      <c r="EK340" s="1"/>
      <c r="EL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c r="BS341" s="1"/>
      <c r="BT341" s="1"/>
      <c r="BU341" s="1"/>
      <c r="BV341" s="1"/>
      <c r="BW341" s="1"/>
      <c r="BX341" s="1"/>
      <c r="BY341" s="1"/>
      <c r="BZ341" s="1"/>
      <c r="CA341" s="1"/>
      <c r="CB341" s="1"/>
      <c r="CC341" s="1"/>
      <c r="CD341" s="1"/>
      <c r="CE341" s="1"/>
      <c r="CF341" s="1"/>
      <c r="CG341" s="1"/>
      <c r="CH341" s="1"/>
      <c r="CI341" s="1"/>
      <c r="CJ341" s="1"/>
      <c r="CK341" s="1"/>
      <c r="CL341" s="1"/>
      <c r="CM341" s="1"/>
      <c r="CN341" s="1"/>
      <c r="CO341" s="1"/>
      <c r="CP341" s="1"/>
      <c r="CQ341" s="1"/>
      <c r="CR341" s="1"/>
      <c r="CS341" s="1"/>
      <c r="CT341" s="1"/>
      <c r="CU341" s="1"/>
      <c r="CV341" s="1"/>
      <c r="CW341" s="1"/>
      <c r="CX341" s="1"/>
      <c r="CY341" s="1"/>
      <c r="CZ341" s="1"/>
      <c r="DA341" s="1"/>
      <c r="DB341" s="1"/>
      <c r="DC341" s="1"/>
      <c r="DD341" s="1"/>
      <c r="DE341" s="1"/>
      <c r="DF341" s="1"/>
      <c r="DG341" s="1"/>
      <c r="DH341" s="1"/>
      <c r="DI341" s="1"/>
      <c r="DJ341" s="1"/>
      <c r="DK341" s="1"/>
      <c r="DL341" s="1"/>
      <c r="DM341" s="1"/>
      <c r="DN341" s="1"/>
      <c r="DO341" s="1"/>
      <c r="DP341" s="1"/>
      <c r="DQ341" s="1"/>
      <c r="DR341" s="1"/>
      <c r="DS341" s="1"/>
      <c r="DT341" s="1"/>
      <c r="DU341" s="1"/>
      <c r="DV341" s="1"/>
      <c r="DW341" s="1"/>
      <c r="DX341" s="1"/>
      <c r="DY341" s="1"/>
      <c r="DZ341" s="1"/>
      <c r="EA341" s="1"/>
      <c r="EB341" s="1"/>
      <c r="EC341" s="1"/>
      <c r="ED341" s="1"/>
      <c r="EE341" s="1"/>
      <c r="EF341" s="1"/>
      <c r="EG341" s="1"/>
      <c r="EH341" s="1"/>
      <c r="EI341" s="1"/>
      <c r="EJ341" s="1"/>
      <c r="EK341" s="1"/>
      <c r="EL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c r="BR342" s="1"/>
      <c r="BS342" s="1"/>
      <c r="BT342" s="1"/>
      <c r="BU342" s="1"/>
      <c r="BV342" s="1"/>
      <c r="BW342" s="1"/>
      <c r="BX342" s="1"/>
      <c r="BY342" s="1"/>
      <c r="BZ342" s="1"/>
      <c r="CA342" s="1"/>
      <c r="CB342" s="1"/>
      <c r="CC342" s="1"/>
      <c r="CD342" s="1"/>
      <c r="CE342" s="1"/>
      <c r="CF342" s="1"/>
      <c r="CG342" s="1"/>
      <c r="CH342" s="1"/>
      <c r="CI342" s="1"/>
      <c r="CJ342" s="1"/>
      <c r="CK342" s="1"/>
      <c r="CL342" s="1"/>
      <c r="CM342" s="1"/>
      <c r="CN342" s="1"/>
      <c r="CO342" s="1"/>
      <c r="CP342" s="1"/>
      <c r="CQ342" s="1"/>
      <c r="CR342" s="1"/>
      <c r="CS342" s="1"/>
      <c r="CT342" s="1"/>
      <c r="CU342" s="1"/>
      <c r="CV342" s="1"/>
      <c r="CW342" s="1"/>
      <c r="CX342" s="1"/>
      <c r="CY342" s="1"/>
      <c r="CZ342" s="1"/>
      <c r="DA342" s="1"/>
      <c r="DB342" s="1"/>
      <c r="DC342" s="1"/>
      <c r="DD342" s="1"/>
      <c r="DE342" s="1"/>
      <c r="DF342" s="1"/>
      <c r="DG342" s="1"/>
      <c r="DH342" s="1"/>
      <c r="DI342" s="1"/>
      <c r="DJ342" s="1"/>
      <c r="DK342" s="1"/>
      <c r="DL342" s="1"/>
      <c r="DM342" s="1"/>
      <c r="DN342" s="1"/>
      <c r="DO342" s="1"/>
      <c r="DP342" s="1"/>
      <c r="DQ342" s="1"/>
      <c r="DR342" s="1"/>
      <c r="DS342" s="1"/>
      <c r="DT342" s="1"/>
      <c r="DU342" s="1"/>
      <c r="DV342" s="1"/>
      <c r="DW342" s="1"/>
      <c r="DX342" s="1"/>
      <c r="DY342" s="1"/>
      <c r="DZ342" s="1"/>
      <c r="EA342" s="1"/>
      <c r="EB342" s="1"/>
      <c r="EC342" s="1"/>
      <c r="ED342" s="1"/>
      <c r="EE342" s="1"/>
      <c r="EF342" s="1"/>
      <c r="EG342" s="1"/>
      <c r="EH342" s="1"/>
      <c r="EI342" s="1"/>
      <c r="EJ342" s="1"/>
      <c r="EK342" s="1"/>
      <c r="EL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c r="BR343" s="1"/>
      <c r="BS343" s="1"/>
      <c r="BT343" s="1"/>
      <c r="BU343" s="1"/>
      <c r="BV343" s="1"/>
      <c r="BW343" s="1"/>
      <c r="BX343" s="1"/>
      <c r="BY343" s="1"/>
      <c r="BZ343" s="1"/>
      <c r="CA343" s="1"/>
      <c r="CB343" s="1"/>
      <c r="CC343" s="1"/>
      <c r="CD343" s="1"/>
      <c r="CE343" s="1"/>
      <c r="CF343" s="1"/>
      <c r="CG343" s="1"/>
      <c r="CH343" s="1"/>
      <c r="CI343" s="1"/>
      <c r="CJ343" s="1"/>
      <c r="CK343" s="1"/>
      <c r="CL343" s="1"/>
      <c r="CM343" s="1"/>
      <c r="CN343" s="1"/>
      <c r="CO343" s="1"/>
      <c r="CP343" s="1"/>
      <c r="CQ343" s="1"/>
      <c r="CR343" s="1"/>
      <c r="CS343" s="1"/>
      <c r="CT343" s="1"/>
      <c r="CU343" s="1"/>
      <c r="CV343" s="1"/>
      <c r="CW343" s="1"/>
      <c r="CX343" s="1"/>
      <c r="CY343" s="1"/>
      <c r="CZ343" s="1"/>
      <c r="DA343" s="1"/>
      <c r="DB343" s="1"/>
      <c r="DC343" s="1"/>
      <c r="DD343" s="1"/>
      <c r="DE343" s="1"/>
      <c r="DF343" s="1"/>
      <c r="DG343" s="1"/>
      <c r="DH343" s="1"/>
      <c r="DI343" s="1"/>
      <c r="DJ343" s="1"/>
      <c r="DK343" s="1"/>
      <c r="DL343" s="1"/>
      <c r="DM343" s="1"/>
      <c r="DN343" s="1"/>
      <c r="DO343" s="1"/>
      <c r="DP343" s="1"/>
      <c r="DQ343" s="1"/>
      <c r="DR343" s="1"/>
      <c r="DS343" s="1"/>
      <c r="DT343" s="1"/>
      <c r="DU343" s="1"/>
      <c r="DV343" s="1"/>
      <c r="DW343" s="1"/>
      <c r="DX343" s="1"/>
      <c r="DY343" s="1"/>
      <c r="DZ343" s="1"/>
      <c r="EA343" s="1"/>
      <c r="EB343" s="1"/>
      <c r="EC343" s="1"/>
      <c r="ED343" s="1"/>
      <c r="EE343" s="1"/>
      <c r="EF343" s="1"/>
      <c r="EG343" s="1"/>
      <c r="EH343" s="1"/>
      <c r="EI343" s="1"/>
      <c r="EJ343" s="1"/>
      <c r="EK343" s="1"/>
      <c r="EL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c r="BR344" s="1"/>
      <c r="BS344" s="1"/>
      <c r="BT344" s="1"/>
      <c r="BU344" s="1"/>
      <c r="BV344" s="1"/>
      <c r="BW344" s="1"/>
      <c r="BX344" s="1"/>
      <c r="BY344" s="1"/>
      <c r="BZ344" s="1"/>
      <c r="CA344" s="1"/>
      <c r="CB344" s="1"/>
      <c r="CC344" s="1"/>
      <c r="CD344" s="1"/>
      <c r="CE344" s="1"/>
      <c r="CF344" s="1"/>
      <c r="CG344" s="1"/>
      <c r="CH344" s="1"/>
      <c r="CI344" s="1"/>
      <c r="CJ344" s="1"/>
      <c r="CK344" s="1"/>
      <c r="CL344" s="1"/>
      <c r="CM344" s="1"/>
      <c r="CN344" s="1"/>
      <c r="CO344" s="1"/>
      <c r="CP344" s="1"/>
      <c r="CQ344" s="1"/>
      <c r="CR344" s="1"/>
      <c r="CS344" s="1"/>
      <c r="CT344" s="1"/>
      <c r="CU344" s="1"/>
      <c r="CV344" s="1"/>
      <c r="CW344" s="1"/>
      <c r="CX344" s="1"/>
      <c r="CY344" s="1"/>
      <c r="CZ344" s="1"/>
      <c r="DA344" s="1"/>
      <c r="DB344" s="1"/>
      <c r="DC344" s="1"/>
      <c r="DD344" s="1"/>
      <c r="DE344" s="1"/>
      <c r="DF344" s="1"/>
      <c r="DG344" s="1"/>
      <c r="DH344" s="1"/>
      <c r="DI344" s="1"/>
      <c r="DJ344" s="1"/>
      <c r="DK344" s="1"/>
      <c r="DL344" s="1"/>
      <c r="DM344" s="1"/>
      <c r="DN344" s="1"/>
      <c r="DO344" s="1"/>
      <c r="DP344" s="1"/>
      <c r="DQ344" s="1"/>
      <c r="DR344" s="1"/>
      <c r="DS344" s="1"/>
      <c r="DT344" s="1"/>
      <c r="DU344" s="1"/>
      <c r="DV344" s="1"/>
      <c r="DW344" s="1"/>
      <c r="DX344" s="1"/>
      <c r="DY344" s="1"/>
      <c r="DZ344" s="1"/>
      <c r="EA344" s="1"/>
      <c r="EB344" s="1"/>
      <c r="EC344" s="1"/>
      <c r="ED344" s="1"/>
      <c r="EE344" s="1"/>
      <c r="EF344" s="1"/>
      <c r="EG344" s="1"/>
      <c r="EH344" s="1"/>
      <c r="EI344" s="1"/>
      <c r="EJ344" s="1"/>
      <c r="EK344" s="1"/>
      <c r="EL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c r="BS345" s="1"/>
      <c r="BT345" s="1"/>
      <c r="BU345" s="1"/>
      <c r="BV345" s="1"/>
      <c r="BW345" s="1"/>
      <c r="BX345" s="1"/>
      <c r="BY345" s="1"/>
      <c r="BZ345" s="1"/>
      <c r="CA345" s="1"/>
      <c r="CB345" s="1"/>
      <c r="CC345" s="1"/>
      <c r="CD345" s="1"/>
      <c r="CE345" s="1"/>
      <c r="CF345" s="1"/>
      <c r="CG345" s="1"/>
      <c r="CH345" s="1"/>
      <c r="CI345" s="1"/>
      <c r="CJ345" s="1"/>
      <c r="CK345" s="1"/>
      <c r="CL345" s="1"/>
      <c r="CM345" s="1"/>
      <c r="CN345" s="1"/>
      <c r="CO345" s="1"/>
      <c r="CP345" s="1"/>
      <c r="CQ345" s="1"/>
      <c r="CR345" s="1"/>
      <c r="CS345" s="1"/>
      <c r="CT345" s="1"/>
      <c r="CU345" s="1"/>
      <c r="CV345" s="1"/>
      <c r="CW345" s="1"/>
      <c r="CX345" s="1"/>
      <c r="CY345" s="1"/>
      <c r="CZ345" s="1"/>
      <c r="DA345" s="1"/>
      <c r="DB345" s="1"/>
      <c r="DC345" s="1"/>
      <c r="DD345" s="1"/>
      <c r="DE345" s="1"/>
      <c r="DF345" s="1"/>
      <c r="DG345" s="1"/>
      <c r="DH345" s="1"/>
      <c r="DI345" s="1"/>
      <c r="DJ345" s="1"/>
      <c r="DK345" s="1"/>
      <c r="DL345" s="1"/>
      <c r="DM345" s="1"/>
      <c r="DN345" s="1"/>
      <c r="DO345" s="1"/>
      <c r="DP345" s="1"/>
      <c r="DQ345" s="1"/>
      <c r="DR345" s="1"/>
      <c r="DS345" s="1"/>
      <c r="DT345" s="1"/>
      <c r="DU345" s="1"/>
      <c r="DV345" s="1"/>
      <c r="DW345" s="1"/>
      <c r="DX345" s="1"/>
      <c r="DY345" s="1"/>
      <c r="DZ345" s="1"/>
      <c r="EA345" s="1"/>
      <c r="EB345" s="1"/>
      <c r="EC345" s="1"/>
      <c r="ED345" s="1"/>
      <c r="EE345" s="1"/>
      <c r="EF345" s="1"/>
      <c r="EG345" s="1"/>
      <c r="EH345" s="1"/>
      <c r="EI345" s="1"/>
      <c r="EJ345" s="1"/>
      <c r="EK345" s="1"/>
      <c r="EL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c r="BR346" s="1"/>
      <c r="BS346" s="1"/>
      <c r="BT346" s="1"/>
      <c r="BU346" s="1"/>
      <c r="BV346" s="1"/>
      <c r="BW346" s="1"/>
      <c r="BX346" s="1"/>
      <c r="BY346" s="1"/>
      <c r="BZ346" s="1"/>
      <c r="CA346" s="1"/>
      <c r="CB346" s="1"/>
      <c r="CC346" s="1"/>
      <c r="CD346" s="1"/>
      <c r="CE346" s="1"/>
      <c r="CF346" s="1"/>
      <c r="CG346" s="1"/>
      <c r="CH346" s="1"/>
      <c r="CI346" s="1"/>
      <c r="CJ346" s="1"/>
      <c r="CK346" s="1"/>
      <c r="CL346" s="1"/>
      <c r="CM346" s="1"/>
      <c r="CN346" s="1"/>
      <c r="CO346" s="1"/>
      <c r="CP346" s="1"/>
      <c r="CQ346" s="1"/>
      <c r="CR346" s="1"/>
      <c r="CS346" s="1"/>
      <c r="CT346" s="1"/>
      <c r="CU346" s="1"/>
      <c r="CV346" s="1"/>
      <c r="CW346" s="1"/>
      <c r="CX346" s="1"/>
      <c r="CY346" s="1"/>
      <c r="CZ346" s="1"/>
      <c r="DA346" s="1"/>
      <c r="DB346" s="1"/>
      <c r="DC346" s="1"/>
      <c r="DD346" s="1"/>
      <c r="DE346" s="1"/>
      <c r="DF346" s="1"/>
      <c r="DG346" s="1"/>
      <c r="DH346" s="1"/>
      <c r="DI346" s="1"/>
      <c r="DJ346" s="1"/>
      <c r="DK346" s="1"/>
      <c r="DL346" s="1"/>
      <c r="DM346" s="1"/>
      <c r="DN346" s="1"/>
      <c r="DO346" s="1"/>
      <c r="DP346" s="1"/>
      <c r="DQ346" s="1"/>
      <c r="DR346" s="1"/>
      <c r="DS346" s="1"/>
      <c r="DT346" s="1"/>
      <c r="DU346" s="1"/>
      <c r="DV346" s="1"/>
      <c r="DW346" s="1"/>
      <c r="DX346" s="1"/>
      <c r="DY346" s="1"/>
      <c r="DZ346" s="1"/>
      <c r="EA346" s="1"/>
      <c r="EB346" s="1"/>
      <c r="EC346" s="1"/>
      <c r="ED346" s="1"/>
      <c r="EE346" s="1"/>
      <c r="EF346" s="1"/>
      <c r="EG346" s="1"/>
      <c r="EH346" s="1"/>
      <c r="EI346" s="1"/>
      <c r="EJ346" s="1"/>
      <c r="EK346" s="1"/>
      <c r="EL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c r="BR347" s="1"/>
      <c r="BS347" s="1"/>
      <c r="BT347" s="1"/>
      <c r="BU347" s="1"/>
      <c r="BV347" s="1"/>
      <c r="BW347" s="1"/>
      <c r="BX347" s="1"/>
      <c r="BY347" s="1"/>
      <c r="BZ347" s="1"/>
      <c r="CA347" s="1"/>
      <c r="CB347" s="1"/>
      <c r="CC347" s="1"/>
      <c r="CD347" s="1"/>
      <c r="CE347" s="1"/>
      <c r="CF347" s="1"/>
      <c r="CG347" s="1"/>
      <c r="CH347" s="1"/>
      <c r="CI347" s="1"/>
      <c r="CJ347" s="1"/>
      <c r="CK347" s="1"/>
      <c r="CL347" s="1"/>
      <c r="CM347" s="1"/>
      <c r="CN347" s="1"/>
      <c r="CO347" s="1"/>
      <c r="CP347" s="1"/>
      <c r="CQ347" s="1"/>
      <c r="CR347" s="1"/>
      <c r="CS347" s="1"/>
      <c r="CT347" s="1"/>
      <c r="CU347" s="1"/>
      <c r="CV347" s="1"/>
      <c r="CW347" s="1"/>
      <c r="CX347" s="1"/>
      <c r="CY347" s="1"/>
      <c r="CZ347" s="1"/>
      <c r="DA347" s="1"/>
      <c r="DB347" s="1"/>
      <c r="DC347" s="1"/>
      <c r="DD347" s="1"/>
      <c r="DE347" s="1"/>
      <c r="DF347" s="1"/>
      <c r="DG347" s="1"/>
      <c r="DH347" s="1"/>
      <c r="DI347" s="1"/>
      <c r="DJ347" s="1"/>
      <c r="DK347" s="1"/>
      <c r="DL347" s="1"/>
      <c r="DM347" s="1"/>
      <c r="DN347" s="1"/>
      <c r="DO347" s="1"/>
      <c r="DP347" s="1"/>
      <c r="DQ347" s="1"/>
      <c r="DR347" s="1"/>
      <c r="DS347" s="1"/>
      <c r="DT347" s="1"/>
      <c r="DU347" s="1"/>
      <c r="DV347" s="1"/>
      <c r="DW347" s="1"/>
      <c r="DX347" s="1"/>
      <c r="DY347" s="1"/>
      <c r="DZ347" s="1"/>
      <c r="EA347" s="1"/>
      <c r="EB347" s="1"/>
      <c r="EC347" s="1"/>
      <c r="ED347" s="1"/>
      <c r="EE347" s="1"/>
      <c r="EF347" s="1"/>
      <c r="EG347" s="1"/>
      <c r="EH347" s="1"/>
      <c r="EI347" s="1"/>
      <c r="EJ347" s="1"/>
      <c r="EK347" s="1"/>
      <c r="EL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c r="BW348" s="1"/>
      <c r="BX348" s="1"/>
      <c r="BY348" s="1"/>
      <c r="BZ348" s="1"/>
      <c r="CA348" s="1"/>
      <c r="CB348" s="1"/>
      <c r="CC348" s="1"/>
      <c r="CD348" s="1"/>
      <c r="CE348" s="1"/>
      <c r="CF348" s="1"/>
      <c r="CG348" s="1"/>
      <c r="CH348" s="1"/>
      <c r="CI348" s="1"/>
      <c r="CJ348" s="1"/>
      <c r="CK348" s="1"/>
      <c r="CL348" s="1"/>
      <c r="CM348" s="1"/>
      <c r="CN348" s="1"/>
      <c r="CO348" s="1"/>
      <c r="CP348" s="1"/>
      <c r="CQ348" s="1"/>
      <c r="CR348" s="1"/>
      <c r="CS348" s="1"/>
      <c r="CT348" s="1"/>
      <c r="CU348" s="1"/>
      <c r="CV348" s="1"/>
      <c r="CW348" s="1"/>
      <c r="CX348" s="1"/>
      <c r="CY348" s="1"/>
      <c r="CZ348" s="1"/>
      <c r="DA348" s="1"/>
      <c r="DB348" s="1"/>
      <c r="DC348" s="1"/>
      <c r="DD348" s="1"/>
      <c r="DE348" s="1"/>
      <c r="DF348" s="1"/>
      <c r="DG348" s="1"/>
      <c r="DH348" s="1"/>
      <c r="DI348" s="1"/>
      <c r="DJ348" s="1"/>
      <c r="DK348" s="1"/>
      <c r="DL348" s="1"/>
      <c r="DM348" s="1"/>
      <c r="DN348" s="1"/>
      <c r="DO348" s="1"/>
      <c r="DP348" s="1"/>
      <c r="DQ348" s="1"/>
      <c r="DR348" s="1"/>
      <c r="DS348" s="1"/>
      <c r="DT348" s="1"/>
      <c r="DU348" s="1"/>
      <c r="DV348" s="1"/>
      <c r="DW348" s="1"/>
      <c r="DX348" s="1"/>
      <c r="DY348" s="1"/>
      <c r="DZ348" s="1"/>
      <c r="EA348" s="1"/>
      <c r="EB348" s="1"/>
      <c r="EC348" s="1"/>
      <c r="ED348" s="1"/>
      <c r="EE348" s="1"/>
      <c r="EF348" s="1"/>
      <c r="EG348" s="1"/>
      <c r="EH348" s="1"/>
      <c r="EI348" s="1"/>
      <c r="EJ348" s="1"/>
      <c r="EK348" s="1"/>
      <c r="EL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c r="BR349" s="1"/>
      <c r="BS349" s="1"/>
      <c r="BT349" s="1"/>
      <c r="BU349" s="1"/>
      <c r="BV349" s="1"/>
      <c r="BW349" s="1"/>
      <c r="BX349" s="1"/>
      <c r="BY349" s="1"/>
      <c r="BZ349" s="1"/>
      <c r="CA349" s="1"/>
      <c r="CB349" s="1"/>
      <c r="CC349" s="1"/>
      <c r="CD349" s="1"/>
      <c r="CE349" s="1"/>
      <c r="CF349" s="1"/>
      <c r="CG349" s="1"/>
      <c r="CH349" s="1"/>
      <c r="CI349" s="1"/>
      <c r="CJ349" s="1"/>
      <c r="CK349" s="1"/>
      <c r="CL349" s="1"/>
      <c r="CM349" s="1"/>
      <c r="CN349" s="1"/>
      <c r="CO349" s="1"/>
      <c r="CP349" s="1"/>
      <c r="CQ349" s="1"/>
      <c r="CR349" s="1"/>
      <c r="CS349" s="1"/>
      <c r="CT349" s="1"/>
      <c r="CU349" s="1"/>
      <c r="CV349" s="1"/>
      <c r="CW349" s="1"/>
      <c r="CX349" s="1"/>
      <c r="CY349" s="1"/>
      <c r="CZ349" s="1"/>
      <c r="DA349" s="1"/>
      <c r="DB349" s="1"/>
      <c r="DC349" s="1"/>
      <c r="DD349" s="1"/>
      <c r="DE349" s="1"/>
      <c r="DF349" s="1"/>
      <c r="DG349" s="1"/>
      <c r="DH349" s="1"/>
      <c r="DI349" s="1"/>
      <c r="DJ349" s="1"/>
      <c r="DK349" s="1"/>
      <c r="DL349" s="1"/>
      <c r="DM349" s="1"/>
      <c r="DN349" s="1"/>
      <c r="DO349" s="1"/>
      <c r="DP349" s="1"/>
      <c r="DQ349" s="1"/>
      <c r="DR349" s="1"/>
      <c r="DS349" s="1"/>
      <c r="DT349" s="1"/>
      <c r="DU349" s="1"/>
      <c r="DV349" s="1"/>
      <c r="DW349" s="1"/>
      <c r="DX349" s="1"/>
      <c r="DY349" s="1"/>
      <c r="DZ349" s="1"/>
      <c r="EA349" s="1"/>
      <c r="EB349" s="1"/>
      <c r="EC349" s="1"/>
      <c r="ED349" s="1"/>
      <c r="EE349" s="1"/>
      <c r="EF349" s="1"/>
      <c r="EG349" s="1"/>
      <c r="EH349" s="1"/>
      <c r="EI349" s="1"/>
      <c r="EJ349" s="1"/>
      <c r="EK349" s="1"/>
      <c r="EL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c r="BS350" s="1"/>
      <c r="BT350" s="1"/>
      <c r="BU350" s="1"/>
      <c r="BV350" s="1"/>
      <c r="BW350" s="1"/>
      <c r="BX350" s="1"/>
      <c r="BY350" s="1"/>
      <c r="BZ350" s="1"/>
      <c r="CA350" s="1"/>
      <c r="CB350" s="1"/>
      <c r="CC350" s="1"/>
      <c r="CD350" s="1"/>
      <c r="CE350" s="1"/>
      <c r="CF350" s="1"/>
      <c r="CG350" s="1"/>
      <c r="CH350" s="1"/>
      <c r="CI350" s="1"/>
      <c r="CJ350" s="1"/>
      <c r="CK350" s="1"/>
      <c r="CL350" s="1"/>
      <c r="CM350" s="1"/>
      <c r="CN350" s="1"/>
      <c r="CO350" s="1"/>
      <c r="CP350" s="1"/>
      <c r="CQ350" s="1"/>
      <c r="CR350" s="1"/>
      <c r="CS350" s="1"/>
      <c r="CT350" s="1"/>
      <c r="CU350" s="1"/>
      <c r="CV350" s="1"/>
      <c r="CW350" s="1"/>
      <c r="CX350" s="1"/>
      <c r="CY350" s="1"/>
      <c r="CZ350" s="1"/>
      <c r="DA350" s="1"/>
      <c r="DB350" s="1"/>
      <c r="DC350" s="1"/>
      <c r="DD350" s="1"/>
      <c r="DE350" s="1"/>
      <c r="DF350" s="1"/>
      <c r="DG350" s="1"/>
      <c r="DH350" s="1"/>
      <c r="DI350" s="1"/>
      <c r="DJ350" s="1"/>
      <c r="DK350" s="1"/>
      <c r="DL350" s="1"/>
      <c r="DM350" s="1"/>
      <c r="DN350" s="1"/>
      <c r="DO350" s="1"/>
      <c r="DP350" s="1"/>
      <c r="DQ350" s="1"/>
      <c r="DR350" s="1"/>
      <c r="DS350" s="1"/>
      <c r="DT350" s="1"/>
      <c r="DU350" s="1"/>
      <c r="DV350" s="1"/>
      <c r="DW350" s="1"/>
      <c r="DX350" s="1"/>
      <c r="DY350" s="1"/>
      <c r="DZ350" s="1"/>
      <c r="EA350" s="1"/>
      <c r="EB350" s="1"/>
      <c r="EC350" s="1"/>
      <c r="ED350" s="1"/>
      <c r="EE350" s="1"/>
      <c r="EF350" s="1"/>
      <c r="EG350" s="1"/>
      <c r="EH350" s="1"/>
      <c r="EI350" s="1"/>
      <c r="EJ350" s="1"/>
      <c r="EK350" s="1"/>
      <c r="EL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c r="BW351" s="1"/>
      <c r="BX351" s="1"/>
      <c r="BY351" s="1"/>
      <c r="BZ351" s="1"/>
      <c r="CA351" s="1"/>
      <c r="CB351" s="1"/>
      <c r="CC351" s="1"/>
      <c r="CD351" s="1"/>
      <c r="CE351" s="1"/>
      <c r="CF351" s="1"/>
      <c r="CG351" s="1"/>
      <c r="CH351" s="1"/>
      <c r="CI351" s="1"/>
      <c r="CJ351" s="1"/>
      <c r="CK351" s="1"/>
      <c r="CL351" s="1"/>
      <c r="CM351" s="1"/>
      <c r="CN351" s="1"/>
      <c r="CO351" s="1"/>
      <c r="CP351" s="1"/>
      <c r="CQ351" s="1"/>
      <c r="CR351" s="1"/>
      <c r="CS351" s="1"/>
      <c r="CT351" s="1"/>
      <c r="CU351" s="1"/>
      <c r="CV351" s="1"/>
      <c r="CW351" s="1"/>
      <c r="CX351" s="1"/>
      <c r="CY351" s="1"/>
      <c r="CZ351" s="1"/>
      <c r="DA351" s="1"/>
      <c r="DB351" s="1"/>
      <c r="DC351" s="1"/>
      <c r="DD351" s="1"/>
      <c r="DE351" s="1"/>
      <c r="DF351" s="1"/>
      <c r="DG351" s="1"/>
      <c r="DH351" s="1"/>
      <c r="DI351" s="1"/>
      <c r="DJ351" s="1"/>
      <c r="DK351" s="1"/>
      <c r="DL351" s="1"/>
      <c r="DM351" s="1"/>
      <c r="DN351" s="1"/>
      <c r="DO351" s="1"/>
      <c r="DP351" s="1"/>
      <c r="DQ351" s="1"/>
      <c r="DR351" s="1"/>
      <c r="DS351" s="1"/>
      <c r="DT351" s="1"/>
      <c r="DU351" s="1"/>
      <c r="DV351" s="1"/>
      <c r="DW351" s="1"/>
      <c r="DX351" s="1"/>
      <c r="DY351" s="1"/>
      <c r="DZ351" s="1"/>
      <c r="EA351" s="1"/>
      <c r="EB351" s="1"/>
      <c r="EC351" s="1"/>
      <c r="ED351" s="1"/>
      <c r="EE351" s="1"/>
      <c r="EF351" s="1"/>
      <c r="EG351" s="1"/>
      <c r="EH351" s="1"/>
      <c r="EI351" s="1"/>
      <c r="EJ351" s="1"/>
      <c r="EK351" s="1"/>
      <c r="EL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c r="BR352" s="1"/>
      <c r="BS352" s="1"/>
      <c r="BT352" s="1"/>
      <c r="BU352" s="1"/>
      <c r="BV352" s="1"/>
      <c r="BW352" s="1"/>
      <c r="BX352" s="1"/>
      <c r="BY352" s="1"/>
      <c r="BZ352" s="1"/>
      <c r="CA352" s="1"/>
      <c r="CB352" s="1"/>
      <c r="CC352" s="1"/>
      <c r="CD352" s="1"/>
      <c r="CE352" s="1"/>
      <c r="CF352" s="1"/>
      <c r="CG352" s="1"/>
      <c r="CH352" s="1"/>
      <c r="CI352" s="1"/>
      <c r="CJ352" s="1"/>
      <c r="CK352" s="1"/>
      <c r="CL352" s="1"/>
      <c r="CM352" s="1"/>
      <c r="CN352" s="1"/>
      <c r="CO352" s="1"/>
      <c r="CP352" s="1"/>
      <c r="CQ352" s="1"/>
      <c r="CR352" s="1"/>
      <c r="CS352" s="1"/>
      <c r="CT352" s="1"/>
      <c r="CU352" s="1"/>
      <c r="CV352" s="1"/>
      <c r="CW352" s="1"/>
      <c r="CX352" s="1"/>
      <c r="CY352" s="1"/>
      <c r="CZ352" s="1"/>
      <c r="DA352" s="1"/>
      <c r="DB352" s="1"/>
      <c r="DC352" s="1"/>
      <c r="DD352" s="1"/>
      <c r="DE352" s="1"/>
      <c r="DF352" s="1"/>
      <c r="DG352" s="1"/>
      <c r="DH352" s="1"/>
      <c r="DI352" s="1"/>
      <c r="DJ352" s="1"/>
      <c r="DK352" s="1"/>
      <c r="DL352" s="1"/>
      <c r="DM352" s="1"/>
      <c r="DN352" s="1"/>
      <c r="DO352" s="1"/>
      <c r="DP352" s="1"/>
      <c r="DQ352" s="1"/>
      <c r="DR352" s="1"/>
      <c r="DS352" s="1"/>
      <c r="DT352" s="1"/>
      <c r="DU352" s="1"/>
      <c r="DV352" s="1"/>
      <c r="DW352" s="1"/>
      <c r="DX352" s="1"/>
      <c r="DY352" s="1"/>
      <c r="DZ352" s="1"/>
      <c r="EA352" s="1"/>
      <c r="EB352" s="1"/>
      <c r="EC352" s="1"/>
      <c r="ED352" s="1"/>
      <c r="EE352" s="1"/>
      <c r="EF352" s="1"/>
      <c r="EG352" s="1"/>
      <c r="EH352" s="1"/>
      <c r="EI352" s="1"/>
      <c r="EJ352" s="1"/>
      <c r="EK352" s="1"/>
      <c r="EL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c r="BR353" s="1"/>
      <c r="BS353" s="1"/>
      <c r="BT353" s="1"/>
      <c r="BU353" s="1"/>
      <c r="BV353" s="1"/>
      <c r="BW353" s="1"/>
      <c r="BX353" s="1"/>
      <c r="BY353" s="1"/>
      <c r="BZ353" s="1"/>
      <c r="CA353" s="1"/>
      <c r="CB353" s="1"/>
      <c r="CC353" s="1"/>
      <c r="CD353" s="1"/>
      <c r="CE353" s="1"/>
      <c r="CF353" s="1"/>
      <c r="CG353" s="1"/>
      <c r="CH353" s="1"/>
      <c r="CI353" s="1"/>
      <c r="CJ353" s="1"/>
      <c r="CK353" s="1"/>
      <c r="CL353" s="1"/>
      <c r="CM353" s="1"/>
      <c r="CN353" s="1"/>
      <c r="CO353" s="1"/>
      <c r="CP353" s="1"/>
      <c r="CQ353" s="1"/>
      <c r="CR353" s="1"/>
      <c r="CS353" s="1"/>
      <c r="CT353" s="1"/>
      <c r="CU353" s="1"/>
      <c r="CV353" s="1"/>
      <c r="CW353" s="1"/>
      <c r="CX353" s="1"/>
      <c r="CY353" s="1"/>
      <c r="CZ353" s="1"/>
      <c r="DA353" s="1"/>
      <c r="DB353" s="1"/>
      <c r="DC353" s="1"/>
      <c r="DD353" s="1"/>
      <c r="DE353" s="1"/>
      <c r="DF353" s="1"/>
      <c r="DG353" s="1"/>
      <c r="DH353" s="1"/>
      <c r="DI353" s="1"/>
      <c r="DJ353" s="1"/>
      <c r="DK353" s="1"/>
      <c r="DL353" s="1"/>
      <c r="DM353" s="1"/>
      <c r="DN353" s="1"/>
      <c r="DO353" s="1"/>
      <c r="DP353" s="1"/>
      <c r="DQ353" s="1"/>
      <c r="DR353" s="1"/>
      <c r="DS353" s="1"/>
      <c r="DT353" s="1"/>
      <c r="DU353" s="1"/>
      <c r="DV353" s="1"/>
      <c r="DW353" s="1"/>
      <c r="DX353" s="1"/>
      <c r="DY353" s="1"/>
      <c r="DZ353" s="1"/>
      <c r="EA353" s="1"/>
      <c r="EB353" s="1"/>
      <c r="EC353" s="1"/>
      <c r="ED353" s="1"/>
      <c r="EE353" s="1"/>
      <c r="EF353" s="1"/>
      <c r="EG353" s="1"/>
      <c r="EH353" s="1"/>
      <c r="EI353" s="1"/>
      <c r="EJ353" s="1"/>
      <c r="EK353" s="1"/>
      <c r="EL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c r="BS354" s="1"/>
      <c r="BT354" s="1"/>
      <c r="BU354" s="1"/>
      <c r="BV354" s="1"/>
      <c r="BW354" s="1"/>
      <c r="BX354" s="1"/>
      <c r="BY354" s="1"/>
      <c r="BZ354" s="1"/>
      <c r="CA354" s="1"/>
      <c r="CB354" s="1"/>
      <c r="CC354" s="1"/>
      <c r="CD354" s="1"/>
      <c r="CE354" s="1"/>
      <c r="CF354" s="1"/>
      <c r="CG354" s="1"/>
      <c r="CH354" s="1"/>
      <c r="CI354" s="1"/>
      <c r="CJ354" s="1"/>
      <c r="CK354" s="1"/>
      <c r="CL354" s="1"/>
      <c r="CM354" s="1"/>
      <c r="CN354" s="1"/>
      <c r="CO354" s="1"/>
      <c r="CP354" s="1"/>
      <c r="CQ354" s="1"/>
      <c r="CR354" s="1"/>
      <c r="CS354" s="1"/>
      <c r="CT354" s="1"/>
      <c r="CU354" s="1"/>
      <c r="CV354" s="1"/>
      <c r="CW354" s="1"/>
      <c r="CX354" s="1"/>
      <c r="CY354" s="1"/>
      <c r="CZ354" s="1"/>
      <c r="DA354" s="1"/>
      <c r="DB354" s="1"/>
      <c r="DC354" s="1"/>
      <c r="DD354" s="1"/>
      <c r="DE354" s="1"/>
      <c r="DF354" s="1"/>
      <c r="DG354" s="1"/>
      <c r="DH354" s="1"/>
      <c r="DI354" s="1"/>
      <c r="DJ354" s="1"/>
      <c r="DK354" s="1"/>
      <c r="DL354" s="1"/>
      <c r="DM354" s="1"/>
      <c r="DN354" s="1"/>
      <c r="DO354" s="1"/>
      <c r="DP354" s="1"/>
      <c r="DQ354" s="1"/>
      <c r="DR354" s="1"/>
      <c r="DS354" s="1"/>
      <c r="DT354" s="1"/>
      <c r="DU354" s="1"/>
      <c r="DV354" s="1"/>
      <c r="DW354" s="1"/>
      <c r="DX354" s="1"/>
      <c r="DY354" s="1"/>
      <c r="DZ354" s="1"/>
      <c r="EA354" s="1"/>
      <c r="EB354" s="1"/>
      <c r="EC354" s="1"/>
      <c r="ED354" s="1"/>
      <c r="EE354" s="1"/>
      <c r="EF354" s="1"/>
      <c r="EG354" s="1"/>
      <c r="EH354" s="1"/>
      <c r="EI354" s="1"/>
      <c r="EJ354" s="1"/>
      <c r="EK354" s="1"/>
      <c r="EL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c r="BS355" s="1"/>
      <c r="BT355" s="1"/>
      <c r="BU355" s="1"/>
      <c r="BV355" s="1"/>
      <c r="BW355" s="1"/>
      <c r="BX355" s="1"/>
      <c r="BY355" s="1"/>
      <c r="BZ355" s="1"/>
      <c r="CA355" s="1"/>
      <c r="CB355" s="1"/>
      <c r="CC355" s="1"/>
      <c r="CD355" s="1"/>
      <c r="CE355" s="1"/>
      <c r="CF355" s="1"/>
      <c r="CG355" s="1"/>
      <c r="CH355" s="1"/>
      <c r="CI355" s="1"/>
      <c r="CJ355" s="1"/>
      <c r="CK355" s="1"/>
      <c r="CL355" s="1"/>
      <c r="CM355" s="1"/>
      <c r="CN355" s="1"/>
      <c r="CO355" s="1"/>
      <c r="CP355" s="1"/>
      <c r="CQ355" s="1"/>
      <c r="CR355" s="1"/>
      <c r="CS355" s="1"/>
      <c r="CT355" s="1"/>
      <c r="CU355" s="1"/>
      <c r="CV355" s="1"/>
      <c r="CW355" s="1"/>
      <c r="CX355" s="1"/>
      <c r="CY355" s="1"/>
      <c r="CZ355" s="1"/>
      <c r="DA355" s="1"/>
      <c r="DB355" s="1"/>
      <c r="DC355" s="1"/>
      <c r="DD355" s="1"/>
      <c r="DE355" s="1"/>
      <c r="DF355" s="1"/>
      <c r="DG355" s="1"/>
      <c r="DH355" s="1"/>
      <c r="DI355" s="1"/>
      <c r="DJ355" s="1"/>
      <c r="DK355" s="1"/>
      <c r="DL355" s="1"/>
      <c r="DM355" s="1"/>
      <c r="DN355" s="1"/>
      <c r="DO355" s="1"/>
      <c r="DP355" s="1"/>
      <c r="DQ355" s="1"/>
      <c r="DR355" s="1"/>
      <c r="DS355" s="1"/>
      <c r="DT355" s="1"/>
      <c r="DU355" s="1"/>
      <c r="DV355" s="1"/>
      <c r="DW355" s="1"/>
      <c r="DX355" s="1"/>
      <c r="DY355" s="1"/>
      <c r="DZ355" s="1"/>
      <c r="EA355" s="1"/>
      <c r="EB355" s="1"/>
      <c r="EC355" s="1"/>
      <c r="ED355" s="1"/>
      <c r="EE355" s="1"/>
      <c r="EF355" s="1"/>
      <c r="EG355" s="1"/>
      <c r="EH355" s="1"/>
      <c r="EI355" s="1"/>
      <c r="EJ355" s="1"/>
      <c r="EK355" s="1"/>
      <c r="EL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c r="BS356" s="1"/>
      <c r="BT356" s="1"/>
      <c r="BU356" s="1"/>
      <c r="BV356" s="1"/>
      <c r="BW356" s="1"/>
      <c r="BX356" s="1"/>
      <c r="BY356" s="1"/>
      <c r="BZ356" s="1"/>
      <c r="CA356" s="1"/>
      <c r="CB356" s="1"/>
      <c r="CC356" s="1"/>
      <c r="CD356" s="1"/>
      <c r="CE356" s="1"/>
      <c r="CF356" s="1"/>
      <c r="CG356" s="1"/>
      <c r="CH356" s="1"/>
      <c r="CI356" s="1"/>
      <c r="CJ356" s="1"/>
      <c r="CK356" s="1"/>
      <c r="CL356" s="1"/>
      <c r="CM356" s="1"/>
      <c r="CN356" s="1"/>
      <c r="CO356" s="1"/>
      <c r="CP356" s="1"/>
      <c r="CQ356" s="1"/>
      <c r="CR356" s="1"/>
      <c r="CS356" s="1"/>
      <c r="CT356" s="1"/>
      <c r="CU356" s="1"/>
      <c r="CV356" s="1"/>
      <c r="CW356" s="1"/>
      <c r="CX356" s="1"/>
      <c r="CY356" s="1"/>
      <c r="CZ356" s="1"/>
      <c r="DA356" s="1"/>
      <c r="DB356" s="1"/>
      <c r="DC356" s="1"/>
      <c r="DD356" s="1"/>
      <c r="DE356" s="1"/>
      <c r="DF356" s="1"/>
      <c r="DG356" s="1"/>
      <c r="DH356" s="1"/>
      <c r="DI356" s="1"/>
      <c r="DJ356" s="1"/>
      <c r="DK356" s="1"/>
      <c r="DL356" s="1"/>
      <c r="DM356" s="1"/>
      <c r="DN356" s="1"/>
      <c r="DO356" s="1"/>
      <c r="DP356" s="1"/>
      <c r="DQ356" s="1"/>
      <c r="DR356" s="1"/>
      <c r="DS356" s="1"/>
      <c r="DT356" s="1"/>
      <c r="DU356" s="1"/>
      <c r="DV356" s="1"/>
      <c r="DW356" s="1"/>
      <c r="DX356" s="1"/>
      <c r="DY356" s="1"/>
      <c r="DZ356" s="1"/>
      <c r="EA356" s="1"/>
      <c r="EB356" s="1"/>
      <c r="EC356" s="1"/>
      <c r="ED356" s="1"/>
      <c r="EE356" s="1"/>
      <c r="EF356" s="1"/>
      <c r="EG356" s="1"/>
      <c r="EH356" s="1"/>
      <c r="EI356" s="1"/>
      <c r="EJ356" s="1"/>
      <c r="EK356" s="1"/>
      <c r="EL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c r="BW357" s="1"/>
      <c r="BX357" s="1"/>
      <c r="BY357" s="1"/>
      <c r="BZ357" s="1"/>
      <c r="CA357" s="1"/>
      <c r="CB357" s="1"/>
      <c r="CC357" s="1"/>
      <c r="CD357" s="1"/>
      <c r="CE357" s="1"/>
      <c r="CF357" s="1"/>
      <c r="CG357" s="1"/>
      <c r="CH357" s="1"/>
      <c r="CI357" s="1"/>
      <c r="CJ357" s="1"/>
      <c r="CK357" s="1"/>
      <c r="CL357" s="1"/>
      <c r="CM357" s="1"/>
      <c r="CN357" s="1"/>
      <c r="CO357" s="1"/>
      <c r="CP357" s="1"/>
      <c r="CQ357" s="1"/>
      <c r="CR357" s="1"/>
      <c r="CS357" s="1"/>
      <c r="CT357" s="1"/>
      <c r="CU357" s="1"/>
      <c r="CV357" s="1"/>
      <c r="CW357" s="1"/>
      <c r="CX357" s="1"/>
      <c r="CY357" s="1"/>
      <c r="CZ357" s="1"/>
      <c r="DA357" s="1"/>
      <c r="DB357" s="1"/>
      <c r="DC357" s="1"/>
      <c r="DD357" s="1"/>
      <c r="DE357" s="1"/>
      <c r="DF357" s="1"/>
      <c r="DG357" s="1"/>
      <c r="DH357" s="1"/>
      <c r="DI357" s="1"/>
      <c r="DJ357" s="1"/>
      <c r="DK357" s="1"/>
      <c r="DL357" s="1"/>
      <c r="DM357" s="1"/>
      <c r="DN357" s="1"/>
      <c r="DO357" s="1"/>
      <c r="DP357" s="1"/>
      <c r="DQ357" s="1"/>
      <c r="DR357" s="1"/>
      <c r="DS357" s="1"/>
      <c r="DT357" s="1"/>
      <c r="DU357" s="1"/>
      <c r="DV357" s="1"/>
      <c r="DW357" s="1"/>
      <c r="DX357" s="1"/>
      <c r="DY357" s="1"/>
      <c r="DZ357" s="1"/>
      <c r="EA357" s="1"/>
      <c r="EB357" s="1"/>
      <c r="EC357" s="1"/>
      <c r="ED357" s="1"/>
      <c r="EE357" s="1"/>
      <c r="EF357" s="1"/>
      <c r="EG357" s="1"/>
      <c r="EH357" s="1"/>
      <c r="EI357" s="1"/>
      <c r="EJ357" s="1"/>
      <c r="EK357" s="1"/>
      <c r="EL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1"/>
      <c r="BU358" s="1"/>
      <c r="BV358" s="1"/>
      <c r="BW358" s="1"/>
      <c r="BX358" s="1"/>
      <c r="BY358" s="1"/>
      <c r="BZ358" s="1"/>
      <c r="CA358" s="1"/>
      <c r="CB358" s="1"/>
      <c r="CC358" s="1"/>
      <c r="CD358" s="1"/>
      <c r="CE358" s="1"/>
      <c r="CF358" s="1"/>
      <c r="CG358" s="1"/>
      <c r="CH358" s="1"/>
      <c r="CI358" s="1"/>
      <c r="CJ358" s="1"/>
      <c r="CK358" s="1"/>
      <c r="CL358" s="1"/>
      <c r="CM358" s="1"/>
      <c r="CN358" s="1"/>
      <c r="CO358" s="1"/>
      <c r="CP358" s="1"/>
      <c r="CQ358" s="1"/>
      <c r="CR358" s="1"/>
      <c r="CS358" s="1"/>
      <c r="CT358" s="1"/>
      <c r="CU358" s="1"/>
      <c r="CV358" s="1"/>
      <c r="CW358" s="1"/>
      <c r="CX358" s="1"/>
      <c r="CY358" s="1"/>
      <c r="CZ358" s="1"/>
      <c r="DA358" s="1"/>
      <c r="DB358" s="1"/>
      <c r="DC358" s="1"/>
      <c r="DD358" s="1"/>
      <c r="DE358" s="1"/>
      <c r="DF358" s="1"/>
      <c r="DG358" s="1"/>
      <c r="DH358" s="1"/>
      <c r="DI358" s="1"/>
      <c r="DJ358" s="1"/>
      <c r="DK358" s="1"/>
      <c r="DL358" s="1"/>
      <c r="DM358" s="1"/>
      <c r="DN358" s="1"/>
      <c r="DO358" s="1"/>
      <c r="DP358" s="1"/>
      <c r="DQ358" s="1"/>
      <c r="DR358" s="1"/>
      <c r="DS358" s="1"/>
      <c r="DT358" s="1"/>
      <c r="DU358" s="1"/>
      <c r="DV358" s="1"/>
      <c r="DW358" s="1"/>
      <c r="DX358" s="1"/>
      <c r="DY358" s="1"/>
      <c r="DZ358" s="1"/>
      <c r="EA358" s="1"/>
      <c r="EB358" s="1"/>
      <c r="EC358" s="1"/>
      <c r="ED358" s="1"/>
      <c r="EE358" s="1"/>
      <c r="EF358" s="1"/>
      <c r="EG358" s="1"/>
      <c r="EH358" s="1"/>
      <c r="EI358" s="1"/>
      <c r="EJ358" s="1"/>
      <c r="EK358" s="1"/>
      <c r="EL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1"/>
      <c r="BU359" s="1"/>
      <c r="BV359" s="1"/>
      <c r="BW359" s="1"/>
      <c r="BX359" s="1"/>
      <c r="BY359" s="1"/>
      <c r="BZ359" s="1"/>
      <c r="CA359" s="1"/>
      <c r="CB359" s="1"/>
      <c r="CC359" s="1"/>
      <c r="CD359" s="1"/>
      <c r="CE359" s="1"/>
      <c r="CF359" s="1"/>
      <c r="CG359" s="1"/>
      <c r="CH359" s="1"/>
      <c r="CI359" s="1"/>
      <c r="CJ359" s="1"/>
      <c r="CK359" s="1"/>
      <c r="CL359" s="1"/>
      <c r="CM359" s="1"/>
      <c r="CN359" s="1"/>
      <c r="CO359" s="1"/>
      <c r="CP359" s="1"/>
      <c r="CQ359" s="1"/>
      <c r="CR359" s="1"/>
      <c r="CS359" s="1"/>
      <c r="CT359" s="1"/>
      <c r="CU359" s="1"/>
      <c r="CV359" s="1"/>
      <c r="CW359" s="1"/>
      <c r="CX359" s="1"/>
      <c r="CY359" s="1"/>
      <c r="CZ359" s="1"/>
      <c r="DA359" s="1"/>
      <c r="DB359" s="1"/>
      <c r="DC359" s="1"/>
      <c r="DD359" s="1"/>
      <c r="DE359" s="1"/>
      <c r="DF359" s="1"/>
      <c r="DG359" s="1"/>
      <c r="DH359" s="1"/>
      <c r="DI359" s="1"/>
      <c r="DJ359" s="1"/>
      <c r="DK359" s="1"/>
      <c r="DL359" s="1"/>
      <c r="DM359" s="1"/>
      <c r="DN359" s="1"/>
      <c r="DO359" s="1"/>
      <c r="DP359" s="1"/>
      <c r="DQ359" s="1"/>
      <c r="DR359" s="1"/>
      <c r="DS359" s="1"/>
      <c r="DT359" s="1"/>
      <c r="DU359" s="1"/>
      <c r="DV359" s="1"/>
      <c r="DW359" s="1"/>
      <c r="DX359" s="1"/>
      <c r="DY359" s="1"/>
      <c r="DZ359" s="1"/>
      <c r="EA359" s="1"/>
      <c r="EB359" s="1"/>
      <c r="EC359" s="1"/>
      <c r="ED359" s="1"/>
      <c r="EE359" s="1"/>
      <c r="EF359" s="1"/>
      <c r="EG359" s="1"/>
      <c r="EH359" s="1"/>
      <c r="EI359" s="1"/>
      <c r="EJ359" s="1"/>
      <c r="EK359" s="1"/>
      <c r="EL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c r="BR360" s="1"/>
      <c r="BS360" s="1"/>
      <c r="BT360" s="1"/>
      <c r="BU360" s="1"/>
      <c r="BV360" s="1"/>
      <c r="BW360" s="1"/>
      <c r="BX360" s="1"/>
      <c r="BY360" s="1"/>
      <c r="BZ360" s="1"/>
      <c r="CA360" s="1"/>
      <c r="CB360" s="1"/>
      <c r="CC360" s="1"/>
      <c r="CD360" s="1"/>
      <c r="CE360" s="1"/>
      <c r="CF360" s="1"/>
      <c r="CG360" s="1"/>
      <c r="CH360" s="1"/>
      <c r="CI360" s="1"/>
      <c r="CJ360" s="1"/>
      <c r="CK360" s="1"/>
      <c r="CL360" s="1"/>
      <c r="CM360" s="1"/>
      <c r="CN360" s="1"/>
      <c r="CO360" s="1"/>
      <c r="CP360" s="1"/>
      <c r="CQ360" s="1"/>
      <c r="CR360" s="1"/>
      <c r="CS360" s="1"/>
      <c r="CT360" s="1"/>
      <c r="CU360" s="1"/>
      <c r="CV360" s="1"/>
      <c r="CW360" s="1"/>
      <c r="CX360" s="1"/>
      <c r="CY360" s="1"/>
      <c r="CZ360" s="1"/>
      <c r="DA360" s="1"/>
      <c r="DB360" s="1"/>
      <c r="DC360" s="1"/>
      <c r="DD360" s="1"/>
      <c r="DE360" s="1"/>
      <c r="DF360" s="1"/>
      <c r="DG360" s="1"/>
      <c r="DH360" s="1"/>
      <c r="DI360" s="1"/>
      <c r="DJ360" s="1"/>
      <c r="DK360" s="1"/>
      <c r="DL360" s="1"/>
      <c r="DM360" s="1"/>
      <c r="DN360" s="1"/>
      <c r="DO360" s="1"/>
      <c r="DP360" s="1"/>
      <c r="DQ360" s="1"/>
      <c r="DR360" s="1"/>
      <c r="DS360" s="1"/>
      <c r="DT360" s="1"/>
      <c r="DU360" s="1"/>
      <c r="DV360" s="1"/>
      <c r="DW360" s="1"/>
      <c r="DX360" s="1"/>
      <c r="DY360" s="1"/>
      <c r="DZ360" s="1"/>
      <c r="EA360" s="1"/>
      <c r="EB360" s="1"/>
      <c r="EC360" s="1"/>
      <c r="ED360" s="1"/>
      <c r="EE360" s="1"/>
      <c r="EF360" s="1"/>
      <c r="EG360" s="1"/>
      <c r="EH360" s="1"/>
      <c r="EI360" s="1"/>
      <c r="EJ360" s="1"/>
      <c r="EK360" s="1"/>
      <c r="EL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c r="BR361" s="1"/>
      <c r="BS361" s="1"/>
      <c r="BT361" s="1"/>
      <c r="BU361" s="1"/>
      <c r="BV361" s="1"/>
      <c r="BW361" s="1"/>
      <c r="BX361" s="1"/>
      <c r="BY361" s="1"/>
      <c r="BZ361" s="1"/>
      <c r="CA361" s="1"/>
      <c r="CB361" s="1"/>
      <c r="CC361" s="1"/>
      <c r="CD361" s="1"/>
      <c r="CE361" s="1"/>
      <c r="CF361" s="1"/>
      <c r="CG361" s="1"/>
      <c r="CH361" s="1"/>
      <c r="CI361" s="1"/>
      <c r="CJ361" s="1"/>
      <c r="CK361" s="1"/>
      <c r="CL361" s="1"/>
      <c r="CM361" s="1"/>
      <c r="CN361" s="1"/>
      <c r="CO361" s="1"/>
      <c r="CP361" s="1"/>
      <c r="CQ361" s="1"/>
      <c r="CR361" s="1"/>
      <c r="CS361" s="1"/>
      <c r="CT361" s="1"/>
      <c r="CU361" s="1"/>
      <c r="CV361" s="1"/>
      <c r="CW361" s="1"/>
      <c r="CX361" s="1"/>
      <c r="CY361" s="1"/>
      <c r="CZ361" s="1"/>
      <c r="DA361" s="1"/>
      <c r="DB361" s="1"/>
      <c r="DC361" s="1"/>
      <c r="DD361" s="1"/>
      <c r="DE361" s="1"/>
      <c r="DF361" s="1"/>
      <c r="DG361" s="1"/>
      <c r="DH361" s="1"/>
      <c r="DI361" s="1"/>
      <c r="DJ361" s="1"/>
      <c r="DK361" s="1"/>
      <c r="DL361" s="1"/>
      <c r="DM361" s="1"/>
      <c r="DN361" s="1"/>
      <c r="DO361" s="1"/>
      <c r="DP361" s="1"/>
      <c r="DQ361" s="1"/>
      <c r="DR361" s="1"/>
      <c r="DS361" s="1"/>
      <c r="DT361" s="1"/>
      <c r="DU361" s="1"/>
      <c r="DV361" s="1"/>
      <c r="DW361" s="1"/>
      <c r="DX361" s="1"/>
      <c r="DY361" s="1"/>
      <c r="DZ361" s="1"/>
      <c r="EA361" s="1"/>
      <c r="EB361" s="1"/>
      <c r="EC361" s="1"/>
      <c r="ED361" s="1"/>
      <c r="EE361" s="1"/>
      <c r="EF361" s="1"/>
      <c r="EG361" s="1"/>
      <c r="EH361" s="1"/>
      <c r="EI361" s="1"/>
      <c r="EJ361" s="1"/>
      <c r="EK361" s="1"/>
      <c r="EL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c r="BR362" s="1"/>
      <c r="BS362" s="1"/>
      <c r="BT362" s="1"/>
      <c r="BU362" s="1"/>
      <c r="BV362" s="1"/>
      <c r="BW362" s="1"/>
      <c r="BX362" s="1"/>
      <c r="BY362" s="1"/>
      <c r="BZ362" s="1"/>
      <c r="CA362" s="1"/>
      <c r="CB362" s="1"/>
      <c r="CC362" s="1"/>
      <c r="CD362" s="1"/>
      <c r="CE362" s="1"/>
      <c r="CF362" s="1"/>
      <c r="CG362" s="1"/>
      <c r="CH362" s="1"/>
      <c r="CI362" s="1"/>
      <c r="CJ362" s="1"/>
      <c r="CK362" s="1"/>
      <c r="CL362" s="1"/>
      <c r="CM362" s="1"/>
      <c r="CN362" s="1"/>
      <c r="CO362" s="1"/>
      <c r="CP362" s="1"/>
      <c r="CQ362" s="1"/>
      <c r="CR362" s="1"/>
      <c r="CS362" s="1"/>
      <c r="CT362" s="1"/>
      <c r="CU362" s="1"/>
      <c r="CV362" s="1"/>
      <c r="CW362" s="1"/>
      <c r="CX362" s="1"/>
      <c r="CY362" s="1"/>
      <c r="CZ362" s="1"/>
      <c r="DA362" s="1"/>
      <c r="DB362" s="1"/>
      <c r="DC362" s="1"/>
      <c r="DD362" s="1"/>
      <c r="DE362" s="1"/>
      <c r="DF362" s="1"/>
      <c r="DG362" s="1"/>
      <c r="DH362" s="1"/>
      <c r="DI362" s="1"/>
      <c r="DJ362" s="1"/>
      <c r="DK362" s="1"/>
      <c r="DL362" s="1"/>
      <c r="DM362" s="1"/>
      <c r="DN362" s="1"/>
      <c r="DO362" s="1"/>
      <c r="DP362" s="1"/>
      <c r="DQ362" s="1"/>
      <c r="DR362" s="1"/>
      <c r="DS362" s="1"/>
      <c r="DT362" s="1"/>
      <c r="DU362" s="1"/>
      <c r="DV362" s="1"/>
      <c r="DW362" s="1"/>
      <c r="DX362" s="1"/>
      <c r="DY362" s="1"/>
      <c r="DZ362" s="1"/>
      <c r="EA362" s="1"/>
      <c r="EB362" s="1"/>
      <c r="EC362" s="1"/>
      <c r="ED362" s="1"/>
      <c r="EE362" s="1"/>
      <c r="EF362" s="1"/>
      <c r="EG362" s="1"/>
      <c r="EH362" s="1"/>
      <c r="EI362" s="1"/>
      <c r="EJ362" s="1"/>
      <c r="EK362" s="1"/>
      <c r="EL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c r="BR363" s="1"/>
      <c r="BS363" s="1"/>
      <c r="BT363" s="1"/>
      <c r="BU363" s="1"/>
      <c r="BV363" s="1"/>
      <c r="BW363" s="1"/>
      <c r="BX363" s="1"/>
      <c r="BY363" s="1"/>
      <c r="BZ363" s="1"/>
      <c r="CA363" s="1"/>
      <c r="CB363" s="1"/>
      <c r="CC363" s="1"/>
      <c r="CD363" s="1"/>
      <c r="CE363" s="1"/>
      <c r="CF363" s="1"/>
      <c r="CG363" s="1"/>
      <c r="CH363" s="1"/>
      <c r="CI363" s="1"/>
      <c r="CJ363" s="1"/>
      <c r="CK363" s="1"/>
      <c r="CL363" s="1"/>
      <c r="CM363" s="1"/>
      <c r="CN363" s="1"/>
      <c r="CO363" s="1"/>
      <c r="CP363" s="1"/>
      <c r="CQ363" s="1"/>
      <c r="CR363" s="1"/>
      <c r="CS363" s="1"/>
      <c r="CT363" s="1"/>
      <c r="CU363" s="1"/>
      <c r="CV363" s="1"/>
      <c r="CW363" s="1"/>
      <c r="CX363" s="1"/>
      <c r="CY363" s="1"/>
      <c r="CZ363" s="1"/>
      <c r="DA363" s="1"/>
      <c r="DB363" s="1"/>
      <c r="DC363" s="1"/>
      <c r="DD363" s="1"/>
      <c r="DE363" s="1"/>
      <c r="DF363" s="1"/>
      <c r="DG363" s="1"/>
      <c r="DH363" s="1"/>
      <c r="DI363" s="1"/>
      <c r="DJ363" s="1"/>
      <c r="DK363" s="1"/>
      <c r="DL363" s="1"/>
      <c r="DM363" s="1"/>
      <c r="DN363" s="1"/>
      <c r="DO363" s="1"/>
      <c r="DP363" s="1"/>
      <c r="DQ363" s="1"/>
      <c r="DR363" s="1"/>
      <c r="DS363" s="1"/>
      <c r="DT363" s="1"/>
      <c r="DU363" s="1"/>
      <c r="DV363" s="1"/>
      <c r="DW363" s="1"/>
      <c r="DX363" s="1"/>
      <c r="DY363" s="1"/>
      <c r="DZ363" s="1"/>
      <c r="EA363" s="1"/>
      <c r="EB363" s="1"/>
      <c r="EC363" s="1"/>
      <c r="ED363" s="1"/>
      <c r="EE363" s="1"/>
      <c r="EF363" s="1"/>
      <c r="EG363" s="1"/>
      <c r="EH363" s="1"/>
      <c r="EI363" s="1"/>
      <c r="EJ363" s="1"/>
      <c r="EK363" s="1"/>
      <c r="EL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c r="BS364" s="1"/>
      <c r="BT364" s="1"/>
      <c r="BU364" s="1"/>
      <c r="BV364" s="1"/>
      <c r="BW364" s="1"/>
      <c r="BX364" s="1"/>
      <c r="BY364" s="1"/>
      <c r="BZ364" s="1"/>
      <c r="CA364" s="1"/>
      <c r="CB364" s="1"/>
      <c r="CC364" s="1"/>
      <c r="CD364" s="1"/>
      <c r="CE364" s="1"/>
      <c r="CF364" s="1"/>
      <c r="CG364" s="1"/>
      <c r="CH364" s="1"/>
      <c r="CI364" s="1"/>
      <c r="CJ364" s="1"/>
      <c r="CK364" s="1"/>
      <c r="CL364" s="1"/>
      <c r="CM364" s="1"/>
      <c r="CN364" s="1"/>
      <c r="CO364" s="1"/>
      <c r="CP364" s="1"/>
      <c r="CQ364" s="1"/>
      <c r="CR364" s="1"/>
      <c r="CS364" s="1"/>
      <c r="CT364" s="1"/>
      <c r="CU364" s="1"/>
      <c r="CV364" s="1"/>
      <c r="CW364" s="1"/>
      <c r="CX364" s="1"/>
      <c r="CY364" s="1"/>
      <c r="CZ364" s="1"/>
      <c r="DA364" s="1"/>
      <c r="DB364" s="1"/>
      <c r="DC364" s="1"/>
      <c r="DD364" s="1"/>
      <c r="DE364" s="1"/>
      <c r="DF364" s="1"/>
      <c r="DG364" s="1"/>
      <c r="DH364" s="1"/>
      <c r="DI364" s="1"/>
      <c r="DJ364" s="1"/>
      <c r="DK364" s="1"/>
      <c r="DL364" s="1"/>
      <c r="DM364" s="1"/>
      <c r="DN364" s="1"/>
      <c r="DO364" s="1"/>
      <c r="DP364" s="1"/>
      <c r="DQ364" s="1"/>
      <c r="DR364" s="1"/>
      <c r="DS364" s="1"/>
      <c r="DT364" s="1"/>
      <c r="DU364" s="1"/>
      <c r="DV364" s="1"/>
      <c r="DW364" s="1"/>
      <c r="DX364" s="1"/>
      <c r="DY364" s="1"/>
      <c r="DZ364" s="1"/>
      <c r="EA364" s="1"/>
      <c r="EB364" s="1"/>
      <c r="EC364" s="1"/>
      <c r="ED364" s="1"/>
      <c r="EE364" s="1"/>
      <c r="EF364" s="1"/>
      <c r="EG364" s="1"/>
      <c r="EH364" s="1"/>
      <c r="EI364" s="1"/>
      <c r="EJ364" s="1"/>
      <c r="EK364" s="1"/>
      <c r="EL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c r="BR365" s="1"/>
      <c r="BS365" s="1"/>
      <c r="BT365" s="1"/>
      <c r="BU365" s="1"/>
      <c r="BV365" s="1"/>
      <c r="BW365" s="1"/>
      <c r="BX365" s="1"/>
      <c r="BY365" s="1"/>
      <c r="BZ365" s="1"/>
      <c r="CA365" s="1"/>
      <c r="CB365" s="1"/>
      <c r="CC365" s="1"/>
      <c r="CD365" s="1"/>
      <c r="CE365" s="1"/>
      <c r="CF365" s="1"/>
      <c r="CG365" s="1"/>
      <c r="CH365" s="1"/>
      <c r="CI365" s="1"/>
      <c r="CJ365" s="1"/>
      <c r="CK365" s="1"/>
      <c r="CL365" s="1"/>
      <c r="CM365" s="1"/>
      <c r="CN365" s="1"/>
      <c r="CO365" s="1"/>
      <c r="CP365" s="1"/>
      <c r="CQ365" s="1"/>
      <c r="CR365" s="1"/>
      <c r="CS365" s="1"/>
      <c r="CT365" s="1"/>
      <c r="CU365" s="1"/>
      <c r="CV365" s="1"/>
      <c r="CW365" s="1"/>
      <c r="CX365" s="1"/>
      <c r="CY365" s="1"/>
      <c r="CZ365" s="1"/>
      <c r="DA365" s="1"/>
      <c r="DB365" s="1"/>
      <c r="DC365" s="1"/>
      <c r="DD365" s="1"/>
      <c r="DE365" s="1"/>
      <c r="DF365" s="1"/>
      <c r="DG365" s="1"/>
      <c r="DH365" s="1"/>
      <c r="DI365" s="1"/>
      <c r="DJ365" s="1"/>
      <c r="DK365" s="1"/>
      <c r="DL365" s="1"/>
      <c r="DM365" s="1"/>
      <c r="DN365" s="1"/>
      <c r="DO365" s="1"/>
      <c r="DP365" s="1"/>
      <c r="DQ365" s="1"/>
      <c r="DR365" s="1"/>
      <c r="DS365" s="1"/>
      <c r="DT365" s="1"/>
      <c r="DU365" s="1"/>
      <c r="DV365" s="1"/>
      <c r="DW365" s="1"/>
      <c r="DX365" s="1"/>
      <c r="DY365" s="1"/>
      <c r="DZ365" s="1"/>
      <c r="EA365" s="1"/>
      <c r="EB365" s="1"/>
      <c r="EC365" s="1"/>
      <c r="ED365" s="1"/>
      <c r="EE365" s="1"/>
      <c r="EF365" s="1"/>
      <c r="EG365" s="1"/>
      <c r="EH365" s="1"/>
      <c r="EI365" s="1"/>
      <c r="EJ365" s="1"/>
      <c r="EK365" s="1"/>
      <c r="EL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c r="DZ366" s="1"/>
      <c r="EA366" s="1"/>
      <c r="EB366" s="1"/>
      <c r="EC366" s="1"/>
      <c r="ED366" s="1"/>
      <c r="EE366" s="1"/>
      <c r="EF366" s="1"/>
      <c r="EG366" s="1"/>
      <c r="EH366" s="1"/>
      <c r="EI366" s="1"/>
      <c r="EJ366" s="1"/>
      <c r="EK366" s="1"/>
      <c r="EL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c r="BR367" s="1"/>
      <c r="BS367" s="1"/>
      <c r="BT367" s="1"/>
      <c r="BU367" s="1"/>
      <c r="BV367" s="1"/>
      <c r="BW367" s="1"/>
      <c r="BX367" s="1"/>
      <c r="BY367" s="1"/>
      <c r="BZ367" s="1"/>
      <c r="CA367" s="1"/>
      <c r="CB367" s="1"/>
      <c r="CC367" s="1"/>
      <c r="CD367" s="1"/>
      <c r="CE367" s="1"/>
      <c r="CF367" s="1"/>
      <c r="CG367" s="1"/>
      <c r="CH367" s="1"/>
      <c r="CI367" s="1"/>
      <c r="CJ367" s="1"/>
      <c r="CK367" s="1"/>
      <c r="CL367" s="1"/>
      <c r="CM367" s="1"/>
      <c r="CN367" s="1"/>
      <c r="CO367" s="1"/>
      <c r="CP367" s="1"/>
      <c r="CQ367" s="1"/>
      <c r="CR367" s="1"/>
      <c r="CS367" s="1"/>
      <c r="CT367" s="1"/>
      <c r="CU367" s="1"/>
      <c r="CV367" s="1"/>
      <c r="CW367" s="1"/>
      <c r="CX367" s="1"/>
      <c r="CY367" s="1"/>
      <c r="CZ367" s="1"/>
      <c r="DA367" s="1"/>
      <c r="DB367" s="1"/>
      <c r="DC367" s="1"/>
      <c r="DD367" s="1"/>
      <c r="DE367" s="1"/>
      <c r="DF367" s="1"/>
      <c r="DG367" s="1"/>
      <c r="DH367" s="1"/>
      <c r="DI367" s="1"/>
      <c r="DJ367" s="1"/>
      <c r="DK367" s="1"/>
      <c r="DL367" s="1"/>
      <c r="DM367" s="1"/>
      <c r="DN367" s="1"/>
      <c r="DO367" s="1"/>
      <c r="DP367" s="1"/>
      <c r="DQ367" s="1"/>
      <c r="DR367" s="1"/>
      <c r="DS367" s="1"/>
      <c r="DT367" s="1"/>
      <c r="DU367" s="1"/>
      <c r="DV367" s="1"/>
      <c r="DW367" s="1"/>
      <c r="DX367" s="1"/>
      <c r="DY367" s="1"/>
      <c r="DZ367" s="1"/>
      <c r="EA367" s="1"/>
      <c r="EB367" s="1"/>
      <c r="EC367" s="1"/>
      <c r="ED367" s="1"/>
      <c r="EE367" s="1"/>
      <c r="EF367" s="1"/>
      <c r="EG367" s="1"/>
      <c r="EH367" s="1"/>
      <c r="EI367" s="1"/>
      <c r="EJ367" s="1"/>
      <c r="EK367" s="1"/>
      <c r="EL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c r="BR368" s="1"/>
      <c r="BS368" s="1"/>
      <c r="BT368" s="1"/>
      <c r="BU368" s="1"/>
      <c r="BV368" s="1"/>
      <c r="BW368" s="1"/>
      <c r="BX368" s="1"/>
      <c r="BY368" s="1"/>
      <c r="BZ368" s="1"/>
      <c r="CA368" s="1"/>
      <c r="CB368" s="1"/>
      <c r="CC368" s="1"/>
      <c r="CD368" s="1"/>
      <c r="CE368" s="1"/>
      <c r="CF368" s="1"/>
      <c r="CG368" s="1"/>
      <c r="CH368" s="1"/>
      <c r="CI368" s="1"/>
      <c r="CJ368" s="1"/>
      <c r="CK368" s="1"/>
      <c r="CL368" s="1"/>
      <c r="CM368" s="1"/>
      <c r="CN368" s="1"/>
      <c r="CO368" s="1"/>
      <c r="CP368" s="1"/>
      <c r="CQ368" s="1"/>
      <c r="CR368" s="1"/>
      <c r="CS368" s="1"/>
      <c r="CT368" s="1"/>
      <c r="CU368" s="1"/>
      <c r="CV368" s="1"/>
      <c r="CW368" s="1"/>
      <c r="CX368" s="1"/>
      <c r="CY368" s="1"/>
      <c r="CZ368" s="1"/>
      <c r="DA368" s="1"/>
      <c r="DB368" s="1"/>
      <c r="DC368" s="1"/>
      <c r="DD368" s="1"/>
      <c r="DE368" s="1"/>
      <c r="DF368" s="1"/>
      <c r="DG368" s="1"/>
      <c r="DH368" s="1"/>
      <c r="DI368" s="1"/>
      <c r="DJ368" s="1"/>
      <c r="DK368" s="1"/>
      <c r="DL368" s="1"/>
      <c r="DM368" s="1"/>
      <c r="DN368" s="1"/>
      <c r="DO368" s="1"/>
      <c r="DP368" s="1"/>
      <c r="DQ368" s="1"/>
      <c r="DR368" s="1"/>
      <c r="DS368" s="1"/>
      <c r="DT368" s="1"/>
      <c r="DU368" s="1"/>
      <c r="DV368" s="1"/>
      <c r="DW368" s="1"/>
      <c r="DX368" s="1"/>
      <c r="DY368" s="1"/>
      <c r="DZ368" s="1"/>
      <c r="EA368" s="1"/>
      <c r="EB368" s="1"/>
      <c r="EC368" s="1"/>
      <c r="ED368" s="1"/>
      <c r="EE368" s="1"/>
      <c r="EF368" s="1"/>
      <c r="EG368" s="1"/>
      <c r="EH368" s="1"/>
      <c r="EI368" s="1"/>
      <c r="EJ368" s="1"/>
      <c r="EK368" s="1"/>
      <c r="EL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c r="BS369" s="1"/>
      <c r="BT369" s="1"/>
      <c r="BU369" s="1"/>
      <c r="BV369" s="1"/>
      <c r="BW369" s="1"/>
      <c r="BX369" s="1"/>
      <c r="BY369" s="1"/>
      <c r="BZ369" s="1"/>
      <c r="CA369" s="1"/>
      <c r="CB369" s="1"/>
      <c r="CC369" s="1"/>
      <c r="CD369" s="1"/>
      <c r="CE369" s="1"/>
      <c r="CF369" s="1"/>
      <c r="CG369" s="1"/>
      <c r="CH369" s="1"/>
      <c r="CI369" s="1"/>
      <c r="CJ369" s="1"/>
      <c r="CK369" s="1"/>
      <c r="CL369" s="1"/>
      <c r="CM369" s="1"/>
      <c r="CN369" s="1"/>
      <c r="CO369" s="1"/>
      <c r="CP369" s="1"/>
      <c r="CQ369" s="1"/>
      <c r="CR369" s="1"/>
      <c r="CS369" s="1"/>
      <c r="CT369" s="1"/>
      <c r="CU369" s="1"/>
      <c r="CV369" s="1"/>
      <c r="CW369" s="1"/>
      <c r="CX369" s="1"/>
      <c r="CY369" s="1"/>
      <c r="CZ369" s="1"/>
      <c r="DA369" s="1"/>
      <c r="DB369" s="1"/>
      <c r="DC369" s="1"/>
      <c r="DD369" s="1"/>
      <c r="DE369" s="1"/>
      <c r="DF369" s="1"/>
      <c r="DG369" s="1"/>
      <c r="DH369" s="1"/>
      <c r="DI369" s="1"/>
      <c r="DJ369" s="1"/>
      <c r="DK369" s="1"/>
      <c r="DL369" s="1"/>
      <c r="DM369" s="1"/>
      <c r="DN369" s="1"/>
      <c r="DO369" s="1"/>
      <c r="DP369" s="1"/>
      <c r="DQ369" s="1"/>
      <c r="DR369" s="1"/>
      <c r="DS369" s="1"/>
      <c r="DT369" s="1"/>
      <c r="DU369" s="1"/>
      <c r="DV369" s="1"/>
      <c r="DW369" s="1"/>
      <c r="DX369" s="1"/>
      <c r="DY369" s="1"/>
      <c r="DZ369" s="1"/>
      <c r="EA369" s="1"/>
      <c r="EB369" s="1"/>
      <c r="EC369" s="1"/>
      <c r="ED369" s="1"/>
      <c r="EE369" s="1"/>
      <c r="EF369" s="1"/>
      <c r="EG369" s="1"/>
      <c r="EH369" s="1"/>
      <c r="EI369" s="1"/>
      <c r="EJ369" s="1"/>
      <c r="EK369" s="1"/>
      <c r="EL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c r="BR370" s="1"/>
      <c r="BS370" s="1"/>
      <c r="BT370" s="1"/>
      <c r="BU370" s="1"/>
      <c r="BV370" s="1"/>
      <c r="BW370" s="1"/>
      <c r="BX370" s="1"/>
      <c r="BY370" s="1"/>
      <c r="BZ370" s="1"/>
      <c r="CA370" s="1"/>
      <c r="CB370" s="1"/>
      <c r="CC370" s="1"/>
      <c r="CD370" s="1"/>
      <c r="CE370" s="1"/>
      <c r="CF370" s="1"/>
      <c r="CG370" s="1"/>
      <c r="CH370" s="1"/>
      <c r="CI370" s="1"/>
      <c r="CJ370" s="1"/>
      <c r="CK370" s="1"/>
      <c r="CL370" s="1"/>
      <c r="CM370" s="1"/>
      <c r="CN370" s="1"/>
      <c r="CO370" s="1"/>
      <c r="CP370" s="1"/>
      <c r="CQ370" s="1"/>
      <c r="CR370" s="1"/>
      <c r="CS370" s="1"/>
      <c r="CT370" s="1"/>
      <c r="CU370" s="1"/>
      <c r="CV370" s="1"/>
      <c r="CW370" s="1"/>
      <c r="CX370" s="1"/>
      <c r="CY370" s="1"/>
      <c r="CZ370" s="1"/>
      <c r="DA370" s="1"/>
      <c r="DB370" s="1"/>
      <c r="DC370" s="1"/>
      <c r="DD370" s="1"/>
      <c r="DE370" s="1"/>
      <c r="DF370" s="1"/>
      <c r="DG370" s="1"/>
      <c r="DH370" s="1"/>
      <c r="DI370" s="1"/>
      <c r="DJ370" s="1"/>
      <c r="DK370" s="1"/>
      <c r="DL370" s="1"/>
      <c r="DM370" s="1"/>
      <c r="DN370" s="1"/>
      <c r="DO370" s="1"/>
      <c r="DP370" s="1"/>
      <c r="DQ370" s="1"/>
      <c r="DR370" s="1"/>
      <c r="DS370" s="1"/>
      <c r="DT370" s="1"/>
      <c r="DU370" s="1"/>
      <c r="DV370" s="1"/>
      <c r="DW370" s="1"/>
      <c r="DX370" s="1"/>
      <c r="DY370" s="1"/>
      <c r="DZ370" s="1"/>
      <c r="EA370" s="1"/>
      <c r="EB370" s="1"/>
      <c r="EC370" s="1"/>
      <c r="ED370" s="1"/>
      <c r="EE370" s="1"/>
      <c r="EF370" s="1"/>
      <c r="EG370" s="1"/>
      <c r="EH370" s="1"/>
      <c r="EI370" s="1"/>
      <c r="EJ370" s="1"/>
      <c r="EK370" s="1"/>
      <c r="EL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c r="BR371" s="1"/>
      <c r="BS371" s="1"/>
      <c r="BT371" s="1"/>
      <c r="BU371" s="1"/>
      <c r="BV371" s="1"/>
      <c r="BW371" s="1"/>
      <c r="BX371" s="1"/>
      <c r="BY371" s="1"/>
      <c r="BZ371" s="1"/>
      <c r="CA371" s="1"/>
      <c r="CB371" s="1"/>
      <c r="CC371" s="1"/>
      <c r="CD371" s="1"/>
      <c r="CE371" s="1"/>
      <c r="CF371" s="1"/>
      <c r="CG371" s="1"/>
      <c r="CH371" s="1"/>
      <c r="CI371" s="1"/>
      <c r="CJ371" s="1"/>
      <c r="CK371" s="1"/>
      <c r="CL371" s="1"/>
      <c r="CM371" s="1"/>
      <c r="CN371" s="1"/>
      <c r="CO371" s="1"/>
      <c r="CP371" s="1"/>
      <c r="CQ371" s="1"/>
      <c r="CR371" s="1"/>
      <c r="CS371" s="1"/>
      <c r="CT371" s="1"/>
      <c r="CU371" s="1"/>
      <c r="CV371" s="1"/>
      <c r="CW371" s="1"/>
      <c r="CX371" s="1"/>
      <c r="CY371" s="1"/>
      <c r="CZ371" s="1"/>
      <c r="DA371" s="1"/>
      <c r="DB371" s="1"/>
      <c r="DC371" s="1"/>
      <c r="DD371" s="1"/>
      <c r="DE371" s="1"/>
      <c r="DF371" s="1"/>
      <c r="DG371" s="1"/>
      <c r="DH371" s="1"/>
      <c r="DI371" s="1"/>
      <c r="DJ371" s="1"/>
      <c r="DK371" s="1"/>
      <c r="DL371" s="1"/>
      <c r="DM371" s="1"/>
      <c r="DN371" s="1"/>
      <c r="DO371" s="1"/>
      <c r="DP371" s="1"/>
      <c r="DQ371" s="1"/>
      <c r="DR371" s="1"/>
      <c r="DS371" s="1"/>
      <c r="DT371" s="1"/>
      <c r="DU371" s="1"/>
      <c r="DV371" s="1"/>
      <c r="DW371" s="1"/>
      <c r="DX371" s="1"/>
      <c r="DY371" s="1"/>
      <c r="DZ371" s="1"/>
      <c r="EA371" s="1"/>
      <c r="EB371" s="1"/>
      <c r="EC371" s="1"/>
      <c r="ED371" s="1"/>
      <c r="EE371" s="1"/>
      <c r="EF371" s="1"/>
      <c r="EG371" s="1"/>
      <c r="EH371" s="1"/>
      <c r="EI371" s="1"/>
      <c r="EJ371" s="1"/>
      <c r="EK371" s="1"/>
      <c r="EL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c r="BR372" s="1"/>
      <c r="BS372" s="1"/>
      <c r="BT372" s="1"/>
      <c r="BU372" s="1"/>
      <c r="BV372" s="1"/>
      <c r="BW372" s="1"/>
      <c r="BX372" s="1"/>
      <c r="BY372" s="1"/>
      <c r="BZ372" s="1"/>
      <c r="CA372" s="1"/>
      <c r="CB372" s="1"/>
      <c r="CC372" s="1"/>
      <c r="CD372" s="1"/>
      <c r="CE372" s="1"/>
      <c r="CF372" s="1"/>
      <c r="CG372" s="1"/>
      <c r="CH372" s="1"/>
      <c r="CI372" s="1"/>
      <c r="CJ372" s="1"/>
      <c r="CK372" s="1"/>
      <c r="CL372" s="1"/>
      <c r="CM372" s="1"/>
      <c r="CN372" s="1"/>
      <c r="CO372" s="1"/>
      <c r="CP372" s="1"/>
      <c r="CQ372" s="1"/>
      <c r="CR372" s="1"/>
      <c r="CS372" s="1"/>
      <c r="CT372" s="1"/>
      <c r="CU372" s="1"/>
      <c r="CV372" s="1"/>
      <c r="CW372" s="1"/>
      <c r="CX372" s="1"/>
      <c r="CY372" s="1"/>
      <c r="CZ372" s="1"/>
      <c r="DA372" s="1"/>
      <c r="DB372" s="1"/>
      <c r="DC372" s="1"/>
      <c r="DD372" s="1"/>
      <c r="DE372" s="1"/>
      <c r="DF372" s="1"/>
      <c r="DG372" s="1"/>
      <c r="DH372" s="1"/>
      <c r="DI372" s="1"/>
      <c r="DJ372" s="1"/>
      <c r="DK372" s="1"/>
      <c r="DL372" s="1"/>
      <c r="DM372" s="1"/>
      <c r="DN372" s="1"/>
      <c r="DO372" s="1"/>
      <c r="DP372" s="1"/>
      <c r="DQ372" s="1"/>
      <c r="DR372" s="1"/>
      <c r="DS372" s="1"/>
      <c r="DT372" s="1"/>
      <c r="DU372" s="1"/>
      <c r="DV372" s="1"/>
      <c r="DW372" s="1"/>
      <c r="DX372" s="1"/>
      <c r="DY372" s="1"/>
      <c r="DZ372" s="1"/>
      <c r="EA372" s="1"/>
      <c r="EB372" s="1"/>
      <c r="EC372" s="1"/>
      <c r="ED372" s="1"/>
      <c r="EE372" s="1"/>
      <c r="EF372" s="1"/>
      <c r="EG372" s="1"/>
      <c r="EH372" s="1"/>
      <c r="EI372" s="1"/>
      <c r="EJ372" s="1"/>
      <c r="EK372" s="1"/>
      <c r="EL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c r="BR373" s="1"/>
      <c r="BS373" s="1"/>
      <c r="BT373" s="1"/>
      <c r="BU373" s="1"/>
      <c r="BV373" s="1"/>
      <c r="BW373" s="1"/>
      <c r="BX373" s="1"/>
      <c r="BY373" s="1"/>
      <c r="BZ373" s="1"/>
      <c r="CA373" s="1"/>
      <c r="CB373" s="1"/>
      <c r="CC373" s="1"/>
      <c r="CD373" s="1"/>
      <c r="CE373" s="1"/>
      <c r="CF373" s="1"/>
      <c r="CG373" s="1"/>
      <c r="CH373" s="1"/>
      <c r="CI373" s="1"/>
      <c r="CJ373" s="1"/>
      <c r="CK373" s="1"/>
      <c r="CL373" s="1"/>
      <c r="CM373" s="1"/>
      <c r="CN373" s="1"/>
      <c r="CO373" s="1"/>
      <c r="CP373" s="1"/>
      <c r="CQ373" s="1"/>
      <c r="CR373" s="1"/>
      <c r="CS373" s="1"/>
      <c r="CT373" s="1"/>
      <c r="CU373" s="1"/>
      <c r="CV373" s="1"/>
      <c r="CW373" s="1"/>
      <c r="CX373" s="1"/>
      <c r="CY373" s="1"/>
      <c r="CZ373" s="1"/>
      <c r="DA373" s="1"/>
      <c r="DB373" s="1"/>
      <c r="DC373" s="1"/>
      <c r="DD373" s="1"/>
      <c r="DE373" s="1"/>
      <c r="DF373" s="1"/>
      <c r="DG373" s="1"/>
      <c r="DH373" s="1"/>
      <c r="DI373" s="1"/>
      <c r="DJ373" s="1"/>
      <c r="DK373" s="1"/>
      <c r="DL373" s="1"/>
      <c r="DM373" s="1"/>
      <c r="DN373" s="1"/>
      <c r="DO373" s="1"/>
      <c r="DP373" s="1"/>
      <c r="DQ373" s="1"/>
      <c r="DR373" s="1"/>
      <c r="DS373" s="1"/>
      <c r="DT373" s="1"/>
      <c r="DU373" s="1"/>
      <c r="DV373" s="1"/>
      <c r="DW373" s="1"/>
      <c r="DX373" s="1"/>
      <c r="DY373" s="1"/>
      <c r="DZ373" s="1"/>
      <c r="EA373" s="1"/>
      <c r="EB373" s="1"/>
      <c r="EC373" s="1"/>
      <c r="ED373" s="1"/>
      <c r="EE373" s="1"/>
      <c r="EF373" s="1"/>
      <c r="EG373" s="1"/>
      <c r="EH373" s="1"/>
      <c r="EI373" s="1"/>
      <c r="EJ373" s="1"/>
      <c r="EK373" s="1"/>
      <c r="EL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c r="BR374" s="1"/>
      <c r="BS374" s="1"/>
      <c r="BT374" s="1"/>
      <c r="BU374" s="1"/>
      <c r="BV374" s="1"/>
      <c r="BW374" s="1"/>
      <c r="BX374" s="1"/>
      <c r="BY374" s="1"/>
      <c r="BZ374" s="1"/>
      <c r="CA374" s="1"/>
      <c r="CB374" s="1"/>
      <c r="CC374" s="1"/>
      <c r="CD374" s="1"/>
      <c r="CE374" s="1"/>
      <c r="CF374" s="1"/>
      <c r="CG374" s="1"/>
      <c r="CH374" s="1"/>
      <c r="CI374" s="1"/>
      <c r="CJ374" s="1"/>
      <c r="CK374" s="1"/>
      <c r="CL374" s="1"/>
      <c r="CM374" s="1"/>
      <c r="CN374" s="1"/>
      <c r="CO374" s="1"/>
      <c r="CP374" s="1"/>
      <c r="CQ374" s="1"/>
      <c r="CR374" s="1"/>
      <c r="CS374" s="1"/>
      <c r="CT374" s="1"/>
      <c r="CU374" s="1"/>
      <c r="CV374" s="1"/>
      <c r="CW374" s="1"/>
      <c r="CX374" s="1"/>
      <c r="CY374" s="1"/>
      <c r="CZ374" s="1"/>
      <c r="DA374" s="1"/>
      <c r="DB374" s="1"/>
      <c r="DC374" s="1"/>
      <c r="DD374" s="1"/>
      <c r="DE374" s="1"/>
      <c r="DF374" s="1"/>
      <c r="DG374" s="1"/>
      <c r="DH374" s="1"/>
      <c r="DI374" s="1"/>
      <c r="DJ374" s="1"/>
      <c r="DK374" s="1"/>
      <c r="DL374" s="1"/>
      <c r="DM374" s="1"/>
      <c r="DN374" s="1"/>
      <c r="DO374" s="1"/>
      <c r="DP374" s="1"/>
      <c r="DQ374" s="1"/>
      <c r="DR374" s="1"/>
      <c r="DS374" s="1"/>
      <c r="DT374" s="1"/>
      <c r="DU374" s="1"/>
      <c r="DV374" s="1"/>
      <c r="DW374" s="1"/>
      <c r="DX374" s="1"/>
      <c r="DY374" s="1"/>
      <c r="DZ374" s="1"/>
      <c r="EA374" s="1"/>
      <c r="EB374" s="1"/>
      <c r="EC374" s="1"/>
      <c r="ED374" s="1"/>
      <c r="EE374" s="1"/>
      <c r="EF374" s="1"/>
      <c r="EG374" s="1"/>
      <c r="EH374" s="1"/>
      <c r="EI374" s="1"/>
      <c r="EJ374" s="1"/>
      <c r="EK374" s="1"/>
      <c r="EL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c r="BR375" s="1"/>
      <c r="BS375" s="1"/>
      <c r="BT375" s="1"/>
      <c r="BU375" s="1"/>
      <c r="BV375" s="1"/>
      <c r="BW375" s="1"/>
      <c r="BX375" s="1"/>
      <c r="BY375" s="1"/>
      <c r="BZ375" s="1"/>
      <c r="CA375" s="1"/>
      <c r="CB375" s="1"/>
      <c r="CC375" s="1"/>
      <c r="CD375" s="1"/>
      <c r="CE375" s="1"/>
      <c r="CF375" s="1"/>
      <c r="CG375" s="1"/>
      <c r="CH375" s="1"/>
      <c r="CI375" s="1"/>
      <c r="CJ375" s="1"/>
      <c r="CK375" s="1"/>
      <c r="CL375" s="1"/>
      <c r="CM375" s="1"/>
      <c r="CN375" s="1"/>
      <c r="CO375" s="1"/>
      <c r="CP375" s="1"/>
      <c r="CQ375" s="1"/>
      <c r="CR375" s="1"/>
      <c r="CS375" s="1"/>
      <c r="CT375" s="1"/>
      <c r="CU375" s="1"/>
      <c r="CV375" s="1"/>
      <c r="CW375" s="1"/>
      <c r="CX375" s="1"/>
      <c r="CY375" s="1"/>
      <c r="CZ375" s="1"/>
      <c r="DA375" s="1"/>
      <c r="DB375" s="1"/>
      <c r="DC375" s="1"/>
      <c r="DD375" s="1"/>
      <c r="DE375" s="1"/>
      <c r="DF375" s="1"/>
      <c r="DG375" s="1"/>
      <c r="DH375" s="1"/>
      <c r="DI375" s="1"/>
      <c r="DJ375" s="1"/>
      <c r="DK375" s="1"/>
      <c r="DL375" s="1"/>
      <c r="DM375" s="1"/>
      <c r="DN375" s="1"/>
      <c r="DO375" s="1"/>
      <c r="DP375" s="1"/>
      <c r="DQ375" s="1"/>
      <c r="DR375" s="1"/>
      <c r="DS375" s="1"/>
      <c r="DT375" s="1"/>
      <c r="DU375" s="1"/>
      <c r="DV375" s="1"/>
      <c r="DW375" s="1"/>
      <c r="DX375" s="1"/>
      <c r="DY375" s="1"/>
      <c r="DZ375" s="1"/>
      <c r="EA375" s="1"/>
      <c r="EB375" s="1"/>
      <c r="EC375" s="1"/>
      <c r="ED375" s="1"/>
      <c r="EE375" s="1"/>
      <c r="EF375" s="1"/>
      <c r="EG375" s="1"/>
      <c r="EH375" s="1"/>
      <c r="EI375" s="1"/>
      <c r="EJ375" s="1"/>
      <c r="EK375" s="1"/>
      <c r="EL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c r="BR376" s="1"/>
      <c r="BS376" s="1"/>
      <c r="BT376" s="1"/>
      <c r="BU376" s="1"/>
      <c r="BV376" s="1"/>
      <c r="BW376" s="1"/>
      <c r="BX376" s="1"/>
      <c r="BY376" s="1"/>
      <c r="BZ376" s="1"/>
      <c r="CA376" s="1"/>
      <c r="CB376" s="1"/>
      <c r="CC376" s="1"/>
      <c r="CD376" s="1"/>
      <c r="CE376" s="1"/>
      <c r="CF376" s="1"/>
      <c r="CG376" s="1"/>
      <c r="CH376" s="1"/>
      <c r="CI376" s="1"/>
      <c r="CJ376" s="1"/>
      <c r="CK376" s="1"/>
      <c r="CL376" s="1"/>
      <c r="CM376" s="1"/>
      <c r="CN376" s="1"/>
      <c r="CO376" s="1"/>
      <c r="CP376" s="1"/>
      <c r="CQ376" s="1"/>
      <c r="CR376" s="1"/>
      <c r="CS376" s="1"/>
      <c r="CT376" s="1"/>
      <c r="CU376" s="1"/>
      <c r="CV376" s="1"/>
      <c r="CW376" s="1"/>
      <c r="CX376" s="1"/>
      <c r="CY376" s="1"/>
      <c r="CZ376" s="1"/>
      <c r="DA376" s="1"/>
      <c r="DB376" s="1"/>
      <c r="DC376" s="1"/>
      <c r="DD376" s="1"/>
      <c r="DE376" s="1"/>
      <c r="DF376" s="1"/>
      <c r="DG376" s="1"/>
      <c r="DH376" s="1"/>
      <c r="DI376" s="1"/>
      <c r="DJ376" s="1"/>
      <c r="DK376" s="1"/>
      <c r="DL376" s="1"/>
      <c r="DM376" s="1"/>
      <c r="DN376" s="1"/>
      <c r="DO376" s="1"/>
      <c r="DP376" s="1"/>
      <c r="DQ376" s="1"/>
      <c r="DR376" s="1"/>
      <c r="DS376" s="1"/>
      <c r="DT376" s="1"/>
      <c r="DU376" s="1"/>
      <c r="DV376" s="1"/>
      <c r="DW376" s="1"/>
      <c r="DX376" s="1"/>
      <c r="DY376" s="1"/>
      <c r="DZ376" s="1"/>
      <c r="EA376" s="1"/>
      <c r="EB376" s="1"/>
      <c r="EC376" s="1"/>
      <c r="ED376" s="1"/>
      <c r="EE376" s="1"/>
      <c r="EF376" s="1"/>
      <c r="EG376" s="1"/>
      <c r="EH376" s="1"/>
      <c r="EI376" s="1"/>
      <c r="EJ376" s="1"/>
      <c r="EK376" s="1"/>
      <c r="EL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c r="BR377" s="1"/>
      <c r="BS377" s="1"/>
      <c r="BT377" s="1"/>
      <c r="BU377" s="1"/>
      <c r="BV377" s="1"/>
      <c r="BW377" s="1"/>
      <c r="BX377" s="1"/>
      <c r="BY377" s="1"/>
      <c r="BZ377" s="1"/>
      <c r="CA377" s="1"/>
      <c r="CB377" s="1"/>
      <c r="CC377" s="1"/>
      <c r="CD377" s="1"/>
      <c r="CE377" s="1"/>
      <c r="CF377" s="1"/>
      <c r="CG377" s="1"/>
      <c r="CH377" s="1"/>
      <c r="CI377" s="1"/>
      <c r="CJ377" s="1"/>
      <c r="CK377" s="1"/>
      <c r="CL377" s="1"/>
      <c r="CM377" s="1"/>
      <c r="CN377" s="1"/>
      <c r="CO377" s="1"/>
      <c r="CP377" s="1"/>
      <c r="CQ377" s="1"/>
      <c r="CR377" s="1"/>
      <c r="CS377" s="1"/>
      <c r="CT377" s="1"/>
      <c r="CU377" s="1"/>
      <c r="CV377" s="1"/>
      <c r="CW377" s="1"/>
      <c r="CX377" s="1"/>
      <c r="CY377" s="1"/>
      <c r="CZ377" s="1"/>
      <c r="DA377" s="1"/>
      <c r="DB377" s="1"/>
      <c r="DC377" s="1"/>
      <c r="DD377" s="1"/>
      <c r="DE377" s="1"/>
      <c r="DF377" s="1"/>
      <c r="DG377" s="1"/>
      <c r="DH377" s="1"/>
      <c r="DI377" s="1"/>
      <c r="DJ377" s="1"/>
      <c r="DK377" s="1"/>
      <c r="DL377" s="1"/>
      <c r="DM377" s="1"/>
      <c r="DN377" s="1"/>
      <c r="DO377" s="1"/>
      <c r="DP377" s="1"/>
      <c r="DQ377" s="1"/>
      <c r="DR377" s="1"/>
      <c r="DS377" s="1"/>
      <c r="DT377" s="1"/>
      <c r="DU377" s="1"/>
      <c r="DV377" s="1"/>
      <c r="DW377" s="1"/>
      <c r="DX377" s="1"/>
      <c r="DY377" s="1"/>
      <c r="DZ377" s="1"/>
      <c r="EA377" s="1"/>
      <c r="EB377" s="1"/>
      <c r="EC377" s="1"/>
      <c r="ED377" s="1"/>
      <c r="EE377" s="1"/>
      <c r="EF377" s="1"/>
      <c r="EG377" s="1"/>
      <c r="EH377" s="1"/>
      <c r="EI377" s="1"/>
      <c r="EJ377" s="1"/>
      <c r="EK377" s="1"/>
      <c r="EL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c r="BR378" s="1"/>
      <c r="BS378" s="1"/>
      <c r="BT378" s="1"/>
      <c r="BU378" s="1"/>
      <c r="BV378" s="1"/>
      <c r="BW378" s="1"/>
      <c r="BX378" s="1"/>
      <c r="BY378" s="1"/>
      <c r="BZ378" s="1"/>
      <c r="CA378" s="1"/>
      <c r="CB378" s="1"/>
      <c r="CC378" s="1"/>
      <c r="CD378" s="1"/>
      <c r="CE378" s="1"/>
      <c r="CF378" s="1"/>
      <c r="CG378" s="1"/>
      <c r="CH378" s="1"/>
      <c r="CI378" s="1"/>
      <c r="CJ378" s="1"/>
      <c r="CK378" s="1"/>
      <c r="CL378" s="1"/>
      <c r="CM378" s="1"/>
      <c r="CN378" s="1"/>
      <c r="CO378" s="1"/>
      <c r="CP378" s="1"/>
      <c r="CQ378" s="1"/>
      <c r="CR378" s="1"/>
      <c r="CS378" s="1"/>
      <c r="CT378" s="1"/>
      <c r="CU378" s="1"/>
      <c r="CV378" s="1"/>
      <c r="CW378" s="1"/>
      <c r="CX378" s="1"/>
      <c r="CY378" s="1"/>
      <c r="CZ378" s="1"/>
      <c r="DA378" s="1"/>
      <c r="DB378" s="1"/>
      <c r="DC378" s="1"/>
      <c r="DD378" s="1"/>
      <c r="DE378" s="1"/>
      <c r="DF378" s="1"/>
      <c r="DG378" s="1"/>
      <c r="DH378" s="1"/>
      <c r="DI378" s="1"/>
      <c r="DJ378" s="1"/>
      <c r="DK378" s="1"/>
      <c r="DL378" s="1"/>
      <c r="DM378" s="1"/>
      <c r="DN378" s="1"/>
      <c r="DO378" s="1"/>
      <c r="DP378" s="1"/>
      <c r="DQ378" s="1"/>
      <c r="DR378" s="1"/>
      <c r="DS378" s="1"/>
      <c r="DT378" s="1"/>
      <c r="DU378" s="1"/>
      <c r="DV378" s="1"/>
      <c r="DW378" s="1"/>
      <c r="DX378" s="1"/>
      <c r="DY378" s="1"/>
      <c r="DZ378" s="1"/>
      <c r="EA378" s="1"/>
      <c r="EB378" s="1"/>
      <c r="EC378" s="1"/>
      <c r="ED378" s="1"/>
      <c r="EE378" s="1"/>
      <c r="EF378" s="1"/>
      <c r="EG378" s="1"/>
      <c r="EH378" s="1"/>
      <c r="EI378" s="1"/>
      <c r="EJ378" s="1"/>
      <c r="EK378" s="1"/>
      <c r="EL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c r="BR379" s="1"/>
      <c r="BS379" s="1"/>
      <c r="BT379" s="1"/>
      <c r="BU379" s="1"/>
      <c r="BV379" s="1"/>
      <c r="BW379" s="1"/>
      <c r="BX379" s="1"/>
      <c r="BY379" s="1"/>
      <c r="BZ379" s="1"/>
      <c r="CA379" s="1"/>
      <c r="CB379" s="1"/>
      <c r="CC379" s="1"/>
      <c r="CD379" s="1"/>
      <c r="CE379" s="1"/>
      <c r="CF379" s="1"/>
      <c r="CG379" s="1"/>
      <c r="CH379" s="1"/>
      <c r="CI379" s="1"/>
      <c r="CJ379" s="1"/>
      <c r="CK379" s="1"/>
      <c r="CL379" s="1"/>
      <c r="CM379" s="1"/>
      <c r="CN379" s="1"/>
      <c r="CO379" s="1"/>
      <c r="CP379" s="1"/>
      <c r="CQ379" s="1"/>
      <c r="CR379" s="1"/>
      <c r="CS379" s="1"/>
      <c r="CT379" s="1"/>
      <c r="CU379" s="1"/>
      <c r="CV379" s="1"/>
      <c r="CW379" s="1"/>
      <c r="CX379" s="1"/>
      <c r="CY379" s="1"/>
      <c r="CZ379" s="1"/>
      <c r="DA379" s="1"/>
      <c r="DB379" s="1"/>
      <c r="DC379" s="1"/>
      <c r="DD379" s="1"/>
      <c r="DE379" s="1"/>
      <c r="DF379" s="1"/>
      <c r="DG379" s="1"/>
      <c r="DH379" s="1"/>
      <c r="DI379" s="1"/>
      <c r="DJ379" s="1"/>
      <c r="DK379" s="1"/>
      <c r="DL379" s="1"/>
      <c r="DM379" s="1"/>
      <c r="DN379" s="1"/>
      <c r="DO379" s="1"/>
      <c r="DP379" s="1"/>
      <c r="DQ379" s="1"/>
      <c r="DR379" s="1"/>
      <c r="DS379" s="1"/>
      <c r="DT379" s="1"/>
      <c r="DU379" s="1"/>
      <c r="DV379" s="1"/>
      <c r="DW379" s="1"/>
      <c r="DX379" s="1"/>
      <c r="DY379" s="1"/>
      <c r="DZ379" s="1"/>
      <c r="EA379" s="1"/>
      <c r="EB379" s="1"/>
      <c r="EC379" s="1"/>
      <c r="ED379" s="1"/>
      <c r="EE379" s="1"/>
      <c r="EF379" s="1"/>
      <c r="EG379" s="1"/>
      <c r="EH379" s="1"/>
      <c r="EI379" s="1"/>
      <c r="EJ379" s="1"/>
      <c r="EK379" s="1"/>
      <c r="EL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c r="BR380" s="1"/>
      <c r="BS380" s="1"/>
      <c r="BT380" s="1"/>
      <c r="BU380" s="1"/>
      <c r="BV380" s="1"/>
      <c r="BW380" s="1"/>
      <c r="BX380" s="1"/>
      <c r="BY380" s="1"/>
      <c r="BZ380" s="1"/>
      <c r="CA380" s="1"/>
      <c r="CB380" s="1"/>
      <c r="CC380" s="1"/>
      <c r="CD380" s="1"/>
      <c r="CE380" s="1"/>
      <c r="CF380" s="1"/>
      <c r="CG380" s="1"/>
      <c r="CH380" s="1"/>
      <c r="CI380" s="1"/>
      <c r="CJ380" s="1"/>
      <c r="CK380" s="1"/>
      <c r="CL380" s="1"/>
      <c r="CM380" s="1"/>
      <c r="CN380" s="1"/>
      <c r="CO380" s="1"/>
      <c r="CP380" s="1"/>
      <c r="CQ380" s="1"/>
      <c r="CR380" s="1"/>
      <c r="CS380" s="1"/>
      <c r="CT380" s="1"/>
      <c r="CU380" s="1"/>
      <c r="CV380" s="1"/>
      <c r="CW380" s="1"/>
      <c r="CX380" s="1"/>
      <c r="CY380" s="1"/>
      <c r="CZ380" s="1"/>
      <c r="DA380" s="1"/>
      <c r="DB380" s="1"/>
      <c r="DC380" s="1"/>
      <c r="DD380" s="1"/>
      <c r="DE380" s="1"/>
      <c r="DF380" s="1"/>
      <c r="DG380" s="1"/>
      <c r="DH380" s="1"/>
      <c r="DI380" s="1"/>
      <c r="DJ380" s="1"/>
      <c r="DK380" s="1"/>
      <c r="DL380" s="1"/>
      <c r="DM380" s="1"/>
      <c r="DN380" s="1"/>
      <c r="DO380" s="1"/>
      <c r="DP380" s="1"/>
      <c r="DQ380" s="1"/>
      <c r="DR380" s="1"/>
      <c r="DS380" s="1"/>
      <c r="DT380" s="1"/>
      <c r="DU380" s="1"/>
      <c r="DV380" s="1"/>
      <c r="DW380" s="1"/>
      <c r="DX380" s="1"/>
      <c r="DY380" s="1"/>
      <c r="DZ380" s="1"/>
      <c r="EA380" s="1"/>
      <c r="EB380" s="1"/>
      <c r="EC380" s="1"/>
      <c r="ED380" s="1"/>
      <c r="EE380" s="1"/>
      <c r="EF380" s="1"/>
      <c r="EG380" s="1"/>
      <c r="EH380" s="1"/>
      <c r="EI380" s="1"/>
      <c r="EJ380" s="1"/>
      <c r="EK380" s="1"/>
      <c r="EL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c r="BR381" s="1"/>
      <c r="BS381" s="1"/>
      <c r="BT381" s="1"/>
      <c r="BU381" s="1"/>
      <c r="BV381" s="1"/>
      <c r="BW381" s="1"/>
      <c r="BX381" s="1"/>
      <c r="BY381" s="1"/>
      <c r="BZ381" s="1"/>
      <c r="CA381" s="1"/>
      <c r="CB381" s="1"/>
      <c r="CC381" s="1"/>
      <c r="CD381" s="1"/>
      <c r="CE381" s="1"/>
      <c r="CF381" s="1"/>
      <c r="CG381" s="1"/>
      <c r="CH381" s="1"/>
      <c r="CI381" s="1"/>
      <c r="CJ381" s="1"/>
      <c r="CK381" s="1"/>
      <c r="CL381" s="1"/>
      <c r="CM381" s="1"/>
      <c r="CN381" s="1"/>
      <c r="CO381" s="1"/>
      <c r="CP381" s="1"/>
      <c r="CQ381" s="1"/>
      <c r="CR381" s="1"/>
      <c r="CS381" s="1"/>
      <c r="CT381" s="1"/>
      <c r="CU381" s="1"/>
      <c r="CV381" s="1"/>
      <c r="CW381" s="1"/>
      <c r="CX381" s="1"/>
      <c r="CY381" s="1"/>
      <c r="CZ381" s="1"/>
      <c r="DA381" s="1"/>
      <c r="DB381" s="1"/>
      <c r="DC381" s="1"/>
      <c r="DD381" s="1"/>
      <c r="DE381" s="1"/>
      <c r="DF381" s="1"/>
      <c r="DG381" s="1"/>
      <c r="DH381" s="1"/>
      <c r="DI381" s="1"/>
      <c r="DJ381" s="1"/>
      <c r="DK381" s="1"/>
      <c r="DL381" s="1"/>
      <c r="DM381" s="1"/>
      <c r="DN381" s="1"/>
      <c r="DO381" s="1"/>
      <c r="DP381" s="1"/>
      <c r="DQ381" s="1"/>
      <c r="DR381" s="1"/>
      <c r="DS381" s="1"/>
      <c r="DT381" s="1"/>
      <c r="DU381" s="1"/>
      <c r="DV381" s="1"/>
      <c r="DW381" s="1"/>
      <c r="DX381" s="1"/>
      <c r="DY381" s="1"/>
      <c r="DZ381" s="1"/>
      <c r="EA381" s="1"/>
      <c r="EB381" s="1"/>
      <c r="EC381" s="1"/>
      <c r="ED381" s="1"/>
      <c r="EE381" s="1"/>
      <c r="EF381" s="1"/>
      <c r="EG381" s="1"/>
      <c r="EH381" s="1"/>
      <c r="EI381" s="1"/>
      <c r="EJ381" s="1"/>
      <c r="EK381" s="1"/>
      <c r="EL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c r="BR382" s="1"/>
      <c r="BS382" s="1"/>
      <c r="BT382" s="1"/>
      <c r="BU382" s="1"/>
      <c r="BV382" s="1"/>
      <c r="BW382" s="1"/>
      <c r="BX382" s="1"/>
      <c r="BY382" s="1"/>
      <c r="BZ382" s="1"/>
      <c r="CA382" s="1"/>
      <c r="CB382" s="1"/>
      <c r="CC382" s="1"/>
      <c r="CD382" s="1"/>
      <c r="CE382" s="1"/>
      <c r="CF382" s="1"/>
      <c r="CG382" s="1"/>
      <c r="CH382" s="1"/>
      <c r="CI382" s="1"/>
      <c r="CJ382" s="1"/>
      <c r="CK382" s="1"/>
      <c r="CL382" s="1"/>
      <c r="CM382" s="1"/>
      <c r="CN382" s="1"/>
      <c r="CO382" s="1"/>
      <c r="CP382" s="1"/>
      <c r="CQ382" s="1"/>
      <c r="CR382" s="1"/>
      <c r="CS382" s="1"/>
      <c r="CT382" s="1"/>
      <c r="CU382" s="1"/>
      <c r="CV382" s="1"/>
      <c r="CW382" s="1"/>
      <c r="CX382" s="1"/>
      <c r="CY382" s="1"/>
      <c r="CZ382" s="1"/>
      <c r="DA382" s="1"/>
      <c r="DB382" s="1"/>
      <c r="DC382" s="1"/>
      <c r="DD382" s="1"/>
      <c r="DE382" s="1"/>
      <c r="DF382" s="1"/>
      <c r="DG382" s="1"/>
      <c r="DH382" s="1"/>
      <c r="DI382" s="1"/>
      <c r="DJ382" s="1"/>
      <c r="DK382" s="1"/>
      <c r="DL382" s="1"/>
      <c r="DM382" s="1"/>
      <c r="DN382" s="1"/>
      <c r="DO382" s="1"/>
      <c r="DP382" s="1"/>
      <c r="DQ382" s="1"/>
      <c r="DR382" s="1"/>
      <c r="DS382" s="1"/>
      <c r="DT382" s="1"/>
      <c r="DU382" s="1"/>
      <c r="DV382" s="1"/>
      <c r="DW382" s="1"/>
      <c r="DX382" s="1"/>
      <c r="DY382" s="1"/>
      <c r="DZ382" s="1"/>
      <c r="EA382" s="1"/>
      <c r="EB382" s="1"/>
      <c r="EC382" s="1"/>
      <c r="ED382" s="1"/>
      <c r="EE382" s="1"/>
      <c r="EF382" s="1"/>
      <c r="EG382" s="1"/>
      <c r="EH382" s="1"/>
      <c r="EI382" s="1"/>
      <c r="EJ382" s="1"/>
      <c r="EK382" s="1"/>
      <c r="EL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c r="BR383" s="1"/>
      <c r="BS383" s="1"/>
      <c r="BT383" s="1"/>
      <c r="BU383" s="1"/>
      <c r="BV383" s="1"/>
      <c r="BW383" s="1"/>
      <c r="BX383" s="1"/>
      <c r="BY383" s="1"/>
      <c r="BZ383" s="1"/>
      <c r="CA383" s="1"/>
      <c r="CB383" s="1"/>
      <c r="CC383" s="1"/>
      <c r="CD383" s="1"/>
      <c r="CE383" s="1"/>
      <c r="CF383" s="1"/>
      <c r="CG383" s="1"/>
      <c r="CH383" s="1"/>
      <c r="CI383" s="1"/>
      <c r="CJ383" s="1"/>
      <c r="CK383" s="1"/>
      <c r="CL383" s="1"/>
      <c r="CM383" s="1"/>
      <c r="CN383" s="1"/>
      <c r="CO383" s="1"/>
      <c r="CP383" s="1"/>
      <c r="CQ383" s="1"/>
      <c r="CR383" s="1"/>
      <c r="CS383" s="1"/>
      <c r="CT383" s="1"/>
      <c r="CU383" s="1"/>
      <c r="CV383" s="1"/>
      <c r="CW383" s="1"/>
      <c r="CX383" s="1"/>
      <c r="CY383" s="1"/>
      <c r="CZ383" s="1"/>
      <c r="DA383" s="1"/>
      <c r="DB383" s="1"/>
      <c r="DC383" s="1"/>
      <c r="DD383" s="1"/>
      <c r="DE383" s="1"/>
      <c r="DF383" s="1"/>
      <c r="DG383" s="1"/>
      <c r="DH383" s="1"/>
      <c r="DI383" s="1"/>
      <c r="DJ383" s="1"/>
      <c r="DK383" s="1"/>
      <c r="DL383" s="1"/>
      <c r="DM383" s="1"/>
      <c r="DN383" s="1"/>
      <c r="DO383" s="1"/>
      <c r="DP383" s="1"/>
      <c r="DQ383" s="1"/>
      <c r="DR383" s="1"/>
      <c r="DS383" s="1"/>
      <c r="DT383" s="1"/>
      <c r="DU383" s="1"/>
      <c r="DV383" s="1"/>
      <c r="DW383" s="1"/>
      <c r="DX383" s="1"/>
      <c r="DY383" s="1"/>
      <c r="DZ383" s="1"/>
      <c r="EA383" s="1"/>
      <c r="EB383" s="1"/>
      <c r="EC383" s="1"/>
      <c r="ED383" s="1"/>
      <c r="EE383" s="1"/>
      <c r="EF383" s="1"/>
      <c r="EG383" s="1"/>
      <c r="EH383" s="1"/>
      <c r="EI383" s="1"/>
      <c r="EJ383" s="1"/>
      <c r="EK383" s="1"/>
      <c r="EL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c r="BR384" s="1"/>
      <c r="BS384" s="1"/>
      <c r="BT384" s="1"/>
      <c r="BU384" s="1"/>
      <c r="BV384" s="1"/>
      <c r="BW384" s="1"/>
      <c r="BX384" s="1"/>
      <c r="BY384" s="1"/>
      <c r="BZ384" s="1"/>
      <c r="CA384" s="1"/>
      <c r="CB384" s="1"/>
      <c r="CC384" s="1"/>
      <c r="CD384" s="1"/>
      <c r="CE384" s="1"/>
      <c r="CF384" s="1"/>
      <c r="CG384" s="1"/>
      <c r="CH384" s="1"/>
      <c r="CI384" s="1"/>
      <c r="CJ384" s="1"/>
      <c r="CK384" s="1"/>
      <c r="CL384" s="1"/>
      <c r="CM384" s="1"/>
      <c r="CN384" s="1"/>
      <c r="CO384" s="1"/>
      <c r="CP384" s="1"/>
      <c r="CQ384" s="1"/>
      <c r="CR384" s="1"/>
      <c r="CS384" s="1"/>
      <c r="CT384" s="1"/>
      <c r="CU384" s="1"/>
      <c r="CV384" s="1"/>
      <c r="CW384" s="1"/>
      <c r="CX384" s="1"/>
      <c r="CY384" s="1"/>
      <c r="CZ384" s="1"/>
      <c r="DA384" s="1"/>
      <c r="DB384" s="1"/>
      <c r="DC384" s="1"/>
      <c r="DD384" s="1"/>
      <c r="DE384" s="1"/>
      <c r="DF384" s="1"/>
      <c r="DG384" s="1"/>
      <c r="DH384" s="1"/>
      <c r="DI384" s="1"/>
      <c r="DJ384" s="1"/>
      <c r="DK384" s="1"/>
      <c r="DL384" s="1"/>
      <c r="DM384" s="1"/>
      <c r="DN384" s="1"/>
      <c r="DO384" s="1"/>
      <c r="DP384" s="1"/>
      <c r="DQ384" s="1"/>
      <c r="DR384" s="1"/>
      <c r="DS384" s="1"/>
      <c r="DT384" s="1"/>
      <c r="DU384" s="1"/>
      <c r="DV384" s="1"/>
      <c r="DW384" s="1"/>
      <c r="DX384" s="1"/>
      <c r="DY384" s="1"/>
      <c r="DZ384" s="1"/>
      <c r="EA384" s="1"/>
      <c r="EB384" s="1"/>
      <c r="EC384" s="1"/>
      <c r="ED384" s="1"/>
      <c r="EE384" s="1"/>
      <c r="EF384" s="1"/>
      <c r="EG384" s="1"/>
      <c r="EH384" s="1"/>
      <c r="EI384" s="1"/>
      <c r="EJ384" s="1"/>
      <c r="EK384" s="1"/>
      <c r="EL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c r="BR385" s="1"/>
      <c r="BS385" s="1"/>
      <c r="BT385" s="1"/>
      <c r="BU385" s="1"/>
      <c r="BV385" s="1"/>
      <c r="BW385" s="1"/>
      <c r="BX385" s="1"/>
      <c r="BY385" s="1"/>
      <c r="BZ385" s="1"/>
      <c r="CA385" s="1"/>
      <c r="CB385" s="1"/>
      <c r="CC385" s="1"/>
      <c r="CD385" s="1"/>
      <c r="CE385" s="1"/>
      <c r="CF385" s="1"/>
      <c r="CG385" s="1"/>
      <c r="CH385" s="1"/>
      <c r="CI385" s="1"/>
      <c r="CJ385" s="1"/>
      <c r="CK385" s="1"/>
      <c r="CL385" s="1"/>
      <c r="CM385" s="1"/>
      <c r="CN385" s="1"/>
      <c r="CO385" s="1"/>
      <c r="CP385" s="1"/>
      <c r="CQ385" s="1"/>
      <c r="CR385" s="1"/>
      <c r="CS385" s="1"/>
      <c r="CT385" s="1"/>
      <c r="CU385" s="1"/>
      <c r="CV385" s="1"/>
      <c r="CW385" s="1"/>
      <c r="CX385" s="1"/>
      <c r="CY385" s="1"/>
      <c r="CZ385" s="1"/>
      <c r="DA385" s="1"/>
      <c r="DB385" s="1"/>
      <c r="DC385" s="1"/>
      <c r="DD385" s="1"/>
      <c r="DE385" s="1"/>
      <c r="DF385" s="1"/>
      <c r="DG385" s="1"/>
      <c r="DH385" s="1"/>
      <c r="DI385" s="1"/>
      <c r="DJ385" s="1"/>
      <c r="DK385" s="1"/>
      <c r="DL385" s="1"/>
      <c r="DM385" s="1"/>
      <c r="DN385" s="1"/>
      <c r="DO385" s="1"/>
      <c r="DP385" s="1"/>
      <c r="DQ385" s="1"/>
      <c r="DR385" s="1"/>
      <c r="DS385" s="1"/>
      <c r="DT385" s="1"/>
      <c r="DU385" s="1"/>
      <c r="DV385" s="1"/>
      <c r="DW385" s="1"/>
      <c r="DX385" s="1"/>
      <c r="DY385" s="1"/>
      <c r="DZ385" s="1"/>
      <c r="EA385" s="1"/>
      <c r="EB385" s="1"/>
      <c r="EC385" s="1"/>
      <c r="ED385" s="1"/>
      <c r="EE385" s="1"/>
      <c r="EF385" s="1"/>
      <c r="EG385" s="1"/>
      <c r="EH385" s="1"/>
      <c r="EI385" s="1"/>
      <c r="EJ385" s="1"/>
      <c r="EK385" s="1"/>
      <c r="EL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c r="BR386" s="1"/>
      <c r="BS386" s="1"/>
      <c r="BT386" s="1"/>
      <c r="BU386" s="1"/>
      <c r="BV386" s="1"/>
      <c r="BW386" s="1"/>
      <c r="BX386" s="1"/>
      <c r="BY386" s="1"/>
      <c r="BZ386" s="1"/>
      <c r="CA386" s="1"/>
      <c r="CB386" s="1"/>
      <c r="CC386" s="1"/>
      <c r="CD386" s="1"/>
      <c r="CE386" s="1"/>
      <c r="CF386" s="1"/>
      <c r="CG386" s="1"/>
      <c r="CH386" s="1"/>
      <c r="CI386" s="1"/>
      <c r="CJ386" s="1"/>
      <c r="CK386" s="1"/>
      <c r="CL386" s="1"/>
      <c r="CM386" s="1"/>
      <c r="CN386" s="1"/>
      <c r="CO386" s="1"/>
      <c r="CP386" s="1"/>
      <c r="CQ386" s="1"/>
      <c r="CR386" s="1"/>
      <c r="CS386" s="1"/>
      <c r="CT386" s="1"/>
      <c r="CU386" s="1"/>
      <c r="CV386" s="1"/>
      <c r="CW386" s="1"/>
      <c r="CX386" s="1"/>
      <c r="CY386" s="1"/>
      <c r="CZ386" s="1"/>
      <c r="DA386" s="1"/>
      <c r="DB386" s="1"/>
      <c r="DC386" s="1"/>
      <c r="DD386" s="1"/>
      <c r="DE386" s="1"/>
      <c r="DF386" s="1"/>
      <c r="DG386" s="1"/>
      <c r="DH386" s="1"/>
      <c r="DI386" s="1"/>
      <c r="DJ386" s="1"/>
      <c r="DK386" s="1"/>
      <c r="DL386" s="1"/>
      <c r="DM386" s="1"/>
      <c r="DN386" s="1"/>
      <c r="DO386" s="1"/>
      <c r="DP386" s="1"/>
      <c r="DQ386" s="1"/>
      <c r="DR386" s="1"/>
      <c r="DS386" s="1"/>
      <c r="DT386" s="1"/>
      <c r="DU386" s="1"/>
      <c r="DV386" s="1"/>
      <c r="DW386" s="1"/>
      <c r="DX386" s="1"/>
      <c r="DY386" s="1"/>
      <c r="DZ386" s="1"/>
      <c r="EA386" s="1"/>
      <c r="EB386" s="1"/>
      <c r="EC386" s="1"/>
      <c r="ED386" s="1"/>
      <c r="EE386" s="1"/>
      <c r="EF386" s="1"/>
      <c r="EG386" s="1"/>
      <c r="EH386" s="1"/>
      <c r="EI386" s="1"/>
      <c r="EJ386" s="1"/>
      <c r="EK386" s="1"/>
      <c r="EL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c r="BR387" s="1"/>
      <c r="BS387" s="1"/>
      <c r="BT387" s="1"/>
      <c r="BU387" s="1"/>
      <c r="BV387" s="1"/>
      <c r="BW387" s="1"/>
      <c r="BX387" s="1"/>
      <c r="BY387" s="1"/>
      <c r="BZ387" s="1"/>
      <c r="CA387" s="1"/>
      <c r="CB387" s="1"/>
      <c r="CC387" s="1"/>
      <c r="CD387" s="1"/>
      <c r="CE387" s="1"/>
      <c r="CF387" s="1"/>
      <c r="CG387" s="1"/>
      <c r="CH387" s="1"/>
      <c r="CI387" s="1"/>
      <c r="CJ387" s="1"/>
      <c r="CK387" s="1"/>
      <c r="CL387" s="1"/>
      <c r="CM387" s="1"/>
      <c r="CN387" s="1"/>
      <c r="CO387" s="1"/>
      <c r="CP387" s="1"/>
      <c r="CQ387" s="1"/>
      <c r="CR387" s="1"/>
      <c r="CS387" s="1"/>
      <c r="CT387" s="1"/>
      <c r="CU387" s="1"/>
      <c r="CV387" s="1"/>
      <c r="CW387" s="1"/>
      <c r="CX387" s="1"/>
      <c r="CY387" s="1"/>
      <c r="CZ387" s="1"/>
      <c r="DA387" s="1"/>
      <c r="DB387" s="1"/>
      <c r="DC387" s="1"/>
      <c r="DD387" s="1"/>
      <c r="DE387" s="1"/>
      <c r="DF387" s="1"/>
      <c r="DG387" s="1"/>
      <c r="DH387" s="1"/>
      <c r="DI387" s="1"/>
      <c r="DJ387" s="1"/>
      <c r="DK387" s="1"/>
      <c r="DL387" s="1"/>
      <c r="DM387" s="1"/>
      <c r="DN387" s="1"/>
      <c r="DO387" s="1"/>
      <c r="DP387" s="1"/>
      <c r="DQ387" s="1"/>
      <c r="DR387" s="1"/>
      <c r="DS387" s="1"/>
      <c r="DT387" s="1"/>
      <c r="DU387" s="1"/>
      <c r="DV387" s="1"/>
      <c r="DW387" s="1"/>
      <c r="DX387" s="1"/>
      <c r="DY387" s="1"/>
      <c r="DZ387" s="1"/>
      <c r="EA387" s="1"/>
      <c r="EB387" s="1"/>
      <c r="EC387" s="1"/>
      <c r="ED387" s="1"/>
      <c r="EE387" s="1"/>
      <c r="EF387" s="1"/>
      <c r="EG387" s="1"/>
      <c r="EH387" s="1"/>
      <c r="EI387" s="1"/>
      <c r="EJ387" s="1"/>
      <c r="EK387" s="1"/>
      <c r="EL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c r="BS388" s="1"/>
      <c r="BT388" s="1"/>
      <c r="BU388" s="1"/>
      <c r="BV388" s="1"/>
      <c r="BW388" s="1"/>
      <c r="BX388" s="1"/>
      <c r="BY388" s="1"/>
      <c r="BZ388" s="1"/>
      <c r="CA388" s="1"/>
      <c r="CB388" s="1"/>
      <c r="CC388" s="1"/>
      <c r="CD388" s="1"/>
      <c r="CE388" s="1"/>
      <c r="CF388" s="1"/>
      <c r="CG388" s="1"/>
      <c r="CH388" s="1"/>
      <c r="CI388" s="1"/>
      <c r="CJ388" s="1"/>
      <c r="CK388" s="1"/>
      <c r="CL388" s="1"/>
      <c r="CM388" s="1"/>
      <c r="CN388" s="1"/>
      <c r="CO388" s="1"/>
      <c r="CP388" s="1"/>
      <c r="CQ388" s="1"/>
      <c r="CR388" s="1"/>
      <c r="CS388" s="1"/>
      <c r="CT388" s="1"/>
      <c r="CU388" s="1"/>
      <c r="CV388" s="1"/>
      <c r="CW388" s="1"/>
      <c r="CX388" s="1"/>
      <c r="CY388" s="1"/>
      <c r="CZ388" s="1"/>
      <c r="DA388" s="1"/>
      <c r="DB388" s="1"/>
      <c r="DC388" s="1"/>
      <c r="DD388" s="1"/>
      <c r="DE388" s="1"/>
      <c r="DF388" s="1"/>
      <c r="DG388" s="1"/>
      <c r="DH388" s="1"/>
      <c r="DI388" s="1"/>
      <c r="DJ388" s="1"/>
      <c r="DK388" s="1"/>
      <c r="DL388" s="1"/>
      <c r="DM388" s="1"/>
      <c r="DN388" s="1"/>
      <c r="DO388" s="1"/>
      <c r="DP388" s="1"/>
      <c r="DQ388" s="1"/>
      <c r="DR388" s="1"/>
      <c r="DS388" s="1"/>
      <c r="DT388" s="1"/>
      <c r="DU388" s="1"/>
      <c r="DV388" s="1"/>
      <c r="DW388" s="1"/>
      <c r="DX388" s="1"/>
      <c r="DY388" s="1"/>
      <c r="DZ388" s="1"/>
      <c r="EA388" s="1"/>
      <c r="EB388" s="1"/>
      <c r="EC388" s="1"/>
      <c r="ED388" s="1"/>
      <c r="EE388" s="1"/>
      <c r="EF388" s="1"/>
      <c r="EG388" s="1"/>
      <c r="EH388" s="1"/>
      <c r="EI388" s="1"/>
      <c r="EJ388" s="1"/>
      <c r="EK388" s="1"/>
      <c r="EL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c r="BR389" s="1"/>
      <c r="BS389" s="1"/>
      <c r="BT389" s="1"/>
      <c r="BU389" s="1"/>
      <c r="BV389" s="1"/>
      <c r="BW389" s="1"/>
      <c r="BX389" s="1"/>
      <c r="BY389" s="1"/>
      <c r="BZ389" s="1"/>
      <c r="CA389" s="1"/>
      <c r="CB389" s="1"/>
      <c r="CC389" s="1"/>
      <c r="CD389" s="1"/>
      <c r="CE389" s="1"/>
      <c r="CF389" s="1"/>
      <c r="CG389" s="1"/>
      <c r="CH389" s="1"/>
      <c r="CI389" s="1"/>
      <c r="CJ389" s="1"/>
      <c r="CK389" s="1"/>
      <c r="CL389" s="1"/>
      <c r="CM389" s="1"/>
      <c r="CN389" s="1"/>
      <c r="CO389" s="1"/>
      <c r="CP389" s="1"/>
      <c r="CQ389" s="1"/>
      <c r="CR389" s="1"/>
      <c r="CS389" s="1"/>
      <c r="CT389" s="1"/>
      <c r="CU389" s="1"/>
      <c r="CV389" s="1"/>
      <c r="CW389" s="1"/>
      <c r="CX389" s="1"/>
      <c r="CY389" s="1"/>
      <c r="CZ389" s="1"/>
      <c r="DA389" s="1"/>
      <c r="DB389" s="1"/>
      <c r="DC389" s="1"/>
      <c r="DD389" s="1"/>
      <c r="DE389" s="1"/>
      <c r="DF389" s="1"/>
      <c r="DG389" s="1"/>
      <c r="DH389" s="1"/>
      <c r="DI389" s="1"/>
      <c r="DJ389" s="1"/>
      <c r="DK389" s="1"/>
      <c r="DL389" s="1"/>
      <c r="DM389" s="1"/>
      <c r="DN389" s="1"/>
      <c r="DO389" s="1"/>
      <c r="DP389" s="1"/>
      <c r="DQ389" s="1"/>
      <c r="DR389" s="1"/>
      <c r="DS389" s="1"/>
      <c r="DT389" s="1"/>
      <c r="DU389" s="1"/>
      <c r="DV389" s="1"/>
      <c r="DW389" s="1"/>
      <c r="DX389" s="1"/>
      <c r="DY389" s="1"/>
      <c r="DZ389" s="1"/>
      <c r="EA389" s="1"/>
      <c r="EB389" s="1"/>
      <c r="EC389" s="1"/>
      <c r="ED389" s="1"/>
      <c r="EE389" s="1"/>
      <c r="EF389" s="1"/>
      <c r="EG389" s="1"/>
      <c r="EH389" s="1"/>
      <c r="EI389" s="1"/>
      <c r="EJ389" s="1"/>
      <c r="EK389" s="1"/>
      <c r="EL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c r="BR390" s="1"/>
      <c r="BS390" s="1"/>
      <c r="BT390" s="1"/>
      <c r="BU390" s="1"/>
      <c r="BV390" s="1"/>
      <c r="BW390" s="1"/>
      <c r="BX390" s="1"/>
      <c r="BY390" s="1"/>
      <c r="BZ390" s="1"/>
      <c r="CA390" s="1"/>
      <c r="CB390" s="1"/>
      <c r="CC390" s="1"/>
      <c r="CD390" s="1"/>
      <c r="CE390" s="1"/>
      <c r="CF390" s="1"/>
      <c r="CG390" s="1"/>
      <c r="CH390" s="1"/>
      <c r="CI390" s="1"/>
      <c r="CJ390" s="1"/>
      <c r="CK390" s="1"/>
      <c r="CL390" s="1"/>
      <c r="CM390" s="1"/>
      <c r="CN390" s="1"/>
      <c r="CO390" s="1"/>
      <c r="CP390" s="1"/>
      <c r="CQ390" s="1"/>
      <c r="CR390" s="1"/>
      <c r="CS390" s="1"/>
      <c r="CT390" s="1"/>
      <c r="CU390" s="1"/>
      <c r="CV390" s="1"/>
      <c r="CW390" s="1"/>
      <c r="CX390" s="1"/>
      <c r="CY390" s="1"/>
      <c r="CZ390" s="1"/>
      <c r="DA390" s="1"/>
      <c r="DB390" s="1"/>
      <c r="DC390" s="1"/>
      <c r="DD390" s="1"/>
      <c r="DE390" s="1"/>
      <c r="DF390" s="1"/>
      <c r="DG390" s="1"/>
      <c r="DH390" s="1"/>
      <c r="DI390" s="1"/>
      <c r="DJ390" s="1"/>
      <c r="DK390" s="1"/>
      <c r="DL390" s="1"/>
      <c r="DM390" s="1"/>
      <c r="DN390" s="1"/>
      <c r="DO390" s="1"/>
      <c r="DP390" s="1"/>
      <c r="DQ390" s="1"/>
      <c r="DR390" s="1"/>
      <c r="DS390" s="1"/>
      <c r="DT390" s="1"/>
      <c r="DU390" s="1"/>
      <c r="DV390" s="1"/>
      <c r="DW390" s="1"/>
      <c r="DX390" s="1"/>
      <c r="DY390" s="1"/>
      <c r="DZ390" s="1"/>
      <c r="EA390" s="1"/>
      <c r="EB390" s="1"/>
      <c r="EC390" s="1"/>
      <c r="ED390" s="1"/>
      <c r="EE390" s="1"/>
      <c r="EF390" s="1"/>
      <c r="EG390" s="1"/>
      <c r="EH390" s="1"/>
      <c r="EI390" s="1"/>
      <c r="EJ390" s="1"/>
      <c r="EK390" s="1"/>
      <c r="EL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c r="BR391" s="1"/>
      <c r="BS391" s="1"/>
      <c r="BT391" s="1"/>
      <c r="BU391" s="1"/>
      <c r="BV391" s="1"/>
      <c r="BW391" s="1"/>
      <c r="BX391" s="1"/>
      <c r="BY391" s="1"/>
      <c r="BZ391" s="1"/>
      <c r="CA391" s="1"/>
      <c r="CB391" s="1"/>
      <c r="CC391" s="1"/>
      <c r="CD391" s="1"/>
      <c r="CE391" s="1"/>
      <c r="CF391" s="1"/>
      <c r="CG391" s="1"/>
      <c r="CH391" s="1"/>
      <c r="CI391" s="1"/>
      <c r="CJ391" s="1"/>
      <c r="CK391" s="1"/>
      <c r="CL391" s="1"/>
      <c r="CM391" s="1"/>
      <c r="CN391" s="1"/>
      <c r="CO391" s="1"/>
      <c r="CP391" s="1"/>
      <c r="CQ391" s="1"/>
      <c r="CR391" s="1"/>
      <c r="CS391" s="1"/>
      <c r="CT391" s="1"/>
      <c r="CU391" s="1"/>
      <c r="CV391" s="1"/>
      <c r="CW391" s="1"/>
      <c r="CX391" s="1"/>
      <c r="CY391" s="1"/>
      <c r="CZ391" s="1"/>
      <c r="DA391" s="1"/>
      <c r="DB391" s="1"/>
      <c r="DC391" s="1"/>
      <c r="DD391" s="1"/>
      <c r="DE391" s="1"/>
      <c r="DF391" s="1"/>
      <c r="DG391" s="1"/>
      <c r="DH391" s="1"/>
      <c r="DI391" s="1"/>
      <c r="DJ391" s="1"/>
      <c r="DK391" s="1"/>
      <c r="DL391" s="1"/>
      <c r="DM391" s="1"/>
      <c r="DN391" s="1"/>
      <c r="DO391" s="1"/>
      <c r="DP391" s="1"/>
      <c r="DQ391" s="1"/>
      <c r="DR391" s="1"/>
      <c r="DS391" s="1"/>
      <c r="DT391" s="1"/>
      <c r="DU391" s="1"/>
      <c r="DV391" s="1"/>
      <c r="DW391" s="1"/>
      <c r="DX391" s="1"/>
      <c r="DY391" s="1"/>
      <c r="DZ391" s="1"/>
      <c r="EA391" s="1"/>
      <c r="EB391" s="1"/>
      <c r="EC391" s="1"/>
      <c r="ED391" s="1"/>
      <c r="EE391" s="1"/>
      <c r="EF391" s="1"/>
      <c r="EG391" s="1"/>
      <c r="EH391" s="1"/>
      <c r="EI391" s="1"/>
      <c r="EJ391" s="1"/>
      <c r="EK391" s="1"/>
      <c r="EL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c r="BR392" s="1"/>
      <c r="BS392" s="1"/>
      <c r="BT392" s="1"/>
      <c r="BU392" s="1"/>
      <c r="BV392" s="1"/>
      <c r="BW392" s="1"/>
      <c r="BX392" s="1"/>
      <c r="BY392" s="1"/>
      <c r="BZ392" s="1"/>
      <c r="CA392" s="1"/>
      <c r="CB392" s="1"/>
      <c r="CC392" s="1"/>
      <c r="CD392" s="1"/>
      <c r="CE392" s="1"/>
      <c r="CF392" s="1"/>
      <c r="CG392" s="1"/>
      <c r="CH392" s="1"/>
      <c r="CI392" s="1"/>
      <c r="CJ392" s="1"/>
      <c r="CK392" s="1"/>
      <c r="CL392" s="1"/>
      <c r="CM392" s="1"/>
      <c r="CN392" s="1"/>
      <c r="CO392" s="1"/>
      <c r="CP392" s="1"/>
      <c r="CQ392" s="1"/>
      <c r="CR392" s="1"/>
      <c r="CS392" s="1"/>
      <c r="CT392" s="1"/>
      <c r="CU392" s="1"/>
      <c r="CV392" s="1"/>
      <c r="CW392" s="1"/>
      <c r="CX392" s="1"/>
      <c r="CY392" s="1"/>
      <c r="CZ392" s="1"/>
      <c r="DA392" s="1"/>
      <c r="DB392" s="1"/>
      <c r="DC392" s="1"/>
      <c r="DD392" s="1"/>
      <c r="DE392" s="1"/>
      <c r="DF392" s="1"/>
      <c r="DG392" s="1"/>
      <c r="DH392" s="1"/>
      <c r="DI392" s="1"/>
      <c r="DJ392" s="1"/>
      <c r="DK392" s="1"/>
      <c r="DL392" s="1"/>
      <c r="DM392" s="1"/>
      <c r="DN392" s="1"/>
      <c r="DO392" s="1"/>
      <c r="DP392" s="1"/>
      <c r="DQ392" s="1"/>
      <c r="DR392" s="1"/>
      <c r="DS392" s="1"/>
      <c r="DT392" s="1"/>
      <c r="DU392" s="1"/>
      <c r="DV392" s="1"/>
      <c r="DW392" s="1"/>
      <c r="DX392" s="1"/>
      <c r="DY392" s="1"/>
      <c r="DZ392" s="1"/>
      <c r="EA392" s="1"/>
      <c r="EB392" s="1"/>
      <c r="EC392" s="1"/>
      <c r="ED392" s="1"/>
      <c r="EE392" s="1"/>
      <c r="EF392" s="1"/>
      <c r="EG392" s="1"/>
      <c r="EH392" s="1"/>
      <c r="EI392" s="1"/>
      <c r="EJ392" s="1"/>
      <c r="EK392" s="1"/>
      <c r="EL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c r="BR393" s="1"/>
      <c r="BS393" s="1"/>
      <c r="BT393" s="1"/>
      <c r="BU393" s="1"/>
      <c r="BV393" s="1"/>
      <c r="BW393" s="1"/>
      <c r="BX393" s="1"/>
      <c r="BY393" s="1"/>
      <c r="BZ393" s="1"/>
      <c r="CA393" s="1"/>
      <c r="CB393" s="1"/>
      <c r="CC393" s="1"/>
      <c r="CD393" s="1"/>
      <c r="CE393" s="1"/>
      <c r="CF393" s="1"/>
      <c r="CG393" s="1"/>
      <c r="CH393" s="1"/>
      <c r="CI393" s="1"/>
      <c r="CJ393" s="1"/>
      <c r="CK393" s="1"/>
      <c r="CL393" s="1"/>
      <c r="CM393" s="1"/>
      <c r="CN393" s="1"/>
      <c r="CO393" s="1"/>
      <c r="CP393" s="1"/>
      <c r="CQ393" s="1"/>
      <c r="CR393" s="1"/>
      <c r="CS393" s="1"/>
      <c r="CT393" s="1"/>
      <c r="CU393" s="1"/>
      <c r="CV393" s="1"/>
      <c r="CW393" s="1"/>
      <c r="CX393" s="1"/>
      <c r="CY393" s="1"/>
      <c r="CZ393" s="1"/>
      <c r="DA393" s="1"/>
      <c r="DB393" s="1"/>
      <c r="DC393" s="1"/>
      <c r="DD393" s="1"/>
      <c r="DE393" s="1"/>
      <c r="DF393" s="1"/>
      <c r="DG393" s="1"/>
      <c r="DH393" s="1"/>
      <c r="DI393" s="1"/>
      <c r="DJ393" s="1"/>
      <c r="DK393" s="1"/>
      <c r="DL393" s="1"/>
      <c r="DM393" s="1"/>
      <c r="DN393" s="1"/>
      <c r="DO393" s="1"/>
      <c r="DP393" s="1"/>
      <c r="DQ393" s="1"/>
      <c r="DR393" s="1"/>
      <c r="DS393" s="1"/>
      <c r="DT393" s="1"/>
      <c r="DU393" s="1"/>
      <c r="DV393" s="1"/>
      <c r="DW393" s="1"/>
      <c r="DX393" s="1"/>
      <c r="DY393" s="1"/>
      <c r="DZ393" s="1"/>
      <c r="EA393" s="1"/>
      <c r="EB393" s="1"/>
      <c r="EC393" s="1"/>
      <c r="ED393" s="1"/>
      <c r="EE393" s="1"/>
      <c r="EF393" s="1"/>
      <c r="EG393" s="1"/>
      <c r="EH393" s="1"/>
      <c r="EI393" s="1"/>
      <c r="EJ393" s="1"/>
      <c r="EK393" s="1"/>
      <c r="EL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c r="BR394" s="1"/>
      <c r="BS394" s="1"/>
      <c r="BT394" s="1"/>
      <c r="BU394" s="1"/>
      <c r="BV394" s="1"/>
      <c r="BW394" s="1"/>
      <c r="BX394" s="1"/>
      <c r="BY394" s="1"/>
      <c r="BZ394" s="1"/>
      <c r="CA394" s="1"/>
      <c r="CB394" s="1"/>
      <c r="CC394" s="1"/>
      <c r="CD394" s="1"/>
      <c r="CE394" s="1"/>
      <c r="CF394" s="1"/>
      <c r="CG394" s="1"/>
      <c r="CH394" s="1"/>
      <c r="CI394" s="1"/>
      <c r="CJ394" s="1"/>
      <c r="CK394" s="1"/>
      <c r="CL394" s="1"/>
      <c r="CM394" s="1"/>
      <c r="CN394" s="1"/>
      <c r="CO394" s="1"/>
      <c r="CP394" s="1"/>
      <c r="CQ394" s="1"/>
      <c r="CR394" s="1"/>
      <c r="CS394" s="1"/>
      <c r="CT394" s="1"/>
      <c r="CU394" s="1"/>
      <c r="CV394" s="1"/>
      <c r="CW394" s="1"/>
      <c r="CX394" s="1"/>
      <c r="CY394" s="1"/>
      <c r="CZ394" s="1"/>
      <c r="DA394" s="1"/>
      <c r="DB394" s="1"/>
      <c r="DC394" s="1"/>
      <c r="DD394" s="1"/>
      <c r="DE394" s="1"/>
      <c r="DF394" s="1"/>
      <c r="DG394" s="1"/>
      <c r="DH394" s="1"/>
      <c r="DI394" s="1"/>
      <c r="DJ394" s="1"/>
      <c r="DK394" s="1"/>
      <c r="DL394" s="1"/>
      <c r="DM394" s="1"/>
      <c r="DN394" s="1"/>
      <c r="DO394" s="1"/>
      <c r="DP394" s="1"/>
      <c r="DQ394" s="1"/>
      <c r="DR394" s="1"/>
      <c r="DS394" s="1"/>
      <c r="DT394" s="1"/>
      <c r="DU394" s="1"/>
      <c r="DV394" s="1"/>
      <c r="DW394" s="1"/>
      <c r="DX394" s="1"/>
      <c r="DY394" s="1"/>
      <c r="DZ394" s="1"/>
      <c r="EA394" s="1"/>
      <c r="EB394" s="1"/>
      <c r="EC394" s="1"/>
      <c r="ED394" s="1"/>
      <c r="EE394" s="1"/>
      <c r="EF394" s="1"/>
      <c r="EG394" s="1"/>
      <c r="EH394" s="1"/>
      <c r="EI394" s="1"/>
      <c r="EJ394" s="1"/>
      <c r="EK394" s="1"/>
      <c r="EL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c r="BR395" s="1"/>
      <c r="BS395" s="1"/>
      <c r="BT395" s="1"/>
      <c r="BU395" s="1"/>
      <c r="BV395" s="1"/>
      <c r="BW395" s="1"/>
      <c r="BX395" s="1"/>
      <c r="BY395" s="1"/>
      <c r="BZ395" s="1"/>
      <c r="CA395" s="1"/>
      <c r="CB395" s="1"/>
      <c r="CC395" s="1"/>
      <c r="CD395" s="1"/>
      <c r="CE395" s="1"/>
      <c r="CF395" s="1"/>
      <c r="CG395" s="1"/>
      <c r="CH395" s="1"/>
      <c r="CI395" s="1"/>
      <c r="CJ395" s="1"/>
      <c r="CK395" s="1"/>
      <c r="CL395" s="1"/>
      <c r="CM395" s="1"/>
      <c r="CN395" s="1"/>
      <c r="CO395" s="1"/>
      <c r="CP395" s="1"/>
      <c r="CQ395" s="1"/>
      <c r="CR395" s="1"/>
      <c r="CS395" s="1"/>
      <c r="CT395" s="1"/>
      <c r="CU395" s="1"/>
      <c r="CV395" s="1"/>
      <c r="CW395" s="1"/>
      <c r="CX395" s="1"/>
      <c r="CY395" s="1"/>
      <c r="CZ395" s="1"/>
      <c r="DA395" s="1"/>
      <c r="DB395" s="1"/>
      <c r="DC395" s="1"/>
      <c r="DD395" s="1"/>
      <c r="DE395" s="1"/>
      <c r="DF395" s="1"/>
      <c r="DG395" s="1"/>
      <c r="DH395" s="1"/>
      <c r="DI395" s="1"/>
      <c r="DJ395" s="1"/>
      <c r="DK395" s="1"/>
      <c r="DL395" s="1"/>
      <c r="DM395" s="1"/>
      <c r="DN395" s="1"/>
      <c r="DO395" s="1"/>
      <c r="DP395" s="1"/>
      <c r="DQ395" s="1"/>
      <c r="DR395" s="1"/>
      <c r="DS395" s="1"/>
      <c r="DT395" s="1"/>
      <c r="DU395" s="1"/>
      <c r="DV395" s="1"/>
      <c r="DW395" s="1"/>
      <c r="DX395" s="1"/>
      <c r="DY395" s="1"/>
      <c r="DZ395" s="1"/>
      <c r="EA395" s="1"/>
      <c r="EB395" s="1"/>
      <c r="EC395" s="1"/>
      <c r="ED395" s="1"/>
      <c r="EE395" s="1"/>
      <c r="EF395" s="1"/>
      <c r="EG395" s="1"/>
      <c r="EH395" s="1"/>
      <c r="EI395" s="1"/>
      <c r="EJ395" s="1"/>
      <c r="EK395" s="1"/>
      <c r="EL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c r="BR396" s="1"/>
      <c r="BS396" s="1"/>
      <c r="BT396" s="1"/>
      <c r="BU396" s="1"/>
      <c r="BV396" s="1"/>
      <c r="BW396" s="1"/>
      <c r="BX396" s="1"/>
      <c r="BY396" s="1"/>
      <c r="BZ396" s="1"/>
      <c r="CA396" s="1"/>
      <c r="CB396" s="1"/>
      <c r="CC396" s="1"/>
      <c r="CD396" s="1"/>
      <c r="CE396" s="1"/>
      <c r="CF396" s="1"/>
      <c r="CG396" s="1"/>
      <c r="CH396" s="1"/>
      <c r="CI396" s="1"/>
      <c r="CJ396" s="1"/>
      <c r="CK396" s="1"/>
      <c r="CL396" s="1"/>
      <c r="CM396" s="1"/>
      <c r="CN396" s="1"/>
      <c r="CO396" s="1"/>
      <c r="CP396" s="1"/>
      <c r="CQ396" s="1"/>
      <c r="CR396" s="1"/>
      <c r="CS396" s="1"/>
      <c r="CT396" s="1"/>
      <c r="CU396" s="1"/>
      <c r="CV396" s="1"/>
      <c r="CW396" s="1"/>
      <c r="CX396" s="1"/>
      <c r="CY396" s="1"/>
      <c r="CZ396" s="1"/>
      <c r="DA396" s="1"/>
      <c r="DB396" s="1"/>
      <c r="DC396" s="1"/>
      <c r="DD396" s="1"/>
      <c r="DE396" s="1"/>
      <c r="DF396" s="1"/>
      <c r="DG396" s="1"/>
      <c r="DH396" s="1"/>
      <c r="DI396" s="1"/>
      <c r="DJ396" s="1"/>
      <c r="DK396" s="1"/>
      <c r="DL396" s="1"/>
      <c r="DM396" s="1"/>
      <c r="DN396" s="1"/>
      <c r="DO396" s="1"/>
      <c r="DP396" s="1"/>
      <c r="DQ396" s="1"/>
      <c r="DR396" s="1"/>
      <c r="DS396" s="1"/>
      <c r="DT396" s="1"/>
      <c r="DU396" s="1"/>
      <c r="DV396" s="1"/>
      <c r="DW396" s="1"/>
      <c r="DX396" s="1"/>
      <c r="DY396" s="1"/>
      <c r="DZ396" s="1"/>
      <c r="EA396" s="1"/>
      <c r="EB396" s="1"/>
      <c r="EC396" s="1"/>
      <c r="ED396" s="1"/>
      <c r="EE396" s="1"/>
      <c r="EF396" s="1"/>
      <c r="EG396" s="1"/>
      <c r="EH396" s="1"/>
      <c r="EI396" s="1"/>
      <c r="EJ396" s="1"/>
      <c r="EK396" s="1"/>
      <c r="EL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c r="BR397" s="1"/>
      <c r="BS397" s="1"/>
      <c r="BT397" s="1"/>
      <c r="BU397" s="1"/>
      <c r="BV397" s="1"/>
      <c r="BW397" s="1"/>
      <c r="BX397" s="1"/>
      <c r="BY397" s="1"/>
      <c r="BZ397" s="1"/>
      <c r="CA397" s="1"/>
      <c r="CB397" s="1"/>
      <c r="CC397" s="1"/>
      <c r="CD397" s="1"/>
      <c r="CE397" s="1"/>
      <c r="CF397" s="1"/>
      <c r="CG397" s="1"/>
      <c r="CH397" s="1"/>
      <c r="CI397" s="1"/>
      <c r="CJ397" s="1"/>
      <c r="CK397" s="1"/>
      <c r="CL397" s="1"/>
      <c r="CM397" s="1"/>
      <c r="CN397" s="1"/>
      <c r="CO397" s="1"/>
      <c r="CP397" s="1"/>
      <c r="CQ397" s="1"/>
      <c r="CR397" s="1"/>
      <c r="CS397" s="1"/>
      <c r="CT397" s="1"/>
      <c r="CU397" s="1"/>
      <c r="CV397" s="1"/>
      <c r="CW397" s="1"/>
      <c r="CX397" s="1"/>
      <c r="CY397" s="1"/>
      <c r="CZ397" s="1"/>
      <c r="DA397" s="1"/>
      <c r="DB397" s="1"/>
      <c r="DC397" s="1"/>
      <c r="DD397" s="1"/>
      <c r="DE397" s="1"/>
      <c r="DF397" s="1"/>
      <c r="DG397" s="1"/>
      <c r="DH397" s="1"/>
      <c r="DI397" s="1"/>
      <c r="DJ397" s="1"/>
      <c r="DK397" s="1"/>
      <c r="DL397" s="1"/>
      <c r="DM397" s="1"/>
      <c r="DN397" s="1"/>
      <c r="DO397" s="1"/>
      <c r="DP397" s="1"/>
      <c r="DQ397" s="1"/>
      <c r="DR397" s="1"/>
      <c r="DS397" s="1"/>
      <c r="DT397" s="1"/>
      <c r="DU397" s="1"/>
      <c r="DV397" s="1"/>
      <c r="DW397" s="1"/>
      <c r="DX397" s="1"/>
      <c r="DY397" s="1"/>
      <c r="DZ397" s="1"/>
      <c r="EA397" s="1"/>
      <c r="EB397" s="1"/>
      <c r="EC397" s="1"/>
      <c r="ED397" s="1"/>
      <c r="EE397" s="1"/>
      <c r="EF397" s="1"/>
      <c r="EG397" s="1"/>
      <c r="EH397" s="1"/>
      <c r="EI397" s="1"/>
      <c r="EJ397" s="1"/>
      <c r="EK397" s="1"/>
      <c r="EL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c r="BR398" s="1"/>
      <c r="BS398" s="1"/>
      <c r="BT398" s="1"/>
      <c r="BU398" s="1"/>
      <c r="BV398" s="1"/>
      <c r="BW398" s="1"/>
      <c r="BX398" s="1"/>
      <c r="BY398" s="1"/>
      <c r="BZ398" s="1"/>
      <c r="CA398" s="1"/>
      <c r="CB398" s="1"/>
      <c r="CC398" s="1"/>
      <c r="CD398" s="1"/>
      <c r="CE398" s="1"/>
      <c r="CF398" s="1"/>
      <c r="CG398" s="1"/>
      <c r="CH398" s="1"/>
      <c r="CI398" s="1"/>
      <c r="CJ398" s="1"/>
      <c r="CK398" s="1"/>
      <c r="CL398" s="1"/>
      <c r="CM398" s="1"/>
      <c r="CN398" s="1"/>
      <c r="CO398" s="1"/>
      <c r="CP398" s="1"/>
      <c r="CQ398" s="1"/>
      <c r="CR398" s="1"/>
      <c r="CS398" s="1"/>
      <c r="CT398" s="1"/>
      <c r="CU398" s="1"/>
      <c r="CV398" s="1"/>
      <c r="CW398" s="1"/>
      <c r="CX398" s="1"/>
      <c r="CY398" s="1"/>
      <c r="CZ398" s="1"/>
      <c r="DA398" s="1"/>
      <c r="DB398" s="1"/>
      <c r="DC398" s="1"/>
      <c r="DD398" s="1"/>
      <c r="DE398" s="1"/>
      <c r="DF398" s="1"/>
      <c r="DG398" s="1"/>
      <c r="DH398" s="1"/>
      <c r="DI398" s="1"/>
      <c r="DJ398" s="1"/>
      <c r="DK398" s="1"/>
      <c r="DL398" s="1"/>
      <c r="DM398" s="1"/>
      <c r="DN398" s="1"/>
      <c r="DO398" s="1"/>
      <c r="DP398" s="1"/>
      <c r="DQ398" s="1"/>
      <c r="DR398" s="1"/>
      <c r="DS398" s="1"/>
      <c r="DT398" s="1"/>
      <c r="DU398" s="1"/>
      <c r="DV398" s="1"/>
      <c r="DW398" s="1"/>
      <c r="DX398" s="1"/>
      <c r="DY398" s="1"/>
      <c r="DZ398" s="1"/>
      <c r="EA398" s="1"/>
      <c r="EB398" s="1"/>
      <c r="EC398" s="1"/>
      <c r="ED398" s="1"/>
      <c r="EE398" s="1"/>
      <c r="EF398" s="1"/>
      <c r="EG398" s="1"/>
      <c r="EH398" s="1"/>
      <c r="EI398" s="1"/>
      <c r="EJ398" s="1"/>
      <c r="EK398" s="1"/>
      <c r="EL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c r="BS399" s="1"/>
      <c r="BT399" s="1"/>
      <c r="BU399" s="1"/>
      <c r="BV399" s="1"/>
      <c r="BW399" s="1"/>
      <c r="BX399" s="1"/>
      <c r="BY399" s="1"/>
      <c r="BZ399" s="1"/>
      <c r="CA399" s="1"/>
      <c r="CB399" s="1"/>
      <c r="CC399" s="1"/>
      <c r="CD399" s="1"/>
      <c r="CE399" s="1"/>
      <c r="CF399" s="1"/>
      <c r="CG399" s="1"/>
      <c r="CH399" s="1"/>
      <c r="CI399" s="1"/>
      <c r="CJ399" s="1"/>
      <c r="CK399" s="1"/>
      <c r="CL399" s="1"/>
      <c r="CM399" s="1"/>
      <c r="CN399" s="1"/>
      <c r="CO399" s="1"/>
      <c r="CP399" s="1"/>
      <c r="CQ399" s="1"/>
      <c r="CR399" s="1"/>
      <c r="CS399" s="1"/>
      <c r="CT399" s="1"/>
      <c r="CU399" s="1"/>
      <c r="CV399" s="1"/>
      <c r="CW399" s="1"/>
      <c r="CX399" s="1"/>
      <c r="CY399" s="1"/>
      <c r="CZ399" s="1"/>
      <c r="DA399" s="1"/>
      <c r="DB399" s="1"/>
      <c r="DC399" s="1"/>
      <c r="DD399" s="1"/>
      <c r="DE399" s="1"/>
      <c r="DF399" s="1"/>
      <c r="DG399" s="1"/>
      <c r="DH399" s="1"/>
      <c r="DI399" s="1"/>
      <c r="DJ399" s="1"/>
      <c r="DK399" s="1"/>
      <c r="DL399" s="1"/>
      <c r="DM399" s="1"/>
      <c r="DN399" s="1"/>
      <c r="DO399" s="1"/>
      <c r="DP399" s="1"/>
      <c r="DQ399" s="1"/>
      <c r="DR399" s="1"/>
      <c r="DS399" s="1"/>
      <c r="DT399" s="1"/>
      <c r="DU399" s="1"/>
      <c r="DV399" s="1"/>
      <c r="DW399" s="1"/>
      <c r="DX399" s="1"/>
      <c r="DY399" s="1"/>
      <c r="DZ399" s="1"/>
      <c r="EA399" s="1"/>
      <c r="EB399" s="1"/>
      <c r="EC399" s="1"/>
      <c r="ED399" s="1"/>
      <c r="EE399" s="1"/>
      <c r="EF399" s="1"/>
      <c r="EG399" s="1"/>
      <c r="EH399" s="1"/>
      <c r="EI399" s="1"/>
      <c r="EJ399" s="1"/>
      <c r="EK399" s="1"/>
      <c r="EL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c r="BR400" s="1"/>
      <c r="BS400" s="1"/>
      <c r="BT400" s="1"/>
      <c r="BU400" s="1"/>
      <c r="BV400" s="1"/>
      <c r="BW400" s="1"/>
      <c r="BX400" s="1"/>
      <c r="BY400" s="1"/>
      <c r="BZ400" s="1"/>
      <c r="CA400" s="1"/>
      <c r="CB400" s="1"/>
      <c r="CC400" s="1"/>
      <c r="CD400" s="1"/>
      <c r="CE400" s="1"/>
      <c r="CF400" s="1"/>
      <c r="CG400" s="1"/>
      <c r="CH400" s="1"/>
      <c r="CI400" s="1"/>
      <c r="CJ400" s="1"/>
      <c r="CK400" s="1"/>
      <c r="CL400" s="1"/>
      <c r="CM400" s="1"/>
      <c r="CN400" s="1"/>
      <c r="CO400" s="1"/>
      <c r="CP400" s="1"/>
      <c r="CQ400" s="1"/>
      <c r="CR400" s="1"/>
      <c r="CS400" s="1"/>
      <c r="CT400" s="1"/>
      <c r="CU400" s="1"/>
      <c r="CV400" s="1"/>
      <c r="CW400" s="1"/>
      <c r="CX400" s="1"/>
      <c r="CY400" s="1"/>
      <c r="CZ400" s="1"/>
      <c r="DA400" s="1"/>
      <c r="DB400" s="1"/>
      <c r="DC400" s="1"/>
      <c r="DD400" s="1"/>
      <c r="DE400" s="1"/>
      <c r="DF400" s="1"/>
      <c r="DG400" s="1"/>
      <c r="DH400" s="1"/>
      <c r="DI400" s="1"/>
      <c r="DJ400" s="1"/>
      <c r="DK400" s="1"/>
      <c r="DL400" s="1"/>
      <c r="DM400" s="1"/>
      <c r="DN400" s="1"/>
      <c r="DO400" s="1"/>
      <c r="DP400" s="1"/>
      <c r="DQ400" s="1"/>
      <c r="DR400" s="1"/>
      <c r="DS400" s="1"/>
      <c r="DT400" s="1"/>
      <c r="DU400" s="1"/>
      <c r="DV400" s="1"/>
      <c r="DW400" s="1"/>
      <c r="DX400" s="1"/>
      <c r="DY400" s="1"/>
      <c r="DZ400" s="1"/>
      <c r="EA400" s="1"/>
      <c r="EB400" s="1"/>
      <c r="EC400" s="1"/>
      <c r="ED400" s="1"/>
      <c r="EE400" s="1"/>
      <c r="EF400" s="1"/>
      <c r="EG400" s="1"/>
      <c r="EH400" s="1"/>
      <c r="EI400" s="1"/>
      <c r="EJ400" s="1"/>
      <c r="EK400" s="1"/>
      <c r="EL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c r="BR401" s="1"/>
      <c r="BS401" s="1"/>
      <c r="BT401" s="1"/>
      <c r="BU401" s="1"/>
      <c r="BV401" s="1"/>
      <c r="BW401" s="1"/>
      <c r="BX401" s="1"/>
      <c r="BY401" s="1"/>
      <c r="BZ401" s="1"/>
      <c r="CA401" s="1"/>
      <c r="CB401" s="1"/>
      <c r="CC401" s="1"/>
      <c r="CD401" s="1"/>
      <c r="CE401" s="1"/>
      <c r="CF401" s="1"/>
      <c r="CG401" s="1"/>
      <c r="CH401" s="1"/>
      <c r="CI401" s="1"/>
      <c r="CJ401" s="1"/>
      <c r="CK401" s="1"/>
      <c r="CL401" s="1"/>
      <c r="CM401" s="1"/>
      <c r="CN401" s="1"/>
      <c r="CO401" s="1"/>
      <c r="CP401" s="1"/>
      <c r="CQ401" s="1"/>
      <c r="CR401" s="1"/>
      <c r="CS401" s="1"/>
      <c r="CT401" s="1"/>
      <c r="CU401" s="1"/>
      <c r="CV401" s="1"/>
      <c r="CW401" s="1"/>
      <c r="CX401" s="1"/>
      <c r="CY401" s="1"/>
      <c r="CZ401" s="1"/>
      <c r="DA401" s="1"/>
      <c r="DB401" s="1"/>
      <c r="DC401" s="1"/>
      <c r="DD401" s="1"/>
      <c r="DE401" s="1"/>
      <c r="DF401" s="1"/>
      <c r="DG401" s="1"/>
      <c r="DH401" s="1"/>
      <c r="DI401" s="1"/>
      <c r="DJ401" s="1"/>
      <c r="DK401" s="1"/>
      <c r="DL401" s="1"/>
      <c r="DM401" s="1"/>
      <c r="DN401" s="1"/>
      <c r="DO401" s="1"/>
      <c r="DP401" s="1"/>
      <c r="DQ401" s="1"/>
      <c r="DR401" s="1"/>
      <c r="DS401" s="1"/>
      <c r="DT401" s="1"/>
      <c r="DU401" s="1"/>
      <c r="DV401" s="1"/>
      <c r="DW401" s="1"/>
      <c r="DX401" s="1"/>
      <c r="DY401" s="1"/>
      <c r="DZ401" s="1"/>
      <c r="EA401" s="1"/>
      <c r="EB401" s="1"/>
      <c r="EC401" s="1"/>
      <c r="ED401" s="1"/>
      <c r="EE401" s="1"/>
      <c r="EF401" s="1"/>
      <c r="EG401" s="1"/>
      <c r="EH401" s="1"/>
      <c r="EI401" s="1"/>
      <c r="EJ401" s="1"/>
      <c r="EK401" s="1"/>
      <c r="EL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c r="BR402" s="1"/>
      <c r="BS402" s="1"/>
      <c r="BT402" s="1"/>
      <c r="BU402" s="1"/>
      <c r="BV402" s="1"/>
      <c r="BW402" s="1"/>
      <c r="BX402" s="1"/>
      <c r="BY402" s="1"/>
      <c r="BZ402" s="1"/>
      <c r="CA402" s="1"/>
      <c r="CB402" s="1"/>
      <c r="CC402" s="1"/>
      <c r="CD402" s="1"/>
      <c r="CE402" s="1"/>
      <c r="CF402" s="1"/>
      <c r="CG402" s="1"/>
      <c r="CH402" s="1"/>
      <c r="CI402" s="1"/>
      <c r="CJ402" s="1"/>
      <c r="CK402" s="1"/>
      <c r="CL402" s="1"/>
      <c r="CM402" s="1"/>
      <c r="CN402" s="1"/>
      <c r="CO402" s="1"/>
      <c r="CP402" s="1"/>
      <c r="CQ402" s="1"/>
      <c r="CR402" s="1"/>
      <c r="CS402" s="1"/>
      <c r="CT402" s="1"/>
      <c r="CU402" s="1"/>
      <c r="CV402" s="1"/>
      <c r="CW402" s="1"/>
      <c r="CX402" s="1"/>
      <c r="CY402" s="1"/>
      <c r="CZ402" s="1"/>
      <c r="DA402" s="1"/>
      <c r="DB402" s="1"/>
      <c r="DC402" s="1"/>
      <c r="DD402" s="1"/>
      <c r="DE402" s="1"/>
      <c r="DF402" s="1"/>
      <c r="DG402" s="1"/>
      <c r="DH402" s="1"/>
      <c r="DI402" s="1"/>
      <c r="DJ402" s="1"/>
      <c r="DK402" s="1"/>
      <c r="DL402" s="1"/>
      <c r="DM402" s="1"/>
      <c r="DN402" s="1"/>
      <c r="DO402" s="1"/>
      <c r="DP402" s="1"/>
      <c r="DQ402" s="1"/>
      <c r="DR402" s="1"/>
      <c r="DS402" s="1"/>
      <c r="DT402" s="1"/>
      <c r="DU402" s="1"/>
      <c r="DV402" s="1"/>
      <c r="DW402" s="1"/>
      <c r="DX402" s="1"/>
      <c r="DY402" s="1"/>
      <c r="DZ402" s="1"/>
      <c r="EA402" s="1"/>
      <c r="EB402" s="1"/>
      <c r="EC402" s="1"/>
      <c r="ED402" s="1"/>
      <c r="EE402" s="1"/>
      <c r="EF402" s="1"/>
      <c r="EG402" s="1"/>
      <c r="EH402" s="1"/>
      <c r="EI402" s="1"/>
      <c r="EJ402" s="1"/>
      <c r="EK402" s="1"/>
      <c r="EL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c r="BR403" s="1"/>
      <c r="BS403" s="1"/>
      <c r="BT403" s="1"/>
      <c r="BU403" s="1"/>
      <c r="BV403" s="1"/>
      <c r="BW403" s="1"/>
      <c r="BX403" s="1"/>
      <c r="BY403" s="1"/>
      <c r="BZ403" s="1"/>
      <c r="CA403" s="1"/>
      <c r="CB403" s="1"/>
      <c r="CC403" s="1"/>
      <c r="CD403" s="1"/>
      <c r="CE403" s="1"/>
      <c r="CF403" s="1"/>
      <c r="CG403" s="1"/>
      <c r="CH403" s="1"/>
      <c r="CI403" s="1"/>
      <c r="CJ403" s="1"/>
      <c r="CK403" s="1"/>
      <c r="CL403" s="1"/>
      <c r="CM403" s="1"/>
      <c r="CN403" s="1"/>
      <c r="CO403" s="1"/>
      <c r="CP403" s="1"/>
      <c r="CQ403" s="1"/>
      <c r="CR403" s="1"/>
      <c r="CS403" s="1"/>
      <c r="CT403" s="1"/>
      <c r="CU403" s="1"/>
      <c r="CV403" s="1"/>
      <c r="CW403" s="1"/>
      <c r="CX403" s="1"/>
      <c r="CY403" s="1"/>
      <c r="CZ403" s="1"/>
      <c r="DA403" s="1"/>
      <c r="DB403" s="1"/>
      <c r="DC403" s="1"/>
      <c r="DD403" s="1"/>
      <c r="DE403" s="1"/>
      <c r="DF403" s="1"/>
      <c r="DG403" s="1"/>
      <c r="DH403" s="1"/>
      <c r="DI403" s="1"/>
      <c r="DJ403" s="1"/>
      <c r="DK403" s="1"/>
      <c r="DL403" s="1"/>
      <c r="DM403" s="1"/>
      <c r="DN403" s="1"/>
      <c r="DO403" s="1"/>
      <c r="DP403" s="1"/>
      <c r="DQ403" s="1"/>
      <c r="DR403" s="1"/>
      <c r="DS403" s="1"/>
      <c r="DT403" s="1"/>
      <c r="DU403" s="1"/>
      <c r="DV403" s="1"/>
      <c r="DW403" s="1"/>
      <c r="DX403" s="1"/>
      <c r="DY403" s="1"/>
      <c r="DZ403" s="1"/>
      <c r="EA403" s="1"/>
      <c r="EB403" s="1"/>
      <c r="EC403" s="1"/>
      <c r="ED403" s="1"/>
      <c r="EE403" s="1"/>
      <c r="EF403" s="1"/>
      <c r="EG403" s="1"/>
      <c r="EH403" s="1"/>
      <c r="EI403" s="1"/>
      <c r="EJ403" s="1"/>
      <c r="EK403" s="1"/>
      <c r="EL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c r="BR404" s="1"/>
      <c r="BS404" s="1"/>
      <c r="BT404" s="1"/>
      <c r="BU404" s="1"/>
      <c r="BV404" s="1"/>
      <c r="BW404" s="1"/>
      <c r="BX404" s="1"/>
      <c r="BY404" s="1"/>
      <c r="BZ404" s="1"/>
      <c r="CA404" s="1"/>
      <c r="CB404" s="1"/>
      <c r="CC404" s="1"/>
      <c r="CD404" s="1"/>
      <c r="CE404" s="1"/>
      <c r="CF404" s="1"/>
      <c r="CG404" s="1"/>
      <c r="CH404" s="1"/>
      <c r="CI404" s="1"/>
      <c r="CJ404" s="1"/>
      <c r="CK404" s="1"/>
      <c r="CL404" s="1"/>
      <c r="CM404" s="1"/>
      <c r="CN404" s="1"/>
      <c r="CO404" s="1"/>
      <c r="CP404" s="1"/>
      <c r="CQ404" s="1"/>
      <c r="CR404" s="1"/>
      <c r="CS404" s="1"/>
      <c r="CT404" s="1"/>
      <c r="CU404" s="1"/>
      <c r="CV404" s="1"/>
      <c r="CW404" s="1"/>
      <c r="CX404" s="1"/>
      <c r="CY404" s="1"/>
      <c r="CZ404" s="1"/>
      <c r="DA404" s="1"/>
      <c r="DB404" s="1"/>
      <c r="DC404" s="1"/>
      <c r="DD404" s="1"/>
      <c r="DE404" s="1"/>
      <c r="DF404" s="1"/>
      <c r="DG404" s="1"/>
      <c r="DH404" s="1"/>
      <c r="DI404" s="1"/>
      <c r="DJ404" s="1"/>
      <c r="DK404" s="1"/>
      <c r="DL404" s="1"/>
      <c r="DM404" s="1"/>
      <c r="DN404" s="1"/>
      <c r="DO404" s="1"/>
      <c r="DP404" s="1"/>
      <c r="DQ404" s="1"/>
      <c r="DR404" s="1"/>
      <c r="DS404" s="1"/>
      <c r="DT404" s="1"/>
      <c r="DU404" s="1"/>
      <c r="DV404" s="1"/>
      <c r="DW404" s="1"/>
      <c r="DX404" s="1"/>
      <c r="DY404" s="1"/>
      <c r="DZ404" s="1"/>
      <c r="EA404" s="1"/>
      <c r="EB404" s="1"/>
      <c r="EC404" s="1"/>
      <c r="ED404" s="1"/>
      <c r="EE404" s="1"/>
      <c r="EF404" s="1"/>
      <c r="EG404" s="1"/>
      <c r="EH404" s="1"/>
      <c r="EI404" s="1"/>
      <c r="EJ404" s="1"/>
      <c r="EK404" s="1"/>
      <c r="EL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c r="BR405" s="1"/>
      <c r="BS405" s="1"/>
      <c r="BT405" s="1"/>
      <c r="BU405" s="1"/>
      <c r="BV405" s="1"/>
      <c r="BW405" s="1"/>
      <c r="BX405" s="1"/>
      <c r="BY405" s="1"/>
      <c r="BZ405" s="1"/>
      <c r="CA405" s="1"/>
      <c r="CB405" s="1"/>
      <c r="CC405" s="1"/>
      <c r="CD405" s="1"/>
      <c r="CE405" s="1"/>
      <c r="CF405" s="1"/>
      <c r="CG405" s="1"/>
      <c r="CH405" s="1"/>
      <c r="CI405" s="1"/>
      <c r="CJ405" s="1"/>
      <c r="CK405" s="1"/>
      <c r="CL405" s="1"/>
      <c r="CM405" s="1"/>
      <c r="CN405" s="1"/>
      <c r="CO405" s="1"/>
      <c r="CP405" s="1"/>
      <c r="CQ405" s="1"/>
      <c r="CR405" s="1"/>
      <c r="CS405" s="1"/>
      <c r="CT405" s="1"/>
      <c r="CU405" s="1"/>
      <c r="CV405" s="1"/>
      <c r="CW405" s="1"/>
      <c r="CX405" s="1"/>
      <c r="CY405" s="1"/>
      <c r="CZ405" s="1"/>
      <c r="DA405" s="1"/>
      <c r="DB405" s="1"/>
      <c r="DC405" s="1"/>
      <c r="DD405" s="1"/>
      <c r="DE405" s="1"/>
      <c r="DF405" s="1"/>
      <c r="DG405" s="1"/>
      <c r="DH405" s="1"/>
      <c r="DI405" s="1"/>
      <c r="DJ405" s="1"/>
      <c r="DK405" s="1"/>
      <c r="DL405" s="1"/>
      <c r="DM405" s="1"/>
      <c r="DN405" s="1"/>
      <c r="DO405" s="1"/>
      <c r="DP405" s="1"/>
      <c r="DQ405" s="1"/>
      <c r="DR405" s="1"/>
      <c r="DS405" s="1"/>
      <c r="DT405" s="1"/>
      <c r="DU405" s="1"/>
      <c r="DV405" s="1"/>
      <c r="DW405" s="1"/>
      <c r="DX405" s="1"/>
      <c r="DY405" s="1"/>
      <c r="DZ405" s="1"/>
      <c r="EA405" s="1"/>
      <c r="EB405" s="1"/>
      <c r="EC405" s="1"/>
      <c r="ED405" s="1"/>
      <c r="EE405" s="1"/>
      <c r="EF405" s="1"/>
      <c r="EG405" s="1"/>
      <c r="EH405" s="1"/>
      <c r="EI405" s="1"/>
      <c r="EJ405" s="1"/>
      <c r="EK405" s="1"/>
      <c r="EL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c r="BR406" s="1"/>
      <c r="BS406" s="1"/>
      <c r="BT406" s="1"/>
      <c r="BU406" s="1"/>
      <c r="BV406" s="1"/>
      <c r="BW406" s="1"/>
      <c r="BX406" s="1"/>
      <c r="BY406" s="1"/>
      <c r="BZ406" s="1"/>
      <c r="CA406" s="1"/>
      <c r="CB406" s="1"/>
      <c r="CC406" s="1"/>
      <c r="CD406" s="1"/>
      <c r="CE406" s="1"/>
      <c r="CF406" s="1"/>
      <c r="CG406" s="1"/>
      <c r="CH406" s="1"/>
      <c r="CI406" s="1"/>
      <c r="CJ406" s="1"/>
      <c r="CK406" s="1"/>
      <c r="CL406" s="1"/>
      <c r="CM406" s="1"/>
      <c r="CN406" s="1"/>
      <c r="CO406" s="1"/>
      <c r="CP406" s="1"/>
      <c r="CQ406" s="1"/>
      <c r="CR406" s="1"/>
      <c r="CS406" s="1"/>
      <c r="CT406" s="1"/>
      <c r="CU406" s="1"/>
      <c r="CV406" s="1"/>
      <c r="CW406" s="1"/>
      <c r="CX406" s="1"/>
      <c r="CY406" s="1"/>
      <c r="CZ406" s="1"/>
      <c r="DA406" s="1"/>
      <c r="DB406" s="1"/>
      <c r="DC406" s="1"/>
      <c r="DD406" s="1"/>
      <c r="DE406" s="1"/>
      <c r="DF406" s="1"/>
      <c r="DG406" s="1"/>
      <c r="DH406" s="1"/>
      <c r="DI406" s="1"/>
      <c r="DJ406" s="1"/>
      <c r="DK406" s="1"/>
      <c r="DL406" s="1"/>
      <c r="DM406" s="1"/>
      <c r="DN406" s="1"/>
      <c r="DO406" s="1"/>
      <c r="DP406" s="1"/>
      <c r="DQ406" s="1"/>
      <c r="DR406" s="1"/>
      <c r="DS406" s="1"/>
      <c r="DT406" s="1"/>
      <c r="DU406" s="1"/>
      <c r="DV406" s="1"/>
      <c r="DW406" s="1"/>
      <c r="DX406" s="1"/>
      <c r="DY406" s="1"/>
      <c r="DZ406" s="1"/>
      <c r="EA406" s="1"/>
      <c r="EB406" s="1"/>
      <c r="EC406" s="1"/>
      <c r="ED406" s="1"/>
      <c r="EE406" s="1"/>
      <c r="EF406" s="1"/>
      <c r="EG406" s="1"/>
      <c r="EH406" s="1"/>
      <c r="EI406" s="1"/>
      <c r="EJ406" s="1"/>
      <c r="EK406" s="1"/>
      <c r="EL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c r="BR407" s="1"/>
      <c r="BS407" s="1"/>
      <c r="BT407" s="1"/>
      <c r="BU407" s="1"/>
      <c r="BV407" s="1"/>
      <c r="BW407" s="1"/>
      <c r="BX407" s="1"/>
      <c r="BY407" s="1"/>
      <c r="BZ407" s="1"/>
      <c r="CA407" s="1"/>
      <c r="CB407" s="1"/>
      <c r="CC407" s="1"/>
      <c r="CD407" s="1"/>
      <c r="CE407" s="1"/>
      <c r="CF407" s="1"/>
      <c r="CG407" s="1"/>
      <c r="CH407" s="1"/>
      <c r="CI407" s="1"/>
      <c r="CJ407" s="1"/>
      <c r="CK407" s="1"/>
      <c r="CL407" s="1"/>
      <c r="CM407" s="1"/>
      <c r="CN407" s="1"/>
      <c r="CO407" s="1"/>
      <c r="CP407" s="1"/>
      <c r="CQ407" s="1"/>
      <c r="CR407" s="1"/>
      <c r="CS407" s="1"/>
      <c r="CT407" s="1"/>
      <c r="CU407" s="1"/>
      <c r="CV407" s="1"/>
      <c r="CW407" s="1"/>
      <c r="CX407" s="1"/>
      <c r="CY407" s="1"/>
      <c r="CZ407" s="1"/>
      <c r="DA407" s="1"/>
      <c r="DB407" s="1"/>
      <c r="DC407" s="1"/>
      <c r="DD407" s="1"/>
      <c r="DE407" s="1"/>
      <c r="DF407" s="1"/>
      <c r="DG407" s="1"/>
      <c r="DH407" s="1"/>
      <c r="DI407" s="1"/>
      <c r="DJ407" s="1"/>
      <c r="DK407" s="1"/>
      <c r="DL407" s="1"/>
      <c r="DM407" s="1"/>
      <c r="DN407" s="1"/>
      <c r="DO407" s="1"/>
      <c r="DP407" s="1"/>
      <c r="DQ407" s="1"/>
      <c r="DR407" s="1"/>
      <c r="DS407" s="1"/>
      <c r="DT407" s="1"/>
      <c r="DU407" s="1"/>
      <c r="DV407" s="1"/>
      <c r="DW407" s="1"/>
      <c r="DX407" s="1"/>
      <c r="DY407" s="1"/>
      <c r="DZ407" s="1"/>
      <c r="EA407" s="1"/>
      <c r="EB407" s="1"/>
      <c r="EC407" s="1"/>
      <c r="ED407" s="1"/>
      <c r="EE407" s="1"/>
      <c r="EF407" s="1"/>
      <c r="EG407" s="1"/>
      <c r="EH407" s="1"/>
      <c r="EI407" s="1"/>
      <c r="EJ407" s="1"/>
      <c r="EK407" s="1"/>
      <c r="EL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c r="BR408" s="1"/>
      <c r="BS408" s="1"/>
      <c r="BT408" s="1"/>
      <c r="BU408" s="1"/>
      <c r="BV408" s="1"/>
      <c r="BW408" s="1"/>
      <c r="BX408" s="1"/>
      <c r="BY408" s="1"/>
      <c r="BZ408" s="1"/>
      <c r="CA408" s="1"/>
      <c r="CB408" s="1"/>
      <c r="CC408" s="1"/>
      <c r="CD408" s="1"/>
      <c r="CE408" s="1"/>
      <c r="CF408" s="1"/>
      <c r="CG408" s="1"/>
      <c r="CH408" s="1"/>
      <c r="CI408" s="1"/>
      <c r="CJ408" s="1"/>
      <c r="CK408" s="1"/>
      <c r="CL408" s="1"/>
      <c r="CM408" s="1"/>
      <c r="CN408" s="1"/>
      <c r="CO408" s="1"/>
      <c r="CP408" s="1"/>
      <c r="CQ408" s="1"/>
      <c r="CR408" s="1"/>
      <c r="CS408" s="1"/>
      <c r="CT408" s="1"/>
      <c r="CU408" s="1"/>
      <c r="CV408" s="1"/>
      <c r="CW408" s="1"/>
      <c r="CX408" s="1"/>
      <c r="CY408" s="1"/>
      <c r="CZ408" s="1"/>
      <c r="DA408" s="1"/>
      <c r="DB408" s="1"/>
      <c r="DC408" s="1"/>
      <c r="DD408" s="1"/>
      <c r="DE408" s="1"/>
      <c r="DF408" s="1"/>
      <c r="DG408" s="1"/>
      <c r="DH408" s="1"/>
      <c r="DI408" s="1"/>
      <c r="DJ408" s="1"/>
      <c r="DK408" s="1"/>
      <c r="DL408" s="1"/>
      <c r="DM408" s="1"/>
      <c r="DN408" s="1"/>
      <c r="DO408" s="1"/>
      <c r="DP408" s="1"/>
      <c r="DQ408" s="1"/>
      <c r="DR408" s="1"/>
      <c r="DS408" s="1"/>
      <c r="DT408" s="1"/>
      <c r="DU408" s="1"/>
      <c r="DV408" s="1"/>
      <c r="DW408" s="1"/>
      <c r="DX408" s="1"/>
      <c r="DY408" s="1"/>
      <c r="DZ408" s="1"/>
      <c r="EA408" s="1"/>
      <c r="EB408" s="1"/>
      <c r="EC408" s="1"/>
      <c r="ED408" s="1"/>
      <c r="EE408" s="1"/>
      <c r="EF408" s="1"/>
      <c r="EG408" s="1"/>
      <c r="EH408" s="1"/>
      <c r="EI408" s="1"/>
      <c r="EJ408" s="1"/>
      <c r="EK408" s="1"/>
      <c r="EL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c r="BR409" s="1"/>
      <c r="BS409" s="1"/>
      <c r="BT409" s="1"/>
      <c r="BU409" s="1"/>
      <c r="BV409" s="1"/>
      <c r="BW409" s="1"/>
      <c r="BX409" s="1"/>
      <c r="BY409" s="1"/>
      <c r="BZ409" s="1"/>
      <c r="CA409" s="1"/>
      <c r="CB409" s="1"/>
      <c r="CC409" s="1"/>
      <c r="CD409" s="1"/>
      <c r="CE409" s="1"/>
      <c r="CF409" s="1"/>
      <c r="CG409" s="1"/>
      <c r="CH409" s="1"/>
      <c r="CI409" s="1"/>
      <c r="CJ409" s="1"/>
      <c r="CK409" s="1"/>
      <c r="CL409" s="1"/>
      <c r="CM409" s="1"/>
      <c r="CN409" s="1"/>
      <c r="CO409" s="1"/>
      <c r="CP409" s="1"/>
      <c r="CQ409" s="1"/>
      <c r="CR409" s="1"/>
      <c r="CS409" s="1"/>
      <c r="CT409" s="1"/>
      <c r="CU409" s="1"/>
      <c r="CV409" s="1"/>
      <c r="CW409" s="1"/>
      <c r="CX409" s="1"/>
      <c r="CY409" s="1"/>
      <c r="CZ409" s="1"/>
      <c r="DA409" s="1"/>
      <c r="DB409" s="1"/>
      <c r="DC409" s="1"/>
      <c r="DD409" s="1"/>
      <c r="DE409" s="1"/>
      <c r="DF409" s="1"/>
      <c r="DG409" s="1"/>
      <c r="DH409" s="1"/>
      <c r="DI409" s="1"/>
      <c r="DJ409" s="1"/>
      <c r="DK409" s="1"/>
      <c r="DL409" s="1"/>
      <c r="DM409" s="1"/>
      <c r="DN409" s="1"/>
      <c r="DO409" s="1"/>
      <c r="DP409" s="1"/>
      <c r="DQ409" s="1"/>
      <c r="DR409" s="1"/>
      <c r="DS409" s="1"/>
      <c r="DT409" s="1"/>
      <c r="DU409" s="1"/>
      <c r="DV409" s="1"/>
      <c r="DW409" s="1"/>
      <c r="DX409" s="1"/>
      <c r="DY409" s="1"/>
      <c r="DZ409" s="1"/>
      <c r="EA409" s="1"/>
      <c r="EB409" s="1"/>
      <c r="EC409" s="1"/>
      <c r="ED409" s="1"/>
      <c r="EE409" s="1"/>
      <c r="EF409" s="1"/>
      <c r="EG409" s="1"/>
      <c r="EH409" s="1"/>
      <c r="EI409" s="1"/>
      <c r="EJ409" s="1"/>
      <c r="EK409" s="1"/>
      <c r="EL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c r="BR410" s="1"/>
      <c r="BS410" s="1"/>
      <c r="BT410" s="1"/>
      <c r="BU410" s="1"/>
      <c r="BV410" s="1"/>
      <c r="BW410" s="1"/>
      <c r="BX410" s="1"/>
      <c r="BY410" s="1"/>
      <c r="BZ410" s="1"/>
      <c r="CA410" s="1"/>
      <c r="CB410" s="1"/>
      <c r="CC410" s="1"/>
      <c r="CD410" s="1"/>
      <c r="CE410" s="1"/>
      <c r="CF410" s="1"/>
      <c r="CG410" s="1"/>
      <c r="CH410" s="1"/>
      <c r="CI410" s="1"/>
      <c r="CJ410" s="1"/>
      <c r="CK410" s="1"/>
      <c r="CL410" s="1"/>
      <c r="CM410" s="1"/>
      <c r="CN410" s="1"/>
      <c r="CO410" s="1"/>
      <c r="CP410" s="1"/>
      <c r="CQ410" s="1"/>
      <c r="CR410" s="1"/>
      <c r="CS410" s="1"/>
      <c r="CT410" s="1"/>
      <c r="CU410" s="1"/>
      <c r="CV410" s="1"/>
      <c r="CW410" s="1"/>
      <c r="CX410" s="1"/>
      <c r="CY410" s="1"/>
      <c r="CZ410" s="1"/>
      <c r="DA410" s="1"/>
      <c r="DB410" s="1"/>
      <c r="DC410" s="1"/>
      <c r="DD410" s="1"/>
      <c r="DE410" s="1"/>
      <c r="DF410" s="1"/>
      <c r="DG410" s="1"/>
      <c r="DH410" s="1"/>
      <c r="DI410" s="1"/>
      <c r="DJ410" s="1"/>
      <c r="DK410" s="1"/>
      <c r="DL410" s="1"/>
      <c r="DM410" s="1"/>
      <c r="DN410" s="1"/>
      <c r="DO410" s="1"/>
      <c r="DP410" s="1"/>
      <c r="DQ410" s="1"/>
      <c r="DR410" s="1"/>
      <c r="DS410" s="1"/>
      <c r="DT410" s="1"/>
      <c r="DU410" s="1"/>
      <c r="DV410" s="1"/>
      <c r="DW410" s="1"/>
      <c r="DX410" s="1"/>
      <c r="DY410" s="1"/>
      <c r="DZ410" s="1"/>
      <c r="EA410" s="1"/>
      <c r="EB410" s="1"/>
      <c r="EC410" s="1"/>
      <c r="ED410" s="1"/>
      <c r="EE410" s="1"/>
      <c r="EF410" s="1"/>
      <c r="EG410" s="1"/>
      <c r="EH410" s="1"/>
      <c r="EI410" s="1"/>
      <c r="EJ410" s="1"/>
      <c r="EK410" s="1"/>
      <c r="EL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c r="BS411" s="1"/>
      <c r="BT411" s="1"/>
      <c r="BU411" s="1"/>
      <c r="BV411" s="1"/>
      <c r="BW411" s="1"/>
      <c r="BX411" s="1"/>
      <c r="BY411" s="1"/>
      <c r="BZ411" s="1"/>
      <c r="CA411" s="1"/>
      <c r="CB411" s="1"/>
      <c r="CC411" s="1"/>
      <c r="CD411" s="1"/>
      <c r="CE411" s="1"/>
      <c r="CF411" s="1"/>
      <c r="CG411" s="1"/>
      <c r="CH411" s="1"/>
      <c r="CI411" s="1"/>
      <c r="CJ411" s="1"/>
      <c r="CK411" s="1"/>
      <c r="CL411" s="1"/>
      <c r="CM411" s="1"/>
      <c r="CN411" s="1"/>
      <c r="CO411" s="1"/>
      <c r="CP411" s="1"/>
      <c r="CQ411" s="1"/>
      <c r="CR411" s="1"/>
      <c r="CS411" s="1"/>
      <c r="CT411" s="1"/>
      <c r="CU411" s="1"/>
      <c r="CV411" s="1"/>
      <c r="CW411" s="1"/>
      <c r="CX411" s="1"/>
      <c r="CY411" s="1"/>
      <c r="CZ411" s="1"/>
      <c r="DA411" s="1"/>
      <c r="DB411" s="1"/>
      <c r="DC411" s="1"/>
      <c r="DD411" s="1"/>
      <c r="DE411" s="1"/>
      <c r="DF411" s="1"/>
      <c r="DG411" s="1"/>
      <c r="DH411" s="1"/>
      <c r="DI411" s="1"/>
      <c r="DJ411" s="1"/>
      <c r="DK411" s="1"/>
      <c r="DL411" s="1"/>
      <c r="DM411" s="1"/>
      <c r="DN411" s="1"/>
      <c r="DO411" s="1"/>
      <c r="DP411" s="1"/>
      <c r="DQ411" s="1"/>
      <c r="DR411" s="1"/>
      <c r="DS411" s="1"/>
      <c r="DT411" s="1"/>
      <c r="DU411" s="1"/>
      <c r="DV411" s="1"/>
      <c r="DW411" s="1"/>
      <c r="DX411" s="1"/>
      <c r="DY411" s="1"/>
      <c r="DZ411" s="1"/>
      <c r="EA411" s="1"/>
      <c r="EB411" s="1"/>
      <c r="EC411" s="1"/>
      <c r="ED411" s="1"/>
      <c r="EE411" s="1"/>
      <c r="EF411" s="1"/>
      <c r="EG411" s="1"/>
      <c r="EH411" s="1"/>
      <c r="EI411" s="1"/>
      <c r="EJ411" s="1"/>
      <c r="EK411" s="1"/>
      <c r="EL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c r="BR412" s="1"/>
      <c r="BS412" s="1"/>
      <c r="BT412" s="1"/>
      <c r="BU412" s="1"/>
      <c r="BV412" s="1"/>
      <c r="BW412" s="1"/>
      <c r="BX412" s="1"/>
      <c r="BY412" s="1"/>
      <c r="BZ412" s="1"/>
      <c r="CA412" s="1"/>
      <c r="CB412" s="1"/>
      <c r="CC412" s="1"/>
      <c r="CD412" s="1"/>
      <c r="CE412" s="1"/>
      <c r="CF412" s="1"/>
      <c r="CG412" s="1"/>
      <c r="CH412" s="1"/>
      <c r="CI412" s="1"/>
      <c r="CJ412" s="1"/>
      <c r="CK412" s="1"/>
      <c r="CL412" s="1"/>
      <c r="CM412" s="1"/>
      <c r="CN412" s="1"/>
      <c r="CO412" s="1"/>
      <c r="CP412" s="1"/>
      <c r="CQ412" s="1"/>
      <c r="CR412" s="1"/>
      <c r="CS412" s="1"/>
      <c r="CT412" s="1"/>
      <c r="CU412" s="1"/>
      <c r="CV412" s="1"/>
      <c r="CW412" s="1"/>
      <c r="CX412" s="1"/>
      <c r="CY412" s="1"/>
      <c r="CZ412" s="1"/>
      <c r="DA412" s="1"/>
      <c r="DB412" s="1"/>
      <c r="DC412" s="1"/>
      <c r="DD412" s="1"/>
      <c r="DE412" s="1"/>
      <c r="DF412" s="1"/>
      <c r="DG412" s="1"/>
      <c r="DH412" s="1"/>
      <c r="DI412" s="1"/>
      <c r="DJ412" s="1"/>
      <c r="DK412" s="1"/>
      <c r="DL412" s="1"/>
      <c r="DM412" s="1"/>
      <c r="DN412" s="1"/>
      <c r="DO412" s="1"/>
      <c r="DP412" s="1"/>
      <c r="DQ412" s="1"/>
      <c r="DR412" s="1"/>
      <c r="DS412" s="1"/>
      <c r="DT412" s="1"/>
      <c r="DU412" s="1"/>
      <c r="DV412" s="1"/>
      <c r="DW412" s="1"/>
      <c r="DX412" s="1"/>
      <c r="DY412" s="1"/>
      <c r="DZ412" s="1"/>
      <c r="EA412" s="1"/>
      <c r="EB412" s="1"/>
      <c r="EC412" s="1"/>
      <c r="ED412" s="1"/>
      <c r="EE412" s="1"/>
      <c r="EF412" s="1"/>
      <c r="EG412" s="1"/>
      <c r="EH412" s="1"/>
      <c r="EI412" s="1"/>
      <c r="EJ412" s="1"/>
      <c r="EK412" s="1"/>
      <c r="EL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c r="BR413" s="1"/>
      <c r="BS413" s="1"/>
      <c r="BT413" s="1"/>
      <c r="BU413" s="1"/>
      <c r="BV413" s="1"/>
      <c r="BW413" s="1"/>
      <c r="BX413" s="1"/>
      <c r="BY413" s="1"/>
      <c r="BZ413" s="1"/>
      <c r="CA413" s="1"/>
      <c r="CB413" s="1"/>
      <c r="CC413" s="1"/>
      <c r="CD413" s="1"/>
      <c r="CE413" s="1"/>
      <c r="CF413" s="1"/>
      <c r="CG413" s="1"/>
      <c r="CH413" s="1"/>
      <c r="CI413" s="1"/>
      <c r="CJ413" s="1"/>
      <c r="CK413" s="1"/>
      <c r="CL413" s="1"/>
      <c r="CM413" s="1"/>
      <c r="CN413" s="1"/>
      <c r="CO413" s="1"/>
      <c r="CP413" s="1"/>
      <c r="CQ413" s="1"/>
      <c r="CR413" s="1"/>
      <c r="CS413" s="1"/>
      <c r="CT413" s="1"/>
      <c r="CU413" s="1"/>
      <c r="CV413" s="1"/>
      <c r="CW413" s="1"/>
      <c r="CX413" s="1"/>
      <c r="CY413" s="1"/>
      <c r="CZ413" s="1"/>
      <c r="DA413" s="1"/>
      <c r="DB413" s="1"/>
      <c r="DC413" s="1"/>
      <c r="DD413" s="1"/>
      <c r="DE413" s="1"/>
      <c r="DF413" s="1"/>
      <c r="DG413" s="1"/>
      <c r="DH413" s="1"/>
      <c r="DI413" s="1"/>
      <c r="DJ413" s="1"/>
      <c r="DK413" s="1"/>
      <c r="DL413" s="1"/>
      <c r="DM413" s="1"/>
      <c r="DN413" s="1"/>
      <c r="DO413" s="1"/>
      <c r="DP413" s="1"/>
      <c r="DQ413" s="1"/>
      <c r="DR413" s="1"/>
      <c r="DS413" s="1"/>
      <c r="DT413" s="1"/>
      <c r="DU413" s="1"/>
      <c r="DV413" s="1"/>
      <c r="DW413" s="1"/>
      <c r="DX413" s="1"/>
      <c r="DY413" s="1"/>
      <c r="DZ413" s="1"/>
      <c r="EA413" s="1"/>
      <c r="EB413" s="1"/>
      <c r="EC413" s="1"/>
      <c r="ED413" s="1"/>
      <c r="EE413" s="1"/>
      <c r="EF413" s="1"/>
      <c r="EG413" s="1"/>
      <c r="EH413" s="1"/>
      <c r="EI413" s="1"/>
      <c r="EJ413" s="1"/>
      <c r="EK413" s="1"/>
      <c r="EL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c r="BS414" s="1"/>
      <c r="BT414" s="1"/>
      <c r="BU414" s="1"/>
      <c r="BV414" s="1"/>
      <c r="BW414" s="1"/>
      <c r="BX414" s="1"/>
      <c r="BY414" s="1"/>
      <c r="BZ414" s="1"/>
      <c r="CA414" s="1"/>
      <c r="CB414" s="1"/>
      <c r="CC414" s="1"/>
      <c r="CD414" s="1"/>
      <c r="CE414" s="1"/>
      <c r="CF414" s="1"/>
      <c r="CG414" s="1"/>
      <c r="CH414" s="1"/>
      <c r="CI414" s="1"/>
      <c r="CJ414" s="1"/>
      <c r="CK414" s="1"/>
      <c r="CL414" s="1"/>
      <c r="CM414" s="1"/>
      <c r="CN414" s="1"/>
      <c r="CO414" s="1"/>
      <c r="CP414" s="1"/>
      <c r="CQ414" s="1"/>
      <c r="CR414" s="1"/>
      <c r="CS414" s="1"/>
      <c r="CT414" s="1"/>
      <c r="CU414" s="1"/>
      <c r="CV414" s="1"/>
      <c r="CW414" s="1"/>
      <c r="CX414" s="1"/>
      <c r="CY414" s="1"/>
      <c r="CZ414" s="1"/>
      <c r="DA414" s="1"/>
      <c r="DB414" s="1"/>
      <c r="DC414" s="1"/>
      <c r="DD414" s="1"/>
      <c r="DE414" s="1"/>
      <c r="DF414" s="1"/>
      <c r="DG414" s="1"/>
      <c r="DH414" s="1"/>
      <c r="DI414" s="1"/>
      <c r="DJ414" s="1"/>
      <c r="DK414" s="1"/>
      <c r="DL414" s="1"/>
      <c r="DM414" s="1"/>
      <c r="DN414" s="1"/>
      <c r="DO414" s="1"/>
      <c r="DP414" s="1"/>
      <c r="DQ414" s="1"/>
      <c r="DR414" s="1"/>
      <c r="DS414" s="1"/>
      <c r="DT414" s="1"/>
      <c r="DU414" s="1"/>
      <c r="DV414" s="1"/>
      <c r="DW414" s="1"/>
      <c r="DX414" s="1"/>
      <c r="DY414" s="1"/>
      <c r="DZ414" s="1"/>
      <c r="EA414" s="1"/>
      <c r="EB414" s="1"/>
      <c r="EC414" s="1"/>
      <c r="ED414" s="1"/>
      <c r="EE414" s="1"/>
      <c r="EF414" s="1"/>
      <c r="EG414" s="1"/>
      <c r="EH414" s="1"/>
      <c r="EI414" s="1"/>
      <c r="EJ414" s="1"/>
      <c r="EK414" s="1"/>
      <c r="EL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c r="BS415" s="1"/>
      <c r="BT415" s="1"/>
      <c r="BU415" s="1"/>
      <c r="BV415" s="1"/>
      <c r="BW415" s="1"/>
      <c r="BX415" s="1"/>
      <c r="BY415" s="1"/>
      <c r="BZ415" s="1"/>
      <c r="CA415" s="1"/>
      <c r="CB415" s="1"/>
      <c r="CC415" s="1"/>
      <c r="CD415" s="1"/>
      <c r="CE415" s="1"/>
      <c r="CF415" s="1"/>
      <c r="CG415" s="1"/>
      <c r="CH415" s="1"/>
      <c r="CI415" s="1"/>
      <c r="CJ415" s="1"/>
      <c r="CK415" s="1"/>
      <c r="CL415" s="1"/>
      <c r="CM415" s="1"/>
      <c r="CN415" s="1"/>
      <c r="CO415" s="1"/>
      <c r="CP415" s="1"/>
      <c r="CQ415" s="1"/>
      <c r="CR415" s="1"/>
      <c r="CS415" s="1"/>
      <c r="CT415" s="1"/>
      <c r="CU415" s="1"/>
      <c r="CV415" s="1"/>
      <c r="CW415" s="1"/>
      <c r="CX415" s="1"/>
      <c r="CY415" s="1"/>
      <c r="CZ415" s="1"/>
      <c r="DA415" s="1"/>
      <c r="DB415" s="1"/>
      <c r="DC415" s="1"/>
      <c r="DD415" s="1"/>
      <c r="DE415" s="1"/>
      <c r="DF415" s="1"/>
      <c r="DG415" s="1"/>
      <c r="DH415" s="1"/>
      <c r="DI415" s="1"/>
      <c r="DJ415" s="1"/>
      <c r="DK415" s="1"/>
      <c r="DL415" s="1"/>
      <c r="DM415" s="1"/>
      <c r="DN415" s="1"/>
      <c r="DO415" s="1"/>
      <c r="DP415" s="1"/>
      <c r="DQ415" s="1"/>
      <c r="DR415" s="1"/>
      <c r="DS415" s="1"/>
      <c r="DT415" s="1"/>
      <c r="DU415" s="1"/>
      <c r="DV415" s="1"/>
      <c r="DW415" s="1"/>
      <c r="DX415" s="1"/>
      <c r="DY415" s="1"/>
      <c r="DZ415" s="1"/>
      <c r="EA415" s="1"/>
      <c r="EB415" s="1"/>
      <c r="EC415" s="1"/>
      <c r="ED415" s="1"/>
      <c r="EE415" s="1"/>
      <c r="EF415" s="1"/>
      <c r="EG415" s="1"/>
      <c r="EH415" s="1"/>
      <c r="EI415" s="1"/>
      <c r="EJ415" s="1"/>
      <c r="EK415" s="1"/>
      <c r="EL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c r="BR416" s="1"/>
      <c r="BS416" s="1"/>
      <c r="BT416" s="1"/>
      <c r="BU416" s="1"/>
      <c r="BV416" s="1"/>
      <c r="BW416" s="1"/>
      <c r="BX416" s="1"/>
      <c r="BY416" s="1"/>
      <c r="BZ416" s="1"/>
      <c r="CA416" s="1"/>
      <c r="CB416" s="1"/>
      <c r="CC416" s="1"/>
      <c r="CD416" s="1"/>
      <c r="CE416" s="1"/>
      <c r="CF416" s="1"/>
      <c r="CG416" s="1"/>
      <c r="CH416" s="1"/>
      <c r="CI416" s="1"/>
      <c r="CJ416" s="1"/>
      <c r="CK416" s="1"/>
      <c r="CL416" s="1"/>
      <c r="CM416" s="1"/>
      <c r="CN416" s="1"/>
      <c r="CO416" s="1"/>
      <c r="CP416" s="1"/>
      <c r="CQ416" s="1"/>
      <c r="CR416" s="1"/>
      <c r="CS416" s="1"/>
      <c r="CT416" s="1"/>
      <c r="CU416" s="1"/>
      <c r="CV416" s="1"/>
      <c r="CW416" s="1"/>
      <c r="CX416" s="1"/>
      <c r="CY416" s="1"/>
      <c r="CZ416" s="1"/>
      <c r="DA416" s="1"/>
      <c r="DB416" s="1"/>
      <c r="DC416" s="1"/>
      <c r="DD416" s="1"/>
      <c r="DE416" s="1"/>
      <c r="DF416" s="1"/>
      <c r="DG416" s="1"/>
      <c r="DH416" s="1"/>
      <c r="DI416" s="1"/>
      <c r="DJ416" s="1"/>
      <c r="DK416" s="1"/>
      <c r="DL416" s="1"/>
      <c r="DM416" s="1"/>
      <c r="DN416" s="1"/>
      <c r="DO416" s="1"/>
      <c r="DP416" s="1"/>
      <c r="DQ416" s="1"/>
      <c r="DR416" s="1"/>
      <c r="DS416" s="1"/>
      <c r="DT416" s="1"/>
      <c r="DU416" s="1"/>
      <c r="DV416" s="1"/>
      <c r="DW416" s="1"/>
      <c r="DX416" s="1"/>
      <c r="DY416" s="1"/>
      <c r="DZ416" s="1"/>
      <c r="EA416" s="1"/>
      <c r="EB416" s="1"/>
      <c r="EC416" s="1"/>
      <c r="ED416" s="1"/>
      <c r="EE416" s="1"/>
      <c r="EF416" s="1"/>
      <c r="EG416" s="1"/>
      <c r="EH416" s="1"/>
      <c r="EI416" s="1"/>
      <c r="EJ416" s="1"/>
      <c r="EK416" s="1"/>
      <c r="EL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c r="BR417" s="1"/>
      <c r="BS417" s="1"/>
      <c r="BT417" s="1"/>
      <c r="BU417" s="1"/>
      <c r="BV417" s="1"/>
      <c r="BW417" s="1"/>
      <c r="BX417" s="1"/>
      <c r="BY417" s="1"/>
      <c r="BZ417" s="1"/>
      <c r="CA417" s="1"/>
      <c r="CB417" s="1"/>
      <c r="CC417" s="1"/>
      <c r="CD417" s="1"/>
      <c r="CE417" s="1"/>
      <c r="CF417" s="1"/>
      <c r="CG417" s="1"/>
      <c r="CH417" s="1"/>
      <c r="CI417" s="1"/>
      <c r="CJ417" s="1"/>
      <c r="CK417" s="1"/>
      <c r="CL417" s="1"/>
      <c r="CM417" s="1"/>
      <c r="CN417" s="1"/>
      <c r="CO417" s="1"/>
      <c r="CP417" s="1"/>
      <c r="CQ417" s="1"/>
      <c r="CR417" s="1"/>
      <c r="CS417" s="1"/>
      <c r="CT417" s="1"/>
      <c r="CU417" s="1"/>
      <c r="CV417" s="1"/>
      <c r="CW417" s="1"/>
      <c r="CX417" s="1"/>
      <c r="CY417" s="1"/>
      <c r="CZ417" s="1"/>
      <c r="DA417" s="1"/>
      <c r="DB417" s="1"/>
      <c r="DC417" s="1"/>
      <c r="DD417" s="1"/>
      <c r="DE417" s="1"/>
      <c r="DF417" s="1"/>
      <c r="DG417" s="1"/>
      <c r="DH417" s="1"/>
      <c r="DI417" s="1"/>
      <c r="DJ417" s="1"/>
      <c r="DK417" s="1"/>
      <c r="DL417" s="1"/>
      <c r="DM417" s="1"/>
      <c r="DN417" s="1"/>
      <c r="DO417" s="1"/>
      <c r="DP417" s="1"/>
      <c r="DQ417" s="1"/>
      <c r="DR417" s="1"/>
      <c r="DS417" s="1"/>
      <c r="DT417" s="1"/>
      <c r="DU417" s="1"/>
      <c r="DV417" s="1"/>
      <c r="DW417" s="1"/>
      <c r="DX417" s="1"/>
      <c r="DY417" s="1"/>
      <c r="DZ417" s="1"/>
      <c r="EA417" s="1"/>
      <c r="EB417" s="1"/>
      <c r="EC417" s="1"/>
      <c r="ED417" s="1"/>
      <c r="EE417" s="1"/>
      <c r="EF417" s="1"/>
      <c r="EG417" s="1"/>
      <c r="EH417" s="1"/>
      <c r="EI417" s="1"/>
      <c r="EJ417" s="1"/>
      <c r="EK417" s="1"/>
      <c r="EL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c r="BR418" s="1"/>
      <c r="BS418" s="1"/>
      <c r="BT418" s="1"/>
      <c r="BU418" s="1"/>
      <c r="BV418" s="1"/>
      <c r="BW418" s="1"/>
      <c r="BX418" s="1"/>
      <c r="BY418" s="1"/>
      <c r="BZ418" s="1"/>
      <c r="CA418" s="1"/>
      <c r="CB418" s="1"/>
      <c r="CC418" s="1"/>
      <c r="CD418" s="1"/>
      <c r="CE418" s="1"/>
      <c r="CF418" s="1"/>
      <c r="CG418" s="1"/>
      <c r="CH418" s="1"/>
      <c r="CI418" s="1"/>
      <c r="CJ418" s="1"/>
      <c r="CK418" s="1"/>
      <c r="CL418" s="1"/>
      <c r="CM418" s="1"/>
      <c r="CN418" s="1"/>
      <c r="CO418" s="1"/>
      <c r="CP418" s="1"/>
      <c r="CQ418" s="1"/>
      <c r="CR418" s="1"/>
      <c r="CS418" s="1"/>
      <c r="CT418" s="1"/>
      <c r="CU418" s="1"/>
      <c r="CV418" s="1"/>
      <c r="CW418" s="1"/>
      <c r="CX418" s="1"/>
      <c r="CY418" s="1"/>
      <c r="CZ418" s="1"/>
      <c r="DA418" s="1"/>
      <c r="DB418" s="1"/>
      <c r="DC418" s="1"/>
      <c r="DD418" s="1"/>
      <c r="DE418" s="1"/>
      <c r="DF418" s="1"/>
      <c r="DG418" s="1"/>
      <c r="DH418" s="1"/>
      <c r="DI418" s="1"/>
      <c r="DJ418" s="1"/>
      <c r="DK418" s="1"/>
      <c r="DL418" s="1"/>
      <c r="DM418" s="1"/>
      <c r="DN418" s="1"/>
      <c r="DO418" s="1"/>
      <c r="DP418" s="1"/>
      <c r="DQ418" s="1"/>
      <c r="DR418" s="1"/>
      <c r="DS418" s="1"/>
      <c r="DT418" s="1"/>
      <c r="DU418" s="1"/>
      <c r="DV418" s="1"/>
      <c r="DW418" s="1"/>
      <c r="DX418" s="1"/>
      <c r="DY418" s="1"/>
      <c r="DZ418" s="1"/>
      <c r="EA418" s="1"/>
      <c r="EB418" s="1"/>
      <c r="EC418" s="1"/>
      <c r="ED418" s="1"/>
      <c r="EE418" s="1"/>
      <c r="EF418" s="1"/>
      <c r="EG418" s="1"/>
      <c r="EH418" s="1"/>
      <c r="EI418" s="1"/>
      <c r="EJ418" s="1"/>
      <c r="EK418" s="1"/>
      <c r="EL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c r="BR419" s="1"/>
      <c r="BS419" s="1"/>
      <c r="BT419" s="1"/>
      <c r="BU419" s="1"/>
      <c r="BV419" s="1"/>
      <c r="BW419" s="1"/>
      <c r="BX419" s="1"/>
      <c r="BY419" s="1"/>
      <c r="BZ419" s="1"/>
      <c r="CA419" s="1"/>
      <c r="CB419" s="1"/>
      <c r="CC419" s="1"/>
      <c r="CD419" s="1"/>
      <c r="CE419" s="1"/>
      <c r="CF419" s="1"/>
      <c r="CG419" s="1"/>
      <c r="CH419" s="1"/>
      <c r="CI419" s="1"/>
      <c r="CJ419" s="1"/>
      <c r="CK419" s="1"/>
      <c r="CL419" s="1"/>
      <c r="CM419" s="1"/>
      <c r="CN419" s="1"/>
      <c r="CO419" s="1"/>
      <c r="CP419" s="1"/>
      <c r="CQ419" s="1"/>
      <c r="CR419" s="1"/>
      <c r="CS419" s="1"/>
      <c r="CT419" s="1"/>
      <c r="CU419" s="1"/>
      <c r="CV419" s="1"/>
      <c r="CW419" s="1"/>
      <c r="CX419" s="1"/>
      <c r="CY419" s="1"/>
      <c r="CZ419" s="1"/>
      <c r="DA419" s="1"/>
      <c r="DB419" s="1"/>
      <c r="DC419" s="1"/>
      <c r="DD419" s="1"/>
      <c r="DE419" s="1"/>
      <c r="DF419" s="1"/>
      <c r="DG419" s="1"/>
      <c r="DH419" s="1"/>
      <c r="DI419" s="1"/>
      <c r="DJ419" s="1"/>
      <c r="DK419" s="1"/>
      <c r="DL419" s="1"/>
      <c r="DM419" s="1"/>
      <c r="DN419" s="1"/>
      <c r="DO419" s="1"/>
      <c r="DP419" s="1"/>
      <c r="DQ419" s="1"/>
      <c r="DR419" s="1"/>
      <c r="DS419" s="1"/>
      <c r="DT419" s="1"/>
      <c r="DU419" s="1"/>
      <c r="DV419" s="1"/>
      <c r="DW419" s="1"/>
      <c r="DX419" s="1"/>
      <c r="DY419" s="1"/>
      <c r="DZ419" s="1"/>
      <c r="EA419" s="1"/>
      <c r="EB419" s="1"/>
      <c r="EC419" s="1"/>
      <c r="ED419" s="1"/>
      <c r="EE419" s="1"/>
      <c r="EF419" s="1"/>
      <c r="EG419" s="1"/>
      <c r="EH419" s="1"/>
      <c r="EI419" s="1"/>
      <c r="EJ419" s="1"/>
      <c r="EK419" s="1"/>
      <c r="EL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c r="BR420" s="1"/>
      <c r="BS420" s="1"/>
      <c r="BT420" s="1"/>
      <c r="BU420" s="1"/>
      <c r="BV420" s="1"/>
      <c r="BW420" s="1"/>
      <c r="BX420" s="1"/>
      <c r="BY420" s="1"/>
      <c r="BZ420" s="1"/>
      <c r="CA420" s="1"/>
      <c r="CB420" s="1"/>
      <c r="CC420" s="1"/>
      <c r="CD420" s="1"/>
      <c r="CE420" s="1"/>
      <c r="CF420" s="1"/>
      <c r="CG420" s="1"/>
      <c r="CH420" s="1"/>
      <c r="CI420" s="1"/>
      <c r="CJ420" s="1"/>
      <c r="CK420" s="1"/>
      <c r="CL420" s="1"/>
      <c r="CM420" s="1"/>
      <c r="CN420" s="1"/>
      <c r="CO420" s="1"/>
      <c r="CP420" s="1"/>
      <c r="CQ420" s="1"/>
      <c r="CR420" s="1"/>
      <c r="CS420" s="1"/>
      <c r="CT420" s="1"/>
      <c r="CU420" s="1"/>
      <c r="CV420" s="1"/>
      <c r="CW420" s="1"/>
      <c r="CX420" s="1"/>
      <c r="CY420" s="1"/>
      <c r="CZ420" s="1"/>
      <c r="DA420" s="1"/>
      <c r="DB420" s="1"/>
      <c r="DC420" s="1"/>
      <c r="DD420" s="1"/>
      <c r="DE420" s="1"/>
      <c r="DF420" s="1"/>
      <c r="DG420" s="1"/>
      <c r="DH420" s="1"/>
      <c r="DI420" s="1"/>
      <c r="DJ420" s="1"/>
      <c r="DK420" s="1"/>
      <c r="DL420" s="1"/>
      <c r="DM420" s="1"/>
      <c r="DN420" s="1"/>
      <c r="DO420" s="1"/>
      <c r="DP420" s="1"/>
      <c r="DQ420" s="1"/>
      <c r="DR420" s="1"/>
      <c r="DS420" s="1"/>
      <c r="DT420" s="1"/>
      <c r="DU420" s="1"/>
      <c r="DV420" s="1"/>
      <c r="DW420" s="1"/>
      <c r="DX420" s="1"/>
      <c r="DY420" s="1"/>
      <c r="DZ420" s="1"/>
      <c r="EA420" s="1"/>
      <c r="EB420" s="1"/>
      <c r="EC420" s="1"/>
      <c r="ED420" s="1"/>
      <c r="EE420" s="1"/>
      <c r="EF420" s="1"/>
      <c r="EG420" s="1"/>
      <c r="EH420" s="1"/>
      <c r="EI420" s="1"/>
      <c r="EJ420" s="1"/>
      <c r="EK420" s="1"/>
      <c r="EL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c r="BR421" s="1"/>
      <c r="BS421" s="1"/>
      <c r="BT421" s="1"/>
      <c r="BU421" s="1"/>
      <c r="BV421" s="1"/>
      <c r="BW421" s="1"/>
      <c r="BX421" s="1"/>
      <c r="BY421" s="1"/>
      <c r="BZ421" s="1"/>
      <c r="CA421" s="1"/>
      <c r="CB421" s="1"/>
      <c r="CC421" s="1"/>
      <c r="CD421" s="1"/>
      <c r="CE421" s="1"/>
      <c r="CF421" s="1"/>
      <c r="CG421" s="1"/>
      <c r="CH421" s="1"/>
      <c r="CI421" s="1"/>
      <c r="CJ421" s="1"/>
      <c r="CK421" s="1"/>
      <c r="CL421" s="1"/>
      <c r="CM421" s="1"/>
      <c r="CN421" s="1"/>
      <c r="CO421" s="1"/>
      <c r="CP421" s="1"/>
      <c r="CQ421" s="1"/>
      <c r="CR421" s="1"/>
      <c r="CS421" s="1"/>
      <c r="CT421" s="1"/>
      <c r="CU421" s="1"/>
      <c r="CV421" s="1"/>
      <c r="CW421" s="1"/>
      <c r="CX421" s="1"/>
      <c r="CY421" s="1"/>
      <c r="CZ421" s="1"/>
      <c r="DA421" s="1"/>
      <c r="DB421" s="1"/>
      <c r="DC421" s="1"/>
      <c r="DD421" s="1"/>
      <c r="DE421" s="1"/>
      <c r="DF421" s="1"/>
      <c r="DG421" s="1"/>
      <c r="DH421" s="1"/>
      <c r="DI421" s="1"/>
      <c r="DJ421" s="1"/>
      <c r="DK421" s="1"/>
      <c r="DL421" s="1"/>
      <c r="DM421" s="1"/>
      <c r="DN421" s="1"/>
      <c r="DO421" s="1"/>
      <c r="DP421" s="1"/>
      <c r="DQ421" s="1"/>
      <c r="DR421" s="1"/>
      <c r="DS421" s="1"/>
      <c r="DT421" s="1"/>
      <c r="DU421" s="1"/>
      <c r="DV421" s="1"/>
      <c r="DW421" s="1"/>
      <c r="DX421" s="1"/>
      <c r="DY421" s="1"/>
      <c r="DZ421" s="1"/>
      <c r="EA421" s="1"/>
      <c r="EB421" s="1"/>
      <c r="EC421" s="1"/>
      <c r="ED421" s="1"/>
      <c r="EE421" s="1"/>
      <c r="EF421" s="1"/>
      <c r="EG421" s="1"/>
      <c r="EH421" s="1"/>
      <c r="EI421" s="1"/>
      <c r="EJ421" s="1"/>
      <c r="EK421" s="1"/>
      <c r="EL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c r="BR422" s="1"/>
      <c r="BS422" s="1"/>
      <c r="BT422" s="1"/>
      <c r="BU422" s="1"/>
      <c r="BV422" s="1"/>
      <c r="BW422" s="1"/>
      <c r="BX422" s="1"/>
      <c r="BY422" s="1"/>
      <c r="BZ422" s="1"/>
      <c r="CA422" s="1"/>
      <c r="CB422" s="1"/>
      <c r="CC422" s="1"/>
      <c r="CD422" s="1"/>
      <c r="CE422" s="1"/>
      <c r="CF422" s="1"/>
      <c r="CG422" s="1"/>
      <c r="CH422" s="1"/>
      <c r="CI422" s="1"/>
      <c r="CJ422" s="1"/>
      <c r="CK422" s="1"/>
      <c r="CL422" s="1"/>
      <c r="CM422" s="1"/>
      <c r="CN422" s="1"/>
      <c r="CO422" s="1"/>
      <c r="CP422" s="1"/>
      <c r="CQ422" s="1"/>
      <c r="CR422" s="1"/>
      <c r="CS422" s="1"/>
      <c r="CT422" s="1"/>
      <c r="CU422" s="1"/>
      <c r="CV422" s="1"/>
      <c r="CW422" s="1"/>
      <c r="CX422" s="1"/>
      <c r="CY422" s="1"/>
      <c r="CZ422" s="1"/>
      <c r="DA422" s="1"/>
      <c r="DB422" s="1"/>
      <c r="DC422" s="1"/>
      <c r="DD422" s="1"/>
      <c r="DE422" s="1"/>
      <c r="DF422" s="1"/>
      <c r="DG422" s="1"/>
      <c r="DH422" s="1"/>
      <c r="DI422" s="1"/>
      <c r="DJ422" s="1"/>
      <c r="DK422" s="1"/>
      <c r="DL422" s="1"/>
      <c r="DM422" s="1"/>
      <c r="DN422" s="1"/>
      <c r="DO422" s="1"/>
      <c r="DP422" s="1"/>
      <c r="DQ422" s="1"/>
      <c r="DR422" s="1"/>
      <c r="DS422" s="1"/>
      <c r="DT422" s="1"/>
      <c r="DU422" s="1"/>
      <c r="DV422" s="1"/>
      <c r="DW422" s="1"/>
      <c r="DX422" s="1"/>
      <c r="DY422" s="1"/>
      <c r="DZ422" s="1"/>
      <c r="EA422" s="1"/>
      <c r="EB422" s="1"/>
      <c r="EC422" s="1"/>
      <c r="ED422" s="1"/>
      <c r="EE422" s="1"/>
      <c r="EF422" s="1"/>
      <c r="EG422" s="1"/>
      <c r="EH422" s="1"/>
      <c r="EI422" s="1"/>
      <c r="EJ422" s="1"/>
      <c r="EK422" s="1"/>
      <c r="EL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c r="BR423" s="1"/>
      <c r="BS423" s="1"/>
      <c r="BT423" s="1"/>
      <c r="BU423" s="1"/>
      <c r="BV423" s="1"/>
      <c r="BW423" s="1"/>
      <c r="BX423" s="1"/>
      <c r="BY423" s="1"/>
      <c r="BZ423" s="1"/>
      <c r="CA423" s="1"/>
      <c r="CB423" s="1"/>
      <c r="CC423" s="1"/>
      <c r="CD423" s="1"/>
      <c r="CE423" s="1"/>
      <c r="CF423" s="1"/>
      <c r="CG423" s="1"/>
      <c r="CH423" s="1"/>
      <c r="CI423" s="1"/>
      <c r="CJ423" s="1"/>
      <c r="CK423" s="1"/>
      <c r="CL423" s="1"/>
      <c r="CM423" s="1"/>
      <c r="CN423" s="1"/>
      <c r="CO423" s="1"/>
      <c r="CP423" s="1"/>
      <c r="CQ423" s="1"/>
      <c r="CR423" s="1"/>
      <c r="CS423" s="1"/>
      <c r="CT423" s="1"/>
      <c r="CU423" s="1"/>
      <c r="CV423" s="1"/>
      <c r="CW423" s="1"/>
      <c r="CX423" s="1"/>
      <c r="CY423" s="1"/>
      <c r="CZ423" s="1"/>
      <c r="DA423" s="1"/>
      <c r="DB423" s="1"/>
      <c r="DC423" s="1"/>
      <c r="DD423" s="1"/>
      <c r="DE423" s="1"/>
      <c r="DF423" s="1"/>
      <c r="DG423" s="1"/>
      <c r="DH423" s="1"/>
      <c r="DI423" s="1"/>
      <c r="DJ423" s="1"/>
      <c r="DK423" s="1"/>
      <c r="DL423" s="1"/>
      <c r="DM423" s="1"/>
      <c r="DN423" s="1"/>
      <c r="DO423" s="1"/>
      <c r="DP423" s="1"/>
      <c r="DQ423" s="1"/>
      <c r="DR423" s="1"/>
      <c r="DS423" s="1"/>
      <c r="DT423" s="1"/>
      <c r="DU423" s="1"/>
      <c r="DV423" s="1"/>
      <c r="DW423" s="1"/>
      <c r="DX423" s="1"/>
      <c r="DY423" s="1"/>
      <c r="DZ423" s="1"/>
      <c r="EA423" s="1"/>
      <c r="EB423" s="1"/>
      <c r="EC423" s="1"/>
      <c r="ED423" s="1"/>
      <c r="EE423" s="1"/>
      <c r="EF423" s="1"/>
      <c r="EG423" s="1"/>
      <c r="EH423" s="1"/>
      <c r="EI423" s="1"/>
      <c r="EJ423" s="1"/>
      <c r="EK423" s="1"/>
      <c r="EL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c r="BR424" s="1"/>
      <c r="BS424" s="1"/>
      <c r="BT424" s="1"/>
      <c r="BU424" s="1"/>
      <c r="BV424" s="1"/>
      <c r="BW424" s="1"/>
      <c r="BX424" s="1"/>
      <c r="BY424" s="1"/>
      <c r="BZ424" s="1"/>
      <c r="CA424" s="1"/>
      <c r="CB424" s="1"/>
      <c r="CC424" s="1"/>
      <c r="CD424" s="1"/>
      <c r="CE424" s="1"/>
      <c r="CF424" s="1"/>
      <c r="CG424" s="1"/>
      <c r="CH424" s="1"/>
      <c r="CI424" s="1"/>
      <c r="CJ424" s="1"/>
      <c r="CK424" s="1"/>
      <c r="CL424" s="1"/>
      <c r="CM424" s="1"/>
      <c r="CN424" s="1"/>
      <c r="CO424" s="1"/>
      <c r="CP424" s="1"/>
      <c r="CQ424" s="1"/>
      <c r="CR424" s="1"/>
      <c r="CS424" s="1"/>
      <c r="CT424" s="1"/>
      <c r="CU424" s="1"/>
      <c r="CV424" s="1"/>
      <c r="CW424" s="1"/>
      <c r="CX424" s="1"/>
      <c r="CY424" s="1"/>
      <c r="CZ424" s="1"/>
      <c r="DA424" s="1"/>
      <c r="DB424" s="1"/>
      <c r="DC424" s="1"/>
      <c r="DD424" s="1"/>
      <c r="DE424" s="1"/>
      <c r="DF424" s="1"/>
      <c r="DG424" s="1"/>
      <c r="DH424" s="1"/>
      <c r="DI424" s="1"/>
      <c r="DJ424" s="1"/>
      <c r="DK424" s="1"/>
      <c r="DL424" s="1"/>
      <c r="DM424" s="1"/>
      <c r="DN424" s="1"/>
      <c r="DO424" s="1"/>
      <c r="DP424" s="1"/>
      <c r="DQ424" s="1"/>
      <c r="DR424" s="1"/>
      <c r="DS424" s="1"/>
      <c r="DT424" s="1"/>
      <c r="DU424" s="1"/>
      <c r="DV424" s="1"/>
      <c r="DW424" s="1"/>
      <c r="DX424" s="1"/>
      <c r="DY424" s="1"/>
      <c r="DZ424" s="1"/>
      <c r="EA424" s="1"/>
      <c r="EB424" s="1"/>
      <c r="EC424" s="1"/>
      <c r="ED424" s="1"/>
      <c r="EE424" s="1"/>
      <c r="EF424" s="1"/>
      <c r="EG424" s="1"/>
      <c r="EH424" s="1"/>
      <c r="EI424" s="1"/>
      <c r="EJ424" s="1"/>
      <c r="EK424" s="1"/>
      <c r="EL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c r="BR425" s="1"/>
      <c r="BS425" s="1"/>
      <c r="BT425" s="1"/>
      <c r="BU425" s="1"/>
      <c r="BV425" s="1"/>
      <c r="BW425" s="1"/>
      <c r="BX425" s="1"/>
      <c r="BY425" s="1"/>
      <c r="BZ425" s="1"/>
      <c r="CA425" s="1"/>
      <c r="CB425" s="1"/>
      <c r="CC425" s="1"/>
      <c r="CD425" s="1"/>
      <c r="CE425" s="1"/>
      <c r="CF425" s="1"/>
      <c r="CG425" s="1"/>
      <c r="CH425" s="1"/>
      <c r="CI425" s="1"/>
      <c r="CJ425" s="1"/>
      <c r="CK425" s="1"/>
      <c r="CL425" s="1"/>
      <c r="CM425" s="1"/>
      <c r="CN425" s="1"/>
      <c r="CO425" s="1"/>
      <c r="CP425" s="1"/>
      <c r="CQ425" s="1"/>
      <c r="CR425" s="1"/>
      <c r="CS425" s="1"/>
      <c r="CT425" s="1"/>
      <c r="CU425" s="1"/>
      <c r="CV425" s="1"/>
      <c r="CW425" s="1"/>
      <c r="CX425" s="1"/>
      <c r="CY425" s="1"/>
      <c r="CZ425" s="1"/>
      <c r="DA425" s="1"/>
      <c r="DB425" s="1"/>
      <c r="DC425" s="1"/>
      <c r="DD425" s="1"/>
      <c r="DE425" s="1"/>
      <c r="DF425" s="1"/>
      <c r="DG425" s="1"/>
      <c r="DH425" s="1"/>
      <c r="DI425" s="1"/>
      <c r="DJ425" s="1"/>
      <c r="DK425" s="1"/>
      <c r="DL425" s="1"/>
      <c r="DM425" s="1"/>
      <c r="DN425" s="1"/>
      <c r="DO425" s="1"/>
      <c r="DP425" s="1"/>
      <c r="DQ425" s="1"/>
      <c r="DR425" s="1"/>
      <c r="DS425" s="1"/>
      <c r="DT425" s="1"/>
      <c r="DU425" s="1"/>
      <c r="DV425" s="1"/>
      <c r="DW425" s="1"/>
      <c r="DX425" s="1"/>
      <c r="DY425" s="1"/>
      <c r="DZ425" s="1"/>
      <c r="EA425" s="1"/>
      <c r="EB425" s="1"/>
      <c r="EC425" s="1"/>
      <c r="ED425" s="1"/>
      <c r="EE425" s="1"/>
      <c r="EF425" s="1"/>
      <c r="EG425" s="1"/>
      <c r="EH425" s="1"/>
      <c r="EI425" s="1"/>
      <c r="EJ425" s="1"/>
      <c r="EK425" s="1"/>
      <c r="EL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c r="BR426" s="1"/>
      <c r="BS426" s="1"/>
      <c r="BT426" s="1"/>
      <c r="BU426" s="1"/>
      <c r="BV426" s="1"/>
      <c r="BW426" s="1"/>
      <c r="BX426" s="1"/>
      <c r="BY426" s="1"/>
      <c r="BZ426" s="1"/>
      <c r="CA426" s="1"/>
      <c r="CB426" s="1"/>
      <c r="CC426" s="1"/>
      <c r="CD426" s="1"/>
      <c r="CE426" s="1"/>
      <c r="CF426" s="1"/>
      <c r="CG426" s="1"/>
      <c r="CH426" s="1"/>
      <c r="CI426" s="1"/>
      <c r="CJ426" s="1"/>
      <c r="CK426" s="1"/>
      <c r="CL426" s="1"/>
      <c r="CM426" s="1"/>
      <c r="CN426" s="1"/>
      <c r="CO426" s="1"/>
      <c r="CP426" s="1"/>
      <c r="CQ426" s="1"/>
      <c r="CR426" s="1"/>
      <c r="CS426" s="1"/>
      <c r="CT426" s="1"/>
      <c r="CU426" s="1"/>
      <c r="CV426" s="1"/>
      <c r="CW426" s="1"/>
      <c r="CX426" s="1"/>
      <c r="CY426" s="1"/>
      <c r="CZ426" s="1"/>
      <c r="DA426" s="1"/>
      <c r="DB426" s="1"/>
      <c r="DC426" s="1"/>
      <c r="DD426" s="1"/>
      <c r="DE426" s="1"/>
      <c r="DF426" s="1"/>
      <c r="DG426" s="1"/>
      <c r="DH426" s="1"/>
      <c r="DI426" s="1"/>
      <c r="DJ426" s="1"/>
      <c r="DK426" s="1"/>
      <c r="DL426" s="1"/>
      <c r="DM426" s="1"/>
      <c r="DN426" s="1"/>
      <c r="DO426" s="1"/>
      <c r="DP426" s="1"/>
      <c r="DQ426" s="1"/>
      <c r="DR426" s="1"/>
      <c r="DS426" s="1"/>
      <c r="DT426" s="1"/>
      <c r="DU426" s="1"/>
      <c r="DV426" s="1"/>
      <c r="DW426" s="1"/>
      <c r="DX426" s="1"/>
      <c r="DY426" s="1"/>
      <c r="DZ426" s="1"/>
      <c r="EA426" s="1"/>
      <c r="EB426" s="1"/>
      <c r="EC426" s="1"/>
      <c r="ED426" s="1"/>
      <c r="EE426" s="1"/>
      <c r="EF426" s="1"/>
      <c r="EG426" s="1"/>
      <c r="EH426" s="1"/>
      <c r="EI426" s="1"/>
      <c r="EJ426" s="1"/>
      <c r="EK426" s="1"/>
      <c r="EL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c r="BR427" s="1"/>
      <c r="BS427" s="1"/>
      <c r="BT427" s="1"/>
      <c r="BU427" s="1"/>
      <c r="BV427" s="1"/>
      <c r="BW427" s="1"/>
      <c r="BX427" s="1"/>
      <c r="BY427" s="1"/>
      <c r="BZ427" s="1"/>
      <c r="CA427" s="1"/>
      <c r="CB427" s="1"/>
      <c r="CC427" s="1"/>
      <c r="CD427" s="1"/>
      <c r="CE427" s="1"/>
      <c r="CF427" s="1"/>
      <c r="CG427" s="1"/>
      <c r="CH427" s="1"/>
      <c r="CI427" s="1"/>
      <c r="CJ427" s="1"/>
      <c r="CK427" s="1"/>
      <c r="CL427" s="1"/>
      <c r="CM427" s="1"/>
      <c r="CN427" s="1"/>
      <c r="CO427" s="1"/>
      <c r="CP427" s="1"/>
      <c r="CQ427" s="1"/>
      <c r="CR427" s="1"/>
      <c r="CS427" s="1"/>
      <c r="CT427" s="1"/>
      <c r="CU427" s="1"/>
      <c r="CV427" s="1"/>
      <c r="CW427" s="1"/>
      <c r="CX427" s="1"/>
      <c r="CY427" s="1"/>
      <c r="CZ427" s="1"/>
      <c r="DA427" s="1"/>
      <c r="DB427" s="1"/>
      <c r="DC427" s="1"/>
      <c r="DD427" s="1"/>
      <c r="DE427" s="1"/>
      <c r="DF427" s="1"/>
      <c r="DG427" s="1"/>
      <c r="DH427" s="1"/>
      <c r="DI427" s="1"/>
      <c r="DJ427" s="1"/>
      <c r="DK427" s="1"/>
      <c r="DL427" s="1"/>
      <c r="DM427" s="1"/>
      <c r="DN427" s="1"/>
      <c r="DO427" s="1"/>
      <c r="DP427" s="1"/>
      <c r="DQ427" s="1"/>
      <c r="DR427" s="1"/>
      <c r="DS427" s="1"/>
      <c r="DT427" s="1"/>
      <c r="DU427" s="1"/>
      <c r="DV427" s="1"/>
      <c r="DW427" s="1"/>
      <c r="DX427" s="1"/>
      <c r="DY427" s="1"/>
      <c r="DZ427" s="1"/>
      <c r="EA427" s="1"/>
      <c r="EB427" s="1"/>
      <c r="EC427" s="1"/>
      <c r="ED427" s="1"/>
      <c r="EE427" s="1"/>
      <c r="EF427" s="1"/>
      <c r="EG427" s="1"/>
      <c r="EH427" s="1"/>
      <c r="EI427" s="1"/>
      <c r="EJ427" s="1"/>
      <c r="EK427" s="1"/>
      <c r="EL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c r="BR428" s="1"/>
      <c r="BS428" s="1"/>
      <c r="BT428" s="1"/>
      <c r="BU428" s="1"/>
      <c r="BV428" s="1"/>
      <c r="BW428" s="1"/>
      <c r="BX428" s="1"/>
      <c r="BY428" s="1"/>
      <c r="BZ428" s="1"/>
      <c r="CA428" s="1"/>
      <c r="CB428" s="1"/>
      <c r="CC428" s="1"/>
      <c r="CD428" s="1"/>
      <c r="CE428" s="1"/>
      <c r="CF428" s="1"/>
      <c r="CG428" s="1"/>
      <c r="CH428" s="1"/>
      <c r="CI428" s="1"/>
      <c r="CJ428" s="1"/>
      <c r="CK428" s="1"/>
      <c r="CL428" s="1"/>
      <c r="CM428" s="1"/>
      <c r="CN428" s="1"/>
      <c r="CO428" s="1"/>
      <c r="CP428" s="1"/>
      <c r="CQ428" s="1"/>
      <c r="CR428" s="1"/>
      <c r="CS428" s="1"/>
      <c r="CT428" s="1"/>
      <c r="CU428" s="1"/>
      <c r="CV428" s="1"/>
      <c r="CW428" s="1"/>
      <c r="CX428" s="1"/>
      <c r="CY428" s="1"/>
      <c r="CZ428" s="1"/>
      <c r="DA428" s="1"/>
      <c r="DB428" s="1"/>
      <c r="DC428" s="1"/>
      <c r="DD428" s="1"/>
      <c r="DE428" s="1"/>
      <c r="DF428" s="1"/>
      <c r="DG428" s="1"/>
      <c r="DH428" s="1"/>
      <c r="DI428" s="1"/>
      <c r="DJ428" s="1"/>
      <c r="DK428" s="1"/>
      <c r="DL428" s="1"/>
      <c r="DM428" s="1"/>
      <c r="DN428" s="1"/>
      <c r="DO428" s="1"/>
      <c r="DP428" s="1"/>
      <c r="DQ428" s="1"/>
      <c r="DR428" s="1"/>
      <c r="DS428" s="1"/>
      <c r="DT428" s="1"/>
      <c r="DU428" s="1"/>
      <c r="DV428" s="1"/>
      <c r="DW428" s="1"/>
      <c r="DX428" s="1"/>
      <c r="DY428" s="1"/>
      <c r="DZ428" s="1"/>
      <c r="EA428" s="1"/>
      <c r="EB428" s="1"/>
      <c r="EC428" s="1"/>
      <c r="ED428" s="1"/>
      <c r="EE428" s="1"/>
      <c r="EF428" s="1"/>
      <c r="EG428" s="1"/>
      <c r="EH428" s="1"/>
      <c r="EI428" s="1"/>
      <c r="EJ428" s="1"/>
      <c r="EK428" s="1"/>
      <c r="EL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c r="BS429" s="1"/>
      <c r="BT429" s="1"/>
      <c r="BU429" s="1"/>
      <c r="BV429" s="1"/>
      <c r="BW429" s="1"/>
      <c r="BX429" s="1"/>
      <c r="BY429" s="1"/>
      <c r="BZ429" s="1"/>
      <c r="CA429" s="1"/>
      <c r="CB429" s="1"/>
      <c r="CC429" s="1"/>
      <c r="CD429" s="1"/>
      <c r="CE429" s="1"/>
      <c r="CF429" s="1"/>
      <c r="CG429" s="1"/>
      <c r="CH429" s="1"/>
      <c r="CI429" s="1"/>
      <c r="CJ429" s="1"/>
      <c r="CK429" s="1"/>
      <c r="CL429" s="1"/>
      <c r="CM429" s="1"/>
      <c r="CN429" s="1"/>
      <c r="CO429" s="1"/>
      <c r="CP429" s="1"/>
      <c r="CQ429" s="1"/>
      <c r="CR429" s="1"/>
      <c r="CS429" s="1"/>
      <c r="CT429" s="1"/>
      <c r="CU429" s="1"/>
      <c r="CV429" s="1"/>
      <c r="CW429" s="1"/>
      <c r="CX429" s="1"/>
      <c r="CY429" s="1"/>
      <c r="CZ429" s="1"/>
      <c r="DA429" s="1"/>
      <c r="DB429" s="1"/>
      <c r="DC429" s="1"/>
      <c r="DD429" s="1"/>
      <c r="DE429" s="1"/>
      <c r="DF429" s="1"/>
      <c r="DG429" s="1"/>
      <c r="DH429" s="1"/>
      <c r="DI429" s="1"/>
      <c r="DJ429" s="1"/>
      <c r="DK429" s="1"/>
      <c r="DL429" s="1"/>
      <c r="DM429" s="1"/>
      <c r="DN429" s="1"/>
      <c r="DO429" s="1"/>
      <c r="DP429" s="1"/>
      <c r="DQ429" s="1"/>
      <c r="DR429" s="1"/>
      <c r="DS429" s="1"/>
      <c r="DT429" s="1"/>
      <c r="DU429" s="1"/>
      <c r="DV429" s="1"/>
      <c r="DW429" s="1"/>
      <c r="DX429" s="1"/>
      <c r="DY429" s="1"/>
      <c r="DZ429" s="1"/>
      <c r="EA429" s="1"/>
      <c r="EB429" s="1"/>
      <c r="EC429" s="1"/>
      <c r="ED429" s="1"/>
      <c r="EE429" s="1"/>
      <c r="EF429" s="1"/>
      <c r="EG429" s="1"/>
      <c r="EH429" s="1"/>
      <c r="EI429" s="1"/>
      <c r="EJ429" s="1"/>
      <c r="EK429" s="1"/>
      <c r="EL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c r="BS430" s="1"/>
      <c r="BT430" s="1"/>
      <c r="BU430" s="1"/>
      <c r="BV430" s="1"/>
      <c r="BW430" s="1"/>
      <c r="BX430" s="1"/>
      <c r="BY430" s="1"/>
      <c r="BZ430" s="1"/>
      <c r="CA430" s="1"/>
      <c r="CB430" s="1"/>
      <c r="CC430" s="1"/>
      <c r="CD430" s="1"/>
      <c r="CE430" s="1"/>
      <c r="CF430" s="1"/>
      <c r="CG430" s="1"/>
      <c r="CH430" s="1"/>
      <c r="CI430" s="1"/>
      <c r="CJ430" s="1"/>
      <c r="CK430" s="1"/>
      <c r="CL430" s="1"/>
      <c r="CM430" s="1"/>
      <c r="CN430" s="1"/>
      <c r="CO430" s="1"/>
      <c r="CP430" s="1"/>
      <c r="CQ430" s="1"/>
      <c r="CR430" s="1"/>
      <c r="CS430" s="1"/>
      <c r="CT430" s="1"/>
      <c r="CU430" s="1"/>
      <c r="CV430" s="1"/>
      <c r="CW430" s="1"/>
      <c r="CX430" s="1"/>
      <c r="CY430" s="1"/>
      <c r="CZ430" s="1"/>
      <c r="DA430" s="1"/>
      <c r="DB430" s="1"/>
      <c r="DC430" s="1"/>
      <c r="DD430" s="1"/>
      <c r="DE430" s="1"/>
      <c r="DF430" s="1"/>
      <c r="DG430" s="1"/>
      <c r="DH430" s="1"/>
      <c r="DI430" s="1"/>
      <c r="DJ430" s="1"/>
      <c r="DK430" s="1"/>
      <c r="DL430" s="1"/>
      <c r="DM430" s="1"/>
      <c r="DN430" s="1"/>
      <c r="DO430" s="1"/>
      <c r="DP430" s="1"/>
      <c r="DQ430" s="1"/>
      <c r="DR430" s="1"/>
      <c r="DS430" s="1"/>
      <c r="DT430" s="1"/>
      <c r="DU430" s="1"/>
      <c r="DV430" s="1"/>
      <c r="DW430" s="1"/>
      <c r="DX430" s="1"/>
      <c r="DY430" s="1"/>
      <c r="DZ430" s="1"/>
      <c r="EA430" s="1"/>
      <c r="EB430" s="1"/>
      <c r="EC430" s="1"/>
      <c r="ED430" s="1"/>
      <c r="EE430" s="1"/>
      <c r="EF430" s="1"/>
      <c r="EG430" s="1"/>
      <c r="EH430" s="1"/>
      <c r="EI430" s="1"/>
      <c r="EJ430" s="1"/>
      <c r="EK430" s="1"/>
      <c r="EL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c r="BS431" s="1"/>
      <c r="BT431" s="1"/>
      <c r="BU431" s="1"/>
      <c r="BV431" s="1"/>
      <c r="BW431" s="1"/>
      <c r="BX431" s="1"/>
      <c r="BY431" s="1"/>
      <c r="BZ431" s="1"/>
      <c r="CA431" s="1"/>
      <c r="CB431" s="1"/>
      <c r="CC431" s="1"/>
      <c r="CD431" s="1"/>
      <c r="CE431" s="1"/>
      <c r="CF431" s="1"/>
      <c r="CG431" s="1"/>
      <c r="CH431" s="1"/>
      <c r="CI431" s="1"/>
      <c r="CJ431" s="1"/>
      <c r="CK431" s="1"/>
      <c r="CL431" s="1"/>
      <c r="CM431" s="1"/>
      <c r="CN431" s="1"/>
      <c r="CO431" s="1"/>
      <c r="CP431" s="1"/>
      <c r="CQ431" s="1"/>
      <c r="CR431" s="1"/>
      <c r="CS431" s="1"/>
      <c r="CT431" s="1"/>
      <c r="CU431" s="1"/>
      <c r="CV431" s="1"/>
      <c r="CW431" s="1"/>
      <c r="CX431" s="1"/>
      <c r="CY431" s="1"/>
      <c r="CZ431" s="1"/>
      <c r="DA431" s="1"/>
      <c r="DB431" s="1"/>
      <c r="DC431" s="1"/>
      <c r="DD431" s="1"/>
      <c r="DE431" s="1"/>
      <c r="DF431" s="1"/>
      <c r="DG431" s="1"/>
      <c r="DH431" s="1"/>
      <c r="DI431" s="1"/>
      <c r="DJ431" s="1"/>
      <c r="DK431" s="1"/>
      <c r="DL431" s="1"/>
      <c r="DM431" s="1"/>
      <c r="DN431" s="1"/>
      <c r="DO431" s="1"/>
      <c r="DP431" s="1"/>
      <c r="DQ431" s="1"/>
      <c r="DR431" s="1"/>
      <c r="DS431" s="1"/>
      <c r="DT431" s="1"/>
      <c r="DU431" s="1"/>
      <c r="DV431" s="1"/>
      <c r="DW431" s="1"/>
      <c r="DX431" s="1"/>
      <c r="DY431" s="1"/>
      <c r="DZ431" s="1"/>
      <c r="EA431" s="1"/>
      <c r="EB431" s="1"/>
      <c r="EC431" s="1"/>
      <c r="ED431" s="1"/>
      <c r="EE431" s="1"/>
      <c r="EF431" s="1"/>
      <c r="EG431" s="1"/>
      <c r="EH431" s="1"/>
      <c r="EI431" s="1"/>
      <c r="EJ431" s="1"/>
      <c r="EK431" s="1"/>
      <c r="EL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c r="BS432" s="1"/>
      <c r="BT432" s="1"/>
      <c r="BU432" s="1"/>
      <c r="BV432" s="1"/>
      <c r="BW432" s="1"/>
      <c r="BX432" s="1"/>
      <c r="BY432" s="1"/>
      <c r="BZ432" s="1"/>
      <c r="CA432" s="1"/>
      <c r="CB432" s="1"/>
      <c r="CC432" s="1"/>
      <c r="CD432" s="1"/>
      <c r="CE432" s="1"/>
      <c r="CF432" s="1"/>
      <c r="CG432" s="1"/>
      <c r="CH432" s="1"/>
      <c r="CI432" s="1"/>
      <c r="CJ432" s="1"/>
      <c r="CK432" s="1"/>
      <c r="CL432" s="1"/>
      <c r="CM432" s="1"/>
      <c r="CN432" s="1"/>
      <c r="CO432" s="1"/>
      <c r="CP432" s="1"/>
      <c r="CQ432" s="1"/>
      <c r="CR432" s="1"/>
      <c r="CS432" s="1"/>
      <c r="CT432" s="1"/>
      <c r="CU432" s="1"/>
      <c r="CV432" s="1"/>
      <c r="CW432" s="1"/>
      <c r="CX432" s="1"/>
      <c r="CY432" s="1"/>
      <c r="CZ432" s="1"/>
      <c r="DA432" s="1"/>
      <c r="DB432" s="1"/>
      <c r="DC432" s="1"/>
      <c r="DD432" s="1"/>
      <c r="DE432" s="1"/>
      <c r="DF432" s="1"/>
      <c r="DG432" s="1"/>
      <c r="DH432" s="1"/>
      <c r="DI432" s="1"/>
      <c r="DJ432" s="1"/>
      <c r="DK432" s="1"/>
      <c r="DL432" s="1"/>
      <c r="DM432" s="1"/>
      <c r="DN432" s="1"/>
      <c r="DO432" s="1"/>
      <c r="DP432" s="1"/>
      <c r="DQ432" s="1"/>
      <c r="DR432" s="1"/>
      <c r="DS432" s="1"/>
      <c r="DT432" s="1"/>
      <c r="DU432" s="1"/>
      <c r="DV432" s="1"/>
      <c r="DW432" s="1"/>
      <c r="DX432" s="1"/>
      <c r="DY432" s="1"/>
      <c r="DZ432" s="1"/>
      <c r="EA432" s="1"/>
      <c r="EB432" s="1"/>
      <c r="EC432" s="1"/>
      <c r="ED432" s="1"/>
      <c r="EE432" s="1"/>
      <c r="EF432" s="1"/>
      <c r="EG432" s="1"/>
      <c r="EH432" s="1"/>
      <c r="EI432" s="1"/>
      <c r="EJ432" s="1"/>
      <c r="EK432" s="1"/>
      <c r="EL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c r="BR433" s="1"/>
      <c r="BS433" s="1"/>
      <c r="BT433" s="1"/>
      <c r="BU433" s="1"/>
      <c r="BV433" s="1"/>
      <c r="BW433" s="1"/>
      <c r="BX433" s="1"/>
      <c r="BY433" s="1"/>
      <c r="BZ433" s="1"/>
      <c r="CA433" s="1"/>
      <c r="CB433" s="1"/>
      <c r="CC433" s="1"/>
      <c r="CD433" s="1"/>
      <c r="CE433" s="1"/>
      <c r="CF433" s="1"/>
      <c r="CG433" s="1"/>
      <c r="CH433" s="1"/>
      <c r="CI433" s="1"/>
      <c r="CJ433" s="1"/>
      <c r="CK433" s="1"/>
      <c r="CL433" s="1"/>
      <c r="CM433" s="1"/>
      <c r="CN433" s="1"/>
      <c r="CO433" s="1"/>
      <c r="CP433" s="1"/>
      <c r="CQ433" s="1"/>
      <c r="CR433" s="1"/>
      <c r="CS433" s="1"/>
      <c r="CT433" s="1"/>
      <c r="CU433" s="1"/>
      <c r="CV433" s="1"/>
      <c r="CW433" s="1"/>
      <c r="CX433" s="1"/>
      <c r="CY433" s="1"/>
      <c r="CZ433" s="1"/>
      <c r="DA433" s="1"/>
      <c r="DB433" s="1"/>
      <c r="DC433" s="1"/>
      <c r="DD433" s="1"/>
      <c r="DE433" s="1"/>
      <c r="DF433" s="1"/>
      <c r="DG433" s="1"/>
      <c r="DH433" s="1"/>
      <c r="DI433" s="1"/>
      <c r="DJ433" s="1"/>
      <c r="DK433" s="1"/>
      <c r="DL433" s="1"/>
      <c r="DM433" s="1"/>
      <c r="DN433" s="1"/>
      <c r="DO433" s="1"/>
      <c r="DP433" s="1"/>
      <c r="DQ433" s="1"/>
      <c r="DR433" s="1"/>
      <c r="DS433" s="1"/>
      <c r="DT433" s="1"/>
      <c r="DU433" s="1"/>
      <c r="DV433" s="1"/>
      <c r="DW433" s="1"/>
      <c r="DX433" s="1"/>
      <c r="DY433" s="1"/>
      <c r="DZ433" s="1"/>
      <c r="EA433" s="1"/>
      <c r="EB433" s="1"/>
      <c r="EC433" s="1"/>
      <c r="ED433" s="1"/>
      <c r="EE433" s="1"/>
      <c r="EF433" s="1"/>
      <c r="EG433" s="1"/>
      <c r="EH433" s="1"/>
      <c r="EI433" s="1"/>
      <c r="EJ433" s="1"/>
      <c r="EK433" s="1"/>
      <c r="EL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c r="BR434" s="1"/>
      <c r="BS434" s="1"/>
      <c r="BT434" s="1"/>
      <c r="BU434" s="1"/>
      <c r="BV434" s="1"/>
      <c r="BW434" s="1"/>
      <c r="BX434" s="1"/>
      <c r="BY434" s="1"/>
      <c r="BZ434" s="1"/>
      <c r="CA434" s="1"/>
      <c r="CB434" s="1"/>
      <c r="CC434" s="1"/>
      <c r="CD434" s="1"/>
      <c r="CE434" s="1"/>
      <c r="CF434" s="1"/>
      <c r="CG434" s="1"/>
      <c r="CH434" s="1"/>
      <c r="CI434" s="1"/>
      <c r="CJ434" s="1"/>
      <c r="CK434" s="1"/>
      <c r="CL434" s="1"/>
      <c r="CM434" s="1"/>
      <c r="CN434" s="1"/>
      <c r="CO434" s="1"/>
      <c r="CP434" s="1"/>
      <c r="CQ434" s="1"/>
      <c r="CR434" s="1"/>
      <c r="CS434" s="1"/>
      <c r="CT434" s="1"/>
      <c r="CU434" s="1"/>
      <c r="CV434" s="1"/>
      <c r="CW434" s="1"/>
      <c r="CX434" s="1"/>
      <c r="CY434" s="1"/>
      <c r="CZ434" s="1"/>
      <c r="DA434" s="1"/>
      <c r="DB434" s="1"/>
      <c r="DC434" s="1"/>
      <c r="DD434" s="1"/>
      <c r="DE434" s="1"/>
      <c r="DF434" s="1"/>
      <c r="DG434" s="1"/>
      <c r="DH434" s="1"/>
      <c r="DI434" s="1"/>
      <c r="DJ434" s="1"/>
      <c r="DK434" s="1"/>
      <c r="DL434" s="1"/>
      <c r="DM434" s="1"/>
      <c r="DN434" s="1"/>
      <c r="DO434" s="1"/>
      <c r="DP434" s="1"/>
      <c r="DQ434" s="1"/>
      <c r="DR434" s="1"/>
      <c r="DS434" s="1"/>
      <c r="DT434" s="1"/>
      <c r="DU434" s="1"/>
      <c r="DV434" s="1"/>
      <c r="DW434" s="1"/>
      <c r="DX434" s="1"/>
      <c r="DY434" s="1"/>
      <c r="DZ434" s="1"/>
      <c r="EA434" s="1"/>
      <c r="EB434" s="1"/>
      <c r="EC434" s="1"/>
      <c r="ED434" s="1"/>
      <c r="EE434" s="1"/>
      <c r="EF434" s="1"/>
      <c r="EG434" s="1"/>
      <c r="EH434" s="1"/>
      <c r="EI434" s="1"/>
      <c r="EJ434" s="1"/>
      <c r="EK434" s="1"/>
      <c r="EL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c r="BR435" s="1"/>
      <c r="BS435" s="1"/>
      <c r="BT435" s="1"/>
      <c r="BU435" s="1"/>
      <c r="BV435" s="1"/>
      <c r="BW435" s="1"/>
      <c r="BX435" s="1"/>
      <c r="BY435" s="1"/>
      <c r="BZ435" s="1"/>
      <c r="CA435" s="1"/>
      <c r="CB435" s="1"/>
      <c r="CC435" s="1"/>
      <c r="CD435" s="1"/>
      <c r="CE435" s="1"/>
      <c r="CF435" s="1"/>
      <c r="CG435" s="1"/>
      <c r="CH435" s="1"/>
      <c r="CI435" s="1"/>
      <c r="CJ435" s="1"/>
      <c r="CK435" s="1"/>
      <c r="CL435" s="1"/>
      <c r="CM435" s="1"/>
      <c r="CN435" s="1"/>
      <c r="CO435" s="1"/>
      <c r="CP435" s="1"/>
      <c r="CQ435" s="1"/>
      <c r="CR435" s="1"/>
      <c r="CS435" s="1"/>
      <c r="CT435" s="1"/>
      <c r="CU435" s="1"/>
      <c r="CV435" s="1"/>
      <c r="CW435" s="1"/>
      <c r="CX435" s="1"/>
      <c r="CY435" s="1"/>
      <c r="CZ435" s="1"/>
      <c r="DA435" s="1"/>
      <c r="DB435" s="1"/>
      <c r="DC435" s="1"/>
      <c r="DD435" s="1"/>
      <c r="DE435" s="1"/>
      <c r="DF435" s="1"/>
      <c r="DG435" s="1"/>
      <c r="DH435" s="1"/>
      <c r="DI435" s="1"/>
      <c r="DJ435" s="1"/>
      <c r="DK435" s="1"/>
      <c r="DL435" s="1"/>
      <c r="DM435" s="1"/>
      <c r="DN435" s="1"/>
      <c r="DO435" s="1"/>
      <c r="DP435" s="1"/>
      <c r="DQ435" s="1"/>
      <c r="DR435" s="1"/>
      <c r="DS435" s="1"/>
      <c r="DT435" s="1"/>
      <c r="DU435" s="1"/>
      <c r="DV435" s="1"/>
      <c r="DW435" s="1"/>
      <c r="DX435" s="1"/>
      <c r="DY435" s="1"/>
      <c r="DZ435" s="1"/>
      <c r="EA435" s="1"/>
      <c r="EB435" s="1"/>
      <c r="EC435" s="1"/>
      <c r="ED435" s="1"/>
      <c r="EE435" s="1"/>
      <c r="EF435" s="1"/>
      <c r="EG435" s="1"/>
      <c r="EH435" s="1"/>
      <c r="EI435" s="1"/>
      <c r="EJ435" s="1"/>
      <c r="EK435" s="1"/>
      <c r="EL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c r="BR436" s="1"/>
      <c r="BS436" s="1"/>
      <c r="BT436" s="1"/>
      <c r="BU436" s="1"/>
      <c r="BV436" s="1"/>
      <c r="BW436" s="1"/>
      <c r="BX436" s="1"/>
      <c r="BY436" s="1"/>
      <c r="BZ436" s="1"/>
      <c r="CA436" s="1"/>
      <c r="CB436" s="1"/>
      <c r="CC436" s="1"/>
      <c r="CD436" s="1"/>
      <c r="CE436" s="1"/>
      <c r="CF436" s="1"/>
      <c r="CG436" s="1"/>
      <c r="CH436" s="1"/>
      <c r="CI436" s="1"/>
      <c r="CJ436" s="1"/>
      <c r="CK436" s="1"/>
      <c r="CL436" s="1"/>
      <c r="CM436" s="1"/>
      <c r="CN436" s="1"/>
      <c r="CO436" s="1"/>
      <c r="CP436" s="1"/>
      <c r="CQ436" s="1"/>
      <c r="CR436" s="1"/>
      <c r="CS436" s="1"/>
      <c r="CT436" s="1"/>
      <c r="CU436" s="1"/>
      <c r="CV436" s="1"/>
      <c r="CW436" s="1"/>
      <c r="CX436" s="1"/>
      <c r="CY436" s="1"/>
      <c r="CZ436" s="1"/>
      <c r="DA436" s="1"/>
      <c r="DB436" s="1"/>
      <c r="DC436" s="1"/>
      <c r="DD436" s="1"/>
      <c r="DE436" s="1"/>
      <c r="DF436" s="1"/>
      <c r="DG436" s="1"/>
      <c r="DH436" s="1"/>
      <c r="DI436" s="1"/>
      <c r="DJ436" s="1"/>
      <c r="DK436" s="1"/>
      <c r="DL436" s="1"/>
      <c r="DM436" s="1"/>
      <c r="DN436" s="1"/>
      <c r="DO436" s="1"/>
      <c r="DP436" s="1"/>
      <c r="DQ436" s="1"/>
      <c r="DR436" s="1"/>
      <c r="DS436" s="1"/>
      <c r="DT436" s="1"/>
      <c r="DU436" s="1"/>
      <c r="DV436" s="1"/>
      <c r="DW436" s="1"/>
      <c r="DX436" s="1"/>
      <c r="DY436" s="1"/>
      <c r="DZ436" s="1"/>
      <c r="EA436" s="1"/>
      <c r="EB436" s="1"/>
      <c r="EC436" s="1"/>
      <c r="ED436" s="1"/>
      <c r="EE436" s="1"/>
      <c r="EF436" s="1"/>
      <c r="EG436" s="1"/>
      <c r="EH436" s="1"/>
      <c r="EI436" s="1"/>
      <c r="EJ436" s="1"/>
      <c r="EK436" s="1"/>
      <c r="EL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c r="BR437" s="1"/>
      <c r="BS437" s="1"/>
      <c r="BT437" s="1"/>
      <c r="BU437" s="1"/>
      <c r="BV437" s="1"/>
      <c r="BW437" s="1"/>
      <c r="BX437" s="1"/>
      <c r="BY437" s="1"/>
      <c r="BZ437" s="1"/>
      <c r="CA437" s="1"/>
      <c r="CB437" s="1"/>
      <c r="CC437" s="1"/>
      <c r="CD437" s="1"/>
      <c r="CE437" s="1"/>
      <c r="CF437" s="1"/>
      <c r="CG437" s="1"/>
      <c r="CH437" s="1"/>
      <c r="CI437" s="1"/>
      <c r="CJ437" s="1"/>
      <c r="CK437" s="1"/>
      <c r="CL437" s="1"/>
      <c r="CM437" s="1"/>
      <c r="CN437" s="1"/>
      <c r="CO437" s="1"/>
      <c r="CP437" s="1"/>
      <c r="CQ437" s="1"/>
      <c r="CR437" s="1"/>
      <c r="CS437" s="1"/>
      <c r="CT437" s="1"/>
      <c r="CU437" s="1"/>
      <c r="CV437" s="1"/>
      <c r="CW437" s="1"/>
      <c r="CX437" s="1"/>
      <c r="CY437" s="1"/>
      <c r="CZ437" s="1"/>
      <c r="DA437" s="1"/>
      <c r="DB437" s="1"/>
      <c r="DC437" s="1"/>
      <c r="DD437" s="1"/>
      <c r="DE437" s="1"/>
      <c r="DF437" s="1"/>
      <c r="DG437" s="1"/>
      <c r="DH437" s="1"/>
      <c r="DI437" s="1"/>
      <c r="DJ437" s="1"/>
      <c r="DK437" s="1"/>
      <c r="DL437" s="1"/>
      <c r="DM437" s="1"/>
      <c r="DN437" s="1"/>
      <c r="DO437" s="1"/>
      <c r="DP437" s="1"/>
      <c r="DQ437" s="1"/>
      <c r="DR437" s="1"/>
      <c r="DS437" s="1"/>
      <c r="DT437" s="1"/>
      <c r="DU437" s="1"/>
      <c r="DV437" s="1"/>
      <c r="DW437" s="1"/>
      <c r="DX437" s="1"/>
      <c r="DY437" s="1"/>
      <c r="DZ437" s="1"/>
      <c r="EA437" s="1"/>
      <c r="EB437" s="1"/>
      <c r="EC437" s="1"/>
      <c r="ED437" s="1"/>
      <c r="EE437" s="1"/>
      <c r="EF437" s="1"/>
      <c r="EG437" s="1"/>
      <c r="EH437" s="1"/>
      <c r="EI437" s="1"/>
      <c r="EJ437" s="1"/>
      <c r="EK437" s="1"/>
      <c r="EL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c r="BR438" s="1"/>
      <c r="BS438" s="1"/>
      <c r="BT438" s="1"/>
      <c r="BU438" s="1"/>
      <c r="BV438" s="1"/>
      <c r="BW438" s="1"/>
      <c r="BX438" s="1"/>
      <c r="BY438" s="1"/>
      <c r="BZ438" s="1"/>
      <c r="CA438" s="1"/>
      <c r="CB438" s="1"/>
      <c r="CC438" s="1"/>
      <c r="CD438" s="1"/>
      <c r="CE438" s="1"/>
      <c r="CF438" s="1"/>
      <c r="CG438" s="1"/>
      <c r="CH438" s="1"/>
      <c r="CI438" s="1"/>
      <c r="CJ438" s="1"/>
      <c r="CK438" s="1"/>
      <c r="CL438" s="1"/>
      <c r="CM438" s="1"/>
      <c r="CN438" s="1"/>
      <c r="CO438" s="1"/>
      <c r="CP438" s="1"/>
      <c r="CQ438" s="1"/>
      <c r="CR438" s="1"/>
      <c r="CS438" s="1"/>
      <c r="CT438" s="1"/>
      <c r="CU438" s="1"/>
      <c r="CV438" s="1"/>
      <c r="CW438" s="1"/>
      <c r="CX438" s="1"/>
      <c r="CY438" s="1"/>
      <c r="CZ438" s="1"/>
      <c r="DA438" s="1"/>
      <c r="DB438" s="1"/>
      <c r="DC438" s="1"/>
      <c r="DD438" s="1"/>
      <c r="DE438" s="1"/>
      <c r="DF438" s="1"/>
      <c r="DG438" s="1"/>
      <c r="DH438" s="1"/>
      <c r="DI438" s="1"/>
      <c r="DJ438" s="1"/>
      <c r="DK438" s="1"/>
      <c r="DL438" s="1"/>
      <c r="DM438" s="1"/>
      <c r="DN438" s="1"/>
      <c r="DO438" s="1"/>
      <c r="DP438" s="1"/>
      <c r="DQ438" s="1"/>
      <c r="DR438" s="1"/>
      <c r="DS438" s="1"/>
      <c r="DT438" s="1"/>
      <c r="DU438" s="1"/>
      <c r="DV438" s="1"/>
      <c r="DW438" s="1"/>
      <c r="DX438" s="1"/>
      <c r="DY438" s="1"/>
      <c r="DZ438" s="1"/>
      <c r="EA438" s="1"/>
      <c r="EB438" s="1"/>
      <c r="EC438" s="1"/>
      <c r="ED438" s="1"/>
      <c r="EE438" s="1"/>
      <c r="EF438" s="1"/>
      <c r="EG438" s="1"/>
      <c r="EH438" s="1"/>
      <c r="EI438" s="1"/>
      <c r="EJ438" s="1"/>
      <c r="EK438" s="1"/>
      <c r="EL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c r="BR439" s="1"/>
      <c r="BS439" s="1"/>
      <c r="BT439" s="1"/>
      <c r="BU439" s="1"/>
      <c r="BV439" s="1"/>
      <c r="BW439" s="1"/>
      <c r="BX439" s="1"/>
      <c r="BY439" s="1"/>
      <c r="BZ439" s="1"/>
      <c r="CA439" s="1"/>
      <c r="CB439" s="1"/>
      <c r="CC439" s="1"/>
      <c r="CD439" s="1"/>
      <c r="CE439" s="1"/>
      <c r="CF439" s="1"/>
      <c r="CG439" s="1"/>
      <c r="CH439" s="1"/>
      <c r="CI439" s="1"/>
      <c r="CJ439" s="1"/>
      <c r="CK439" s="1"/>
      <c r="CL439" s="1"/>
      <c r="CM439" s="1"/>
      <c r="CN439" s="1"/>
      <c r="CO439" s="1"/>
      <c r="CP439" s="1"/>
      <c r="CQ439" s="1"/>
      <c r="CR439" s="1"/>
      <c r="CS439" s="1"/>
      <c r="CT439" s="1"/>
      <c r="CU439" s="1"/>
      <c r="CV439" s="1"/>
      <c r="CW439" s="1"/>
      <c r="CX439" s="1"/>
      <c r="CY439" s="1"/>
      <c r="CZ439" s="1"/>
      <c r="DA439" s="1"/>
      <c r="DB439" s="1"/>
      <c r="DC439" s="1"/>
      <c r="DD439" s="1"/>
      <c r="DE439" s="1"/>
      <c r="DF439" s="1"/>
      <c r="DG439" s="1"/>
      <c r="DH439" s="1"/>
      <c r="DI439" s="1"/>
      <c r="DJ439" s="1"/>
      <c r="DK439" s="1"/>
      <c r="DL439" s="1"/>
      <c r="DM439" s="1"/>
      <c r="DN439" s="1"/>
      <c r="DO439" s="1"/>
      <c r="DP439" s="1"/>
      <c r="DQ439" s="1"/>
      <c r="DR439" s="1"/>
      <c r="DS439" s="1"/>
      <c r="DT439" s="1"/>
      <c r="DU439" s="1"/>
      <c r="DV439" s="1"/>
      <c r="DW439" s="1"/>
      <c r="DX439" s="1"/>
      <c r="DY439" s="1"/>
      <c r="DZ439" s="1"/>
      <c r="EA439" s="1"/>
      <c r="EB439" s="1"/>
      <c r="EC439" s="1"/>
      <c r="ED439" s="1"/>
      <c r="EE439" s="1"/>
      <c r="EF439" s="1"/>
      <c r="EG439" s="1"/>
      <c r="EH439" s="1"/>
      <c r="EI439" s="1"/>
      <c r="EJ439" s="1"/>
      <c r="EK439" s="1"/>
      <c r="EL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c r="BR440" s="1"/>
      <c r="BS440" s="1"/>
      <c r="BT440" s="1"/>
      <c r="BU440" s="1"/>
      <c r="BV440" s="1"/>
      <c r="BW440" s="1"/>
      <c r="BX440" s="1"/>
      <c r="BY440" s="1"/>
      <c r="BZ440" s="1"/>
      <c r="CA440" s="1"/>
      <c r="CB440" s="1"/>
      <c r="CC440" s="1"/>
      <c r="CD440" s="1"/>
      <c r="CE440" s="1"/>
      <c r="CF440" s="1"/>
      <c r="CG440" s="1"/>
      <c r="CH440" s="1"/>
      <c r="CI440" s="1"/>
      <c r="CJ440" s="1"/>
      <c r="CK440" s="1"/>
      <c r="CL440" s="1"/>
      <c r="CM440" s="1"/>
      <c r="CN440" s="1"/>
      <c r="CO440" s="1"/>
      <c r="CP440" s="1"/>
      <c r="CQ440" s="1"/>
      <c r="CR440" s="1"/>
      <c r="CS440" s="1"/>
      <c r="CT440" s="1"/>
      <c r="CU440" s="1"/>
      <c r="CV440" s="1"/>
      <c r="CW440" s="1"/>
      <c r="CX440" s="1"/>
      <c r="CY440" s="1"/>
      <c r="CZ440" s="1"/>
      <c r="DA440" s="1"/>
      <c r="DB440" s="1"/>
      <c r="DC440" s="1"/>
      <c r="DD440" s="1"/>
      <c r="DE440" s="1"/>
      <c r="DF440" s="1"/>
      <c r="DG440" s="1"/>
      <c r="DH440" s="1"/>
      <c r="DI440" s="1"/>
      <c r="DJ440" s="1"/>
      <c r="DK440" s="1"/>
      <c r="DL440" s="1"/>
      <c r="DM440" s="1"/>
      <c r="DN440" s="1"/>
      <c r="DO440" s="1"/>
      <c r="DP440" s="1"/>
      <c r="DQ440" s="1"/>
      <c r="DR440" s="1"/>
      <c r="DS440" s="1"/>
      <c r="DT440" s="1"/>
      <c r="DU440" s="1"/>
      <c r="DV440" s="1"/>
      <c r="DW440" s="1"/>
      <c r="DX440" s="1"/>
      <c r="DY440" s="1"/>
      <c r="DZ440" s="1"/>
      <c r="EA440" s="1"/>
      <c r="EB440" s="1"/>
      <c r="EC440" s="1"/>
      <c r="ED440" s="1"/>
      <c r="EE440" s="1"/>
      <c r="EF440" s="1"/>
      <c r="EG440" s="1"/>
      <c r="EH440" s="1"/>
      <c r="EI440" s="1"/>
      <c r="EJ440" s="1"/>
      <c r="EK440" s="1"/>
      <c r="EL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c r="BR441" s="1"/>
      <c r="BS441" s="1"/>
      <c r="BT441" s="1"/>
      <c r="BU441" s="1"/>
      <c r="BV441" s="1"/>
      <c r="BW441" s="1"/>
      <c r="BX441" s="1"/>
      <c r="BY441" s="1"/>
      <c r="BZ441" s="1"/>
      <c r="CA441" s="1"/>
      <c r="CB441" s="1"/>
      <c r="CC441" s="1"/>
      <c r="CD441" s="1"/>
      <c r="CE441" s="1"/>
      <c r="CF441" s="1"/>
      <c r="CG441" s="1"/>
      <c r="CH441" s="1"/>
      <c r="CI441" s="1"/>
      <c r="CJ441" s="1"/>
      <c r="CK441" s="1"/>
      <c r="CL441" s="1"/>
      <c r="CM441" s="1"/>
      <c r="CN441" s="1"/>
      <c r="CO441" s="1"/>
      <c r="CP441" s="1"/>
      <c r="CQ441" s="1"/>
      <c r="CR441" s="1"/>
      <c r="CS441" s="1"/>
      <c r="CT441" s="1"/>
      <c r="CU441" s="1"/>
      <c r="CV441" s="1"/>
      <c r="CW441" s="1"/>
      <c r="CX441" s="1"/>
      <c r="CY441" s="1"/>
      <c r="CZ441" s="1"/>
      <c r="DA441" s="1"/>
      <c r="DB441" s="1"/>
      <c r="DC441" s="1"/>
      <c r="DD441" s="1"/>
      <c r="DE441" s="1"/>
      <c r="DF441" s="1"/>
      <c r="DG441" s="1"/>
      <c r="DH441" s="1"/>
      <c r="DI441" s="1"/>
      <c r="DJ441" s="1"/>
      <c r="DK441" s="1"/>
      <c r="DL441" s="1"/>
      <c r="DM441" s="1"/>
      <c r="DN441" s="1"/>
      <c r="DO441" s="1"/>
      <c r="DP441" s="1"/>
      <c r="DQ441" s="1"/>
      <c r="DR441" s="1"/>
      <c r="DS441" s="1"/>
      <c r="DT441" s="1"/>
      <c r="DU441" s="1"/>
      <c r="DV441" s="1"/>
      <c r="DW441" s="1"/>
      <c r="DX441" s="1"/>
      <c r="DY441" s="1"/>
      <c r="DZ441" s="1"/>
      <c r="EA441" s="1"/>
      <c r="EB441" s="1"/>
      <c r="EC441" s="1"/>
      <c r="ED441" s="1"/>
      <c r="EE441" s="1"/>
      <c r="EF441" s="1"/>
      <c r="EG441" s="1"/>
      <c r="EH441" s="1"/>
      <c r="EI441" s="1"/>
      <c r="EJ441" s="1"/>
      <c r="EK441" s="1"/>
      <c r="EL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c r="BR442" s="1"/>
      <c r="BS442" s="1"/>
      <c r="BT442" s="1"/>
      <c r="BU442" s="1"/>
      <c r="BV442" s="1"/>
      <c r="BW442" s="1"/>
      <c r="BX442" s="1"/>
      <c r="BY442" s="1"/>
      <c r="BZ442" s="1"/>
      <c r="CA442" s="1"/>
      <c r="CB442" s="1"/>
      <c r="CC442" s="1"/>
      <c r="CD442" s="1"/>
      <c r="CE442" s="1"/>
      <c r="CF442" s="1"/>
      <c r="CG442" s="1"/>
      <c r="CH442" s="1"/>
      <c r="CI442" s="1"/>
      <c r="CJ442" s="1"/>
      <c r="CK442" s="1"/>
      <c r="CL442" s="1"/>
      <c r="CM442" s="1"/>
      <c r="CN442" s="1"/>
      <c r="CO442" s="1"/>
      <c r="CP442" s="1"/>
      <c r="CQ442" s="1"/>
      <c r="CR442" s="1"/>
      <c r="CS442" s="1"/>
      <c r="CT442" s="1"/>
      <c r="CU442" s="1"/>
      <c r="CV442" s="1"/>
      <c r="CW442" s="1"/>
      <c r="CX442" s="1"/>
      <c r="CY442" s="1"/>
      <c r="CZ442" s="1"/>
      <c r="DA442" s="1"/>
      <c r="DB442" s="1"/>
      <c r="DC442" s="1"/>
      <c r="DD442" s="1"/>
      <c r="DE442" s="1"/>
      <c r="DF442" s="1"/>
      <c r="DG442" s="1"/>
      <c r="DH442" s="1"/>
      <c r="DI442" s="1"/>
      <c r="DJ442" s="1"/>
      <c r="DK442" s="1"/>
      <c r="DL442" s="1"/>
      <c r="DM442" s="1"/>
      <c r="DN442" s="1"/>
      <c r="DO442" s="1"/>
      <c r="DP442" s="1"/>
      <c r="DQ442" s="1"/>
      <c r="DR442" s="1"/>
      <c r="DS442" s="1"/>
      <c r="DT442" s="1"/>
      <c r="DU442" s="1"/>
      <c r="DV442" s="1"/>
      <c r="DW442" s="1"/>
      <c r="DX442" s="1"/>
      <c r="DY442" s="1"/>
      <c r="DZ442" s="1"/>
      <c r="EA442" s="1"/>
      <c r="EB442" s="1"/>
      <c r="EC442" s="1"/>
      <c r="ED442" s="1"/>
      <c r="EE442" s="1"/>
      <c r="EF442" s="1"/>
      <c r="EG442" s="1"/>
      <c r="EH442" s="1"/>
      <c r="EI442" s="1"/>
      <c r="EJ442" s="1"/>
      <c r="EK442" s="1"/>
      <c r="EL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c r="BR443" s="1"/>
      <c r="BS443" s="1"/>
      <c r="BT443" s="1"/>
      <c r="BU443" s="1"/>
      <c r="BV443" s="1"/>
      <c r="BW443" s="1"/>
      <c r="BX443" s="1"/>
      <c r="BY443" s="1"/>
      <c r="BZ443" s="1"/>
      <c r="CA443" s="1"/>
      <c r="CB443" s="1"/>
      <c r="CC443" s="1"/>
      <c r="CD443" s="1"/>
      <c r="CE443" s="1"/>
      <c r="CF443" s="1"/>
      <c r="CG443" s="1"/>
      <c r="CH443" s="1"/>
      <c r="CI443" s="1"/>
      <c r="CJ443" s="1"/>
      <c r="CK443" s="1"/>
      <c r="CL443" s="1"/>
      <c r="CM443" s="1"/>
      <c r="CN443" s="1"/>
      <c r="CO443" s="1"/>
      <c r="CP443" s="1"/>
      <c r="CQ443" s="1"/>
      <c r="CR443" s="1"/>
      <c r="CS443" s="1"/>
      <c r="CT443" s="1"/>
      <c r="CU443" s="1"/>
      <c r="CV443" s="1"/>
      <c r="CW443" s="1"/>
      <c r="CX443" s="1"/>
      <c r="CY443" s="1"/>
      <c r="CZ443" s="1"/>
      <c r="DA443" s="1"/>
      <c r="DB443" s="1"/>
      <c r="DC443" s="1"/>
      <c r="DD443" s="1"/>
      <c r="DE443" s="1"/>
      <c r="DF443" s="1"/>
      <c r="DG443" s="1"/>
      <c r="DH443" s="1"/>
      <c r="DI443" s="1"/>
      <c r="DJ443" s="1"/>
      <c r="DK443" s="1"/>
      <c r="DL443" s="1"/>
      <c r="DM443" s="1"/>
      <c r="DN443" s="1"/>
      <c r="DO443" s="1"/>
      <c r="DP443" s="1"/>
      <c r="DQ443" s="1"/>
      <c r="DR443" s="1"/>
      <c r="DS443" s="1"/>
      <c r="DT443" s="1"/>
      <c r="DU443" s="1"/>
      <c r="DV443" s="1"/>
      <c r="DW443" s="1"/>
      <c r="DX443" s="1"/>
      <c r="DY443" s="1"/>
      <c r="DZ443" s="1"/>
      <c r="EA443" s="1"/>
      <c r="EB443" s="1"/>
      <c r="EC443" s="1"/>
      <c r="ED443" s="1"/>
      <c r="EE443" s="1"/>
      <c r="EF443" s="1"/>
      <c r="EG443" s="1"/>
      <c r="EH443" s="1"/>
      <c r="EI443" s="1"/>
      <c r="EJ443" s="1"/>
      <c r="EK443" s="1"/>
      <c r="EL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c r="BR444" s="1"/>
      <c r="BS444" s="1"/>
      <c r="BT444" s="1"/>
      <c r="BU444" s="1"/>
      <c r="BV444" s="1"/>
      <c r="BW444" s="1"/>
      <c r="BX444" s="1"/>
      <c r="BY444" s="1"/>
      <c r="BZ444" s="1"/>
      <c r="CA444" s="1"/>
      <c r="CB444" s="1"/>
      <c r="CC444" s="1"/>
      <c r="CD444" s="1"/>
      <c r="CE444" s="1"/>
      <c r="CF444" s="1"/>
      <c r="CG444" s="1"/>
      <c r="CH444" s="1"/>
      <c r="CI444" s="1"/>
      <c r="CJ444" s="1"/>
      <c r="CK444" s="1"/>
      <c r="CL444" s="1"/>
      <c r="CM444" s="1"/>
      <c r="CN444" s="1"/>
      <c r="CO444" s="1"/>
      <c r="CP444" s="1"/>
      <c r="CQ444" s="1"/>
      <c r="CR444" s="1"/>
      <c r="CS444" s="1"/>
      <c r="CT444" s="1"/>
      <c r="CU444" s="1"/>
      <c r="CV444" s="1"/>
      <c r="CW444" s="1"/>
      <c r="CX444" s="1"/>
      <c r="CY444" s="1"/>
      <c r="CZ444" s="1"/>
      <c r="DA444" s="1"/>
      <c r="DB444" s="1"/>
      <c r="DC444" s="1"/>
      <c r="DD444" s="1"/>
      <c r="DE444" s="1"/>
      <c r="DF444" s="1"/>
      <c r="DG444" s="1"/>
      <c r="DH444" s="1"/>
      <c r="DI444" s="1"/>
      <c r="DJ444" s="1"/>
      <c r="DK444" s="1"/>
      <c r="DL444" s="1"/>
      <c r="DM444" s="1"/>
      <c r="DN444" s="1"/>
      <c r="DO444" s="1"/>
      <c r="DP444" s="1"/>
      <c r="DQ444" s="1"/>
      <c r="DR444" s="1"/>
      <c r="DS444" s="1"/>
      <c r="DT444" s="1"/>
      <c r="DU444" s="1"/>
      <c r="DV444" s="1"/>
      <c r="DW444" s="1"/>
      <c r="DX444" s="1"/>
      <c r="DY444" s="1"/>
      <c r="DZ444" s="1"/>
      <c r="EA444" s="1"/>
      <c r="EB444" s="1"/>
      <c r="EC444" s="1"/>
      <c r="ED444" s="1"/>
      <c r="EE444" s="1"/>
      <c r="EF444" s="1"/>
      <c r="EG444" s="1"/>
      <c r="EH444" s="1"/>
      <c r="EI444" s="1"/>
      <c r="EJ444" s="1"/>
      <c r="EK444" s="1"/>
      <c r="EL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c r="BR445" s="1"/>
      <c r="BS445" s="1"/>
      <c r="BT445" s="1"/>
      <c r="BU445" s="1"/>
      <c r="BV445" s="1"/>
      <c r="BW445" s="1"/>
      <c r="BX445" s="1"/>
      <c r="BY445" s="1"/>
      <c r="BZ445" s="1"/>
      <c r="CA445" s="1"/>
      <c r="CB445" s="1"/>
      <c r="CC445" s="1"/>
      <c r="CD445" s="1"/>
      <c r="CE445" s="1"/>
      <c r="CF445" s="1"/>
      <c r="CG445" s="1"/>
      <c r="CH445" s="1"/>
      <c r="CI445" s="1"/>
      <c r="CJ445" s="1"/>
      <c r="CK445" s="1"/>
      <c r="CL445" s="1"/>
      <c r="CM445" s="1"/>
      <c r="CN445" s="1"/>
      <c r="CO445" s="1"/>
      <c r="CP445" s="1"/>
      <c r="CQ445" s="1"/>
      <c r="CR445" s="1"/>
      <c r="CS445" s="1"/>
      <c r="CT445" s="1"/>
      <c r="CU445" s="1"/>
      <c r="CV445" s="1"/>
      <c r="CW445" s="1"/>
      <c r="CX445" s="1"/>
      <c r="CY445" s="1"/>
      <c r="CZ445" s="1"/>
      <c r="DA445" s="1"/>
      <c r="DB445" s="1"/>
      <c r="DC445" s="1"/>
      <c r="DD445" s="1"/>
      <c r="DE445" s="1"/>
      <c r="DF445" s="1"/>
      <c r="DG445" s="1"/>
      <c r="DH445" s="1"/>
      <c r="DI445" s="1"/>
      <c r="DJ445" s="1"/>
      <c r="DK445" s="1"/>
      <c r="DL445" s="1"/>
      <c r="DM445" s="1"/>
      <c r="DN445" s="1"/>
      <c r="DO445" s="1"/>
      <c r="DP445" s="1"/>
      <c r="DQ445" s="1"/>
      <c r="DR445" s="1"/>
      <c r="DS445" s="1"/>
      <c r="DT445" s="1"/>
      <c r="DU445" s="1"/>
      <c r="DV445" s="1"/>
      <c r="DW445" s="1"/>
      <c r="DX445" s="1"/>
      <c r="DY445" s="1"/>
      <c r="DZ445" s="1"/>
      <c r="EA445" s="1"/>
      <c r="EB445" s="1"/>
      <c r="EC445" s="1"/>
      <c r="ED445" s="1"/>
      <c r="EE445" s="1"/>
      <c r="EF445" s="1"/>
      <c r="EG445" s="1"/>
      <c r="EH445" s="1"/>
      <c r="EI445" s="1"/>
      <c r="EJ445" s="1"/>
      <c r="EK445" s="1"/>
      <c r="EL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c r="BR446" s="1"/>
      <c r="BS446" s="1"/>
      <c r="BT446" s="1"/>
      <c r="BU446" s="1"/>
      <c r="BV446" s="1"/>
      <c r="BW446" s="1"/>
      <c r="BX446" s="1"/>
      <c r="BY446" s="1"/>
      <c r="BZ446" s="1"/>
      <c r="CA446" s="1"/>
      <c r="CB446" s="1"/>
      <c r="CC446" s="1"/>
      <c r="CD446" s="1"/>
      <c r="CE446" s="1"/>
      <c r="CF446" s="1"/>
      <c r="CG446" s="1"/>
      <c r="CH446" s="1"/>
      <c r="CI446" s="1"/>
      <c r="CJ446" s="1"/>
      <c r="CK446" s="1"/>
      <c r="CL446" s="1"/>
      <c r="CM446" s="1"/>
      <c r="CN446" s="1"/>
      <c r="CO446" s="1"/>
      <c r="CP446" s="1"/>
      <c r="CQ446" s="1"/>
      <c r="CR446" s="1"/>
      <c r="CS446" s="1"/>
      <c r="CT446" s="1"/>
      <c r="CU446" s="1"/>
      <c r="CV446" s="1"/>
      <c r="CW446" s="1"/>
      <c r="CX446" s="1"/>
      <c r="CY446" s="1"/>
      <c r="CZ446" s="1"/>
      <c r="DA446" s="1"/>
      <c r="DB446" s="1"/>
      <c r="DC446" s="1"/>
      <c r="DD446" s="1"/>
      <c r="DE446" s="1"/>
      <c r="DF446" s="1"/>
      <c r="DG446" s="1"/>
      <c r="DH446" s="1"/>
      <c r="DI446" s="1"/>
      <c r="DJ446" s="1"/>
      <c r="DK446" s="1"/>
      <c r="DL446" s="1"/>
      <c r="DM446" s="1"/>
      <c r="DN446" s="1"/>
      <c r="DO446" s="1"/>
      <c r="DP446" s="1"/>
      <c r="DQ446" s="1"/>
      <c r="DR446" s="1"/>
      <c r="DS446" s="1"/>
      <c r="DT446" s="1"/>
      <c r="DU446" s="1"/>
      <c r="DV446" s="1"/>
      <c r="DW446" s="1"/>
      <c r="DX446" s="1"/>
      <c r="DY446" s="1"/>
      <c r="DZ446" s="1"/>
      <c r="EA446" s="1"/>
      <c r="EB446" s="1"/>
      <c r="EC446" s="1"/>
      <c r="ED446" s="1"/>
      <c r="EE446" s="1"/>
      <c r="EF446" s="1"/>
      <c r="EG446" s="1"/>
      <c r="EH446" s="1"/>
      <c r="EI446" s="1"/>
      <c r="EJ446" s="1"/>
      <c r="EK446" s="1"/>
      <c r="EL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c r="BR447" s="1"/>
      <c r="BS447" s="1"/>
      <c r="BT447" s="1"/>
      <c r="BU447" s="1"/>
      <c r="BV447" s="1"/>
      <c r="BW447" s="1"/>
      <c r="BX447" s="1"/>
      <c r="BY447" s="1"/>
      <c r="BZ447" s="1"/>
      <c r="CA447" s="1"/>
      <c r="CB447" s="1"/>
      <c r="CC447" s="1"/>
      <c r="CD447" s="1"/>
      <c r="CE447" s="1"/>
      <c r="CF447" s="1"/>
      <c r="CG447" s="1"/>
      <c r="CH447" s="1"/>
      <c r="CI447" s="1"/>
      <c r="CJ447" s="1"/>
      <c r="CK447" s="1"/>
      <c r="CL447" s="1"/>
      <c r="CM447" s="1"/>
      <c r="CN447" s="1"/>
      <c r="CO447" s="1"/>
      <c r="CP447" s="1"/>
      <c r="CQ447" s="1"/>
      <c r="CR447" s="1"/>
      <c r="CS447" s="1"/>
      <c r="CT447" s="1"/>
      <c r="CU447" s="1"/>
      <c r="CV447" s="1"/>
      <c r="CW447" s="1"/>
      <c r="CX447" s="1"/>
      <c r="CY447" s="1"/>
      <c r="CZ447" s="1"/>
      <c r="DA447" s="1"/>
      <c r="DB447" s="1"/>
      <c r="DC447" s="1"/>
      <c r="DD447" s="1"/>
      <c r="DE447" s="1"/>
      <c r="DF447" s="1"/>
      <c r="DG447" s="1"/>
      <c r="DH447" s="1"/>
      <c r="DI447" s="1"/>
      <c r="DJ447" s="1"/>
      <c r="DK447" s="1"/>
      <c r="DL447" s="1"/>
      <c r="DM447" s="1"/>
      <c r="DN447" s="1"/>
      <c r="DO447" s="1"/>
      <c r="DP447" s="1"/>
      <c r="DQ447" s="1"/>
      <c r="DR447" s="1"/>
      <c r="DS447" s="1"/>
      <c r="DT447" s="1"/>
      <c r="DU447" s="1"/>
      <c r="DV447" s="1"/>
      <c r="DW447" s="1"/>
      <c r="DX447" s="1"/>
      <c r="DY447" s="1"/>
      <c r="DZ447" s="1"/>
      <c r="EA447" s="1"/>
      <c r="EB447" s="1"/>
      <c r="EC447" s="1"/>
      <c r="ED447" s="1"/>
      <c r="EE447" s="1"/>
      <c r="EF447" s="1"/>
      <c r="EG447" s="1"/>
      <c r="EH447" s="1"/>
      <c r="EI447" s="1"/>
      <c r="EJ447" s="1"/>
      <c r="EK447" s="1"/>
      <c r="EL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c r="BR448" s="1"/>
      <c r="BS448" s="1"/>
      <c r="BT448" s="1"/>
      <c r="BU448" s="1"/>
      <c r="BV448" s="1"/>
      <c r="BW448" s="1"/>
      <c r="BX448" s="1"/>
      <c r="BY448" s="1"/>
      <c r="BZ448" s="1"/>
      <c r="CA448" s="1"/>
      <c r="CB448" s="1"/>
      <c r="CC448" s="1"/>
      <c r="CD448" s="1"/>
      <c r="CE448" s="1"/>
      <c r="CF448" s="1"/>
      <c r="CG448" s="1"/>
      <c r="CH448" s="1"/>
      <c r="CI448" s="1"/>
      <c r="CJ448" s="1"/>
      <c r="CK448" s="1"/>
      <c r="CL448" s="1"/>
      <c r="CM448" s="1"/>
      <c r="CN448" s="1"/>
      <c r="CO448" s="1"/>
      <c r="CP448" s="1"/>
      <c r="CQ448" s="1"/>
      <c r="CR448" s="1"/>
      <c r="CS448" s="1"/>
      <c r="CT448" s="1"/>
      <c r="CU448" s="1"/>
      <c r="CV448" s="1"/>
      <c r="CW448" s="1"/>
      <c r="CX448" s="1"/>
      <c r="CY448" s="1"/>
      <c r="CZ448" s="1"/>
      <c r="DA448" s="1"/>
      <c r="DB448" s="1"/>
      <c r="DC448" s="1"/>
      <c r="DD448" s="1"/>
      <c r="DE448" s="1"/>
      <c r="DF448" s="1"/>
      <c r="DG448" s="1"/>
      <c r="DH448" s="1"/>
      <c r="DI448" s="1"/>
      <c r="DJ448" s="1"/>
      <c r="DK448" s="1"/>
      <c r="DL448" s="1"/>
      <c r="DM448" s="1"/>
      <c r="DN448" s="1"/>
      <c r="DO448" s="1"/>
      <c r="DP448" s="1"/>
      <c r="DQ448" s="1"/>
      <c r="DR448" s="1"/>
      <c r="DS448" s="1"/>
      <c r="DT448" s="1"/>
      <c r="DU448" s="1"/>
      <c r="DV448" s="1"/>
      <c r="DW448" s="1"/>
      <c r="DX448" s="1"/>
      <c r="DY448" s="1"/>
      <c r="DZ448" s="1"/>
      <c r="EA448" s="1"/>
      <c r="EB448" s="1"/>
      <c r="EC448" s="1"/>
      <c r="ED448" s="1"/>
      <c r="EE448" s="1"/>
      <c r="EF448" s="1"/>
      <c r="EG448" s="1"/>
      <c r="EH448" s="1"/>
      <c r="EI448" s="1"/>
      <c r="EJ448" s="1"/>
      <c r="EK448" s="1"/>
      <c r="EL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c r="BR449" s="1"/>
      <c r="BS449" s="1"/>
      <c r="BT449" s="1"/>
      <c r="BU449" s="1"/>
      <c r="BV449" s="1"/>
      <c r="BW449" s="1"/>
      <c r="BX449" s="1"/>
      <c r="BY449" s="1"/>
      <c r="BZ449" s="1"/>
      <c r="CA449" s="1"/>
      <c r="CB449" s="1"/>
      <c r="CC449" s="1"/>
      <c r="CD449" s="1"/>
      <c r="CE449" s="1"/>
      <c r="CF449" s="1"/>
      <c r="CG449" s="1"/>
      <c r="CH449" s="1"/>
      <c r="CI449" s="1"/>
      <c r="CJ449" s="1"/>
      <c r="CK449" s="1"/>
      <c r="CL449" s="1"/>
      <c r="CM449" s="1"/>
      <c r="CN449" s="1"/>
      <c r="CO449" s="1"/>
      <c r="CP449" s="1"/>
      <c r="CQ449" s="1"/>
      <c r="CR449" s="1"/>
      <c r="CS449" s="1"/>
      <c r="CT449" s="1"/>
      <c r="CU449" s="1"/>
      <c r="CV449" s="1"/>
      <c r="CW449" s="1"/>
      <c r="CX449" s="1"/>
      <c r="CY449" s="1"/>
      <c r="CZ449" s="1"/>
      <c r="DA449" s="1"/>
      <c r="DB449" s="1"/>
      <c r="DC449" s="1"/>
      <c r="DD449" s="1"/>
      <c r="DE449" s="1"/>
      <c r="DF449" s="1"/>
      <c r="DG449" s="1"/>
      <c r="DH449" s="1"/>
      <c r="DI449" s="1"/>
      <c r="DJ449" s="1"/>
      <c r="DK449" s="1"/>
      <c r="DL449" s="1"/>
      <c r="DM449" s="1"/>
      <c r="DN449" s="1"/>
      <c r="DO449" s="1"/>
      <c r="DP449" s="1"/>
      <c r="DQ449" s="1"/>
      <c r="DR449" s="1"/>
      <c r="DS449" s="1"/>
      <c r="DT449" s="1"/>
      <c r="DU449" s="1"/>
      <c r="DV449" s="1"/>
      <c r="DW449" s="1"/>
      <c r="DX449" s="1"/>
      <c r="DY449" s="1"/>
      <c r="DZ449" s="1"/>
      <c r="EA449" s="1"/>
      <c r="EB449" s="1"/>
      <c r="EC449" s="1"/>
      <c r="ED449" s="1"/>
      <c r="EE449" s="1"/>
      <c r="EF449" s="1"/>
      <c r="EG449" s="1"/>
      <c r="EH449" s="1"/>
      <c r="EI449" s="1"/>
      <c r="EJ449" s="1"/>
      <c r="EK449" s="1"/>
      <c r="EL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c r="BR450" s="1"/>
      <c r="BS450" s="1"/>
      <c r="BT450" s="1"/>
      <c r="BU450" s="1"/>
      <c r="BV450" s="1"/>
      <c r="BW450" s="1"/>
      <c r="BX450" s="1"/>
      <c r="BY450" s="1"/>
      <c r="BZ450" s="1"/>
      <c r="CA450" s="1"/>
      <c r="CB450" s="1"/>
      <c r="CC450" s="1"/>
      <c r="CD450" s="1"/>
      <c r="CE450" s="1"/>
      <c r="CF450" s="1"/>
      <c r="CG450" s="1"/>
      <c r="CH450" s="1"/>
      <c r="CI450" s="1"/>
      <c r="CJ450" s="1"/>
      <c r="CK450" s="1"/>
      <c r="CL450" s="1"/>
      <c r="CM450" s="1"/>
      <c r="CN450" s="1"/>
      <c r="CO450" s="1"/>
      <c r="CP450" s="1"/>
      <c r="CQ450" s="1"/>
      <c r="CR450" s="1"/>
      <c r="CS450" s="1"/>
      <c r="CT450" s="1"/>
      <c r="CU450" s="1"/>
      <c r="CV450" s="1"/>
      <c r="CW450" s="1"/>
      <c r="CX450" s="1"/>
      <c r="CY450" s="1"/>
      <c r="CZ450" s="1"/>
      <c r="DA450" s="1"/>
      <c r="DB450" s="1"/>
      <c r="DC450" s="1"/>
      <c r="DD450" s="1"/>
      <c r="DE450" s="1"/>
      <c r="DF450" s="1"/>
      <c r="DG450" s="1"/>
      <c r="DH450" s="1"/>
      <c r="DI450" s="1"/>
      <c r="DJ450" s="1"/>
      <c r="DK450" s="1"/>
      <c r="DL450" s="1"/>
      <c r="DM450" s="1"/>
      <c r="DN450" s="1"/>
      <c r="DO450" s="1"/>
      <c r="DP450" s="1"/>
      <c r="DQ450" s="1"/>
      <c r="DR450" s="1"/>
      <c r="DS450" s="1"/>
      <c r="DT450" s="1"/>
      <c r="DU450" s="1"/>
      <c r="DV450" s="1"/>
      <c r="DW450" s="1"/>
      <c r="DX450" s="1"/>
      <c r="DY450" s="1"/>
      <c r="DZ450" s="1"/>
      <c r="EA450" s="1"/>
      <c r="EB450" s="1"/>
      <c r="EC450" s="1"/>
      <c r="ED450" s="1"/>
      <c r="EE450" s="1"/>
      <c r="EF450" s="1"/>
      <c r="EG450" s="1"/>
      <c r="EH450" s="1"/>
      <c r="EI450" s="1"/>
      <c r="EJ450" s="1"/>
      <c r="EK450" s="1"/>
      <c r="EL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c r="BR451" s="1"/>
      <c r="BS451" s="1"/>
      <c r="BT451" s="1"/>
      <c r="BU451" s="1"/>
      <c r="BV451" s="1"/>
      <c r="BW451" s="1"/>
      <c r="BX451" s="1"/>
      <c r="BY451" s="1"/>
      <c r="BZ451" s="1"/>
      <c r="CA451" s="1"/>
      <c r="CB451" s="1"/>
      <c r="CC451" s="1"/>
      <c r="CD451" s="1"/>
      <c r="CE451" s="1"/>
      <c r="CF451" s="1"/>
      <c r="CG451" s="1"/>
      <c r="CH451" s="1"/>
      <c r="CI451" s="1"/>
      <c r="CJ451" s="1"/>
      <c r="CK451" s="1"/>
      <c r="CL451" s="1"/>
      <c r="CM451" s="1"/>
      <c r="CN451" s="1"/>
      <c r="CO451" s="1"/>
      <c r="CP451" s="1"/>
      <c r="CQ451" s="1"/>
      <c r="CR451" s="1"/>
      <c r="CS451" s="1"/>
      <c r="CT451" s="1"/>
      <c r="CU451" s="1"/>
      <c r="CV451" s="1"/>
      <c r="CW451" s="1"/>
      <c r="CX451" s="1"/>
      <c r="CY451" s="1"/>
      <c r="CZ451" s="1"/>
      <c r="DA451" s="1"/>
      <c r="DB451" s="1"/>
      <c r="DC451" s="1"/>
      <c r="DD451" s="1"/>
      <c r="DE451" s="1"/>
      <c r="DF451" s="1"/>
      <c r="DG451" s="1"/>
      <c r="DH451" s="1"/>
      <c r="DI451" s="1"/>
      <c r="DJ451" s="1"/>
      <c r="DK451" s="1"/>
      <c r="DL451" s="1"/>
      <c r="DM451" s="1"/>
      <c r="DN451" s="1"/>
      <c r="DO451" s="1"/>
      <c r="DP451" s="1"/>
      <c r="DQ451" s="1"/>
      <c r="DR451" s="1"/>
      <c r="DS451" s="1"/>
      <c r="DT451" s="1"/>
      <c r="DU451" s="1"/>
      <c r="DV451" s="1"/>
      <c r="DW451" s="1"/>
      <c r="DX451" s="1"/>
      <c r="DY451" s="1"/>
      <c r="DZ451" s="1"/>
      <c r="EA451" s="1"/>
      <c r="EB451" s="1"/>
      <c r="EC451" s="1"/>
      <c r="ED451" s="1"/>
      <c r="EE451" s="1"/>
      <c r="EF451" s="1"/>
      <c r="EG451" s="1"/>
      <c r="EH451" s="1"/>
      <c r="EI451" s="1"/>
      <c r="EJ451" s="1"/>
      <c r="EK451" s="1"/>
      <c r="EL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c r="BR452" s="1"/>
      <c r="BS452" s="1"/>
      <c r="BT452" s="1"/>
      <c r="BU452" s="1"/>
      <c r="BV452" s="1"/>
      <c r="BW452" s="1"/>
      <c r="BX452" s="1"/>
      <c r="BY452" s="1"/>
      <c r="BZ452" s="1"/>
      <c r="CA452" s="1"/>
      <c r="CB452" s="1"/>
      <c r="CC452" s="1"/>
      <c r="CD452" s="1"/>
      <c r="CE452" s="1"/>
      <c r="CF452" s="1"/>
      <c r="CG452" s="1"/>
      <c r="CH452" s="1"/>
      <c r="CI452" s="1"/>
      <c r="CJ452" s="1"/>
      <c r="CK452" s="1"/>
      <c r="CL452" s="1"/>
      <c r="CM452" s="1"/>
      <c r="CN452" s="1"/>
      <c r="CO452" s="1"/>
      <c r="CP452" s="1"/>
      <c r="CQ452" s="1"/>
      <c r="CR452" s="1"/>
      <c r="CS452" s="1"/>
      <c r="CT452" s="1"/>
      <c r="CU452" s="1"/>
      <c r="CV452" s="1"/>
      <c r="CW452" s="1"/>
      <c r="CX452" s="1"/>
      <c r="CY452" s="1"/>
      <c r="CZ452" s="1"/>
      <c r="DA452" s="1"/>
      <c r="DB452" s="1"/>
      <c r="DC452" s="1"/>
      <c r="DD452" s="1"/>
      <c r="DE452" s="1"/>
      <c r="DF452" s="1"/>
      <c r="DG452" s="1"/>
      <c r="DH452" s="1"/>
      <c r="DI452" s="1"/>
      <c r="DJ452" s="1"/>
      <c r="DK452" s="1"/>
      <c r="DL452" s="1"/>
      <c r="DM452" s="1"/>
      <c r="DN452" s="1"/>
      <c r="DO452" s="1"/>
      <c r="DP452" s="1"/>
      <c r="DQ452" s="1"/>
      <c r="DR452" s="1"/>
      <c r="DS452" s="1"/>
      <c r="DT452" s="1"/>
      <c r="DU452" s="1"/>
      <c r="DV452" s="1"/>
      <c r="DW452" s="1"/>
      <c r="DX452" s="1"/>
      <c r="DY452" s="1"/>
      <c r="DZ452" s="1"/>
      <c r="EA452" s="1"/>
      <c r="EB452" s="1"/>
      <c r="EC452" s="1"/>
      <c r="ED452" s="1"/>
      <c r="EE452" s="1"/>
      <c r="EF452" s="1"/>
      <c r="EG452" s="1"/>
      <c r="EH452" s="1"/>
      <c r="EI452" s="1"/>
      <c r="EJ452" s="1"/>
      <c r="EK452" s="1"/>
      <c r="EL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c r="BR453" s="1"/>
      <c r="BS453" s="1"/>
      <c r="BT453" s="1"/>
      <c r="BU453" s="1"/>
      <c r="BV453" s="1"/>
      <c r="BW453" s="1"/>
      <c r="BX453" s="1"/>
      <c r="BY453" s="1"/>
      <c r="BZ453" s="1"/>
      <c r="CA453" s="1"/>
      <c r="CB453" s="1"/>
      <c r="CC453" s="1"/>
      <c r="CD453" s="1"/>
      <c r="CE453" s="1"/>
      <c r="CF453" s="1"/>
      <c r="CG453" s="1"/>
      <c r="CH453" s="1"/>
      <c r="CI453" s="1"/>
      <c r="CJ453" s="1"/>
      <c r="CK453" s="1"/>
      <c r="CL453" s="1"/>
      <c r="CM453" s="1"/>
      <c r="CN453" s="1"/>
      <c r="CO453" s="1"/>
      <c r="CP453" s="1"/>
      <c r="CQ453" s="1"/>
      <c r="CR453" s="1"/>
      <c r="CS453" s="1"/>
      <c r="CT453" s="1"/>
      <c r="CU453" s="1"/>
      <c r="CV453" s="1"/>
      <c r="CW453" s="1"/>
      <c r="CX453" s="1"/>
      <c r="CY453" s="1"/>
      <c r="CZ453" s="1"/>
      <c r="DA453" s="1"/>
      <c r="DB453" s="1"/>
      <c r="DC453" s="1"/>
      <c r="DD453" s="1"/>
      <c r="DE453" s="1"/>
      <c r="DF453" s="1"/>
      <c r="DG453" s="1"/>
      <c r="DH453" s="1"/>
      <c r="DI453" s="1"/>
      <c r="DJ453" s="1"/>
      <c r="DK453" s="1"/>
      <c r="DL453" s="1"/>
      <c r="DM453" s="1"/>
      <c r="DN453" s="1"/>
      <c r="DO453" s="1"/>
      <c r="DP453" s="1"/>
      <c r="DQ453" s="1"/>
      <c r="DR453" s="1"/>
      <c r="DS453" s="1"/>
      <c r="DT453" s="1"/>
      <c r="DU453" s="1"/>
      <c r="DV453" s="1"/>
      <c r="DW453" s="1"/>
      <c r="DX453" s="1"/>
      <c r="DY453" s="1"/>
      <c r="DZ453" s="1"/>
      <c r="EA453" s="1"/>
      <c r="EB453" s="1"/>
      <c r="EC453" s="1"/>
      <c r="ED453" s="1"/>
      <c r="EE453" s="1"/>
      <c r="EF453" s="1"/>
      <c r="EG453" s="1"/>
      <c r="EH453" s="1"/>
      <c r="EI453" s="1"/>
      <c r="EJ453" s="1"/>
      <c r="EK453" s="1"/>
      <c r="EL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c r="BR454" s="1"/>
      <c r="BS454" s="1"/>
      <c r="BT454" s="1"/>
      <c r="BU454" s="1"/>
      <c r="BV454" s="1"/>
      <c r="BW454" s="1"/>
      <c r="BX454" s="1"/>
      <c r="BY454" s="1"/>
      <c r="BZ454" s="1"/>
      <c r="CA454" s="1"/>
      <c r="CB454" s="1"/>
      <c r="CC454" s="1"/>
      <c r="CD454" s="1"/>
      <c r="CE454" s="1"/>
      <c r="CF454" s="1"/>
      <c r="CG454" s="1"/>
      <c r="CH454" s="1"/>
      <c r="CI454" s="1"/>
      <c r="CJ454" s="1"/>
      <c r="CK454" s="1"/>
      <c r="CL454" s="1"/>
      <c r="CM454" s="1"/>
      <c r="CN454" s="1"/>
      <c r="CO454" s="1"/>
      <c r="CP454" s="1"/>
      <c r="CQ454" s="1"/>
      <c r="CR454" s="1"/>
      <c r="CS454" s="1"/>
      <c r="CT454" s="1"/>
      <c r="CU454" s="1"/>
      <c r="CV454" s="1"/>
      <c r="CW454" s="1"/>
      <c r="CX454" s="1"/>
      <c r="CY454" s="1"/>
      <c r="CZ454" s="1"/>
      <c r="DA454" s="1"/>
      <c r="DB454" s="1"/>
      <c r="DC454" s="1"/>
      <c r="DD454" s="1"/>
      <c r="DE454" s="1"/>
      <c r="DF454" s="1"/>
      <c r="DG454" s="1"/>
      <c r="DH454" s="1"/>
      <c r="DI454" s="1"/>
      <c r="DJ454" s="1"/>
      <c r="DK454" s="1"/>
      <c r="DL454" s="1"/>
      <c r="DM454" s="1"/>
      <c r="DN454" s="1"/>
      <c r="DO454" s="1"/>
      <c r="DP454" s="1"/>
      <c r="DQ454" s="1"/>
      <c r="DR454" s="1"/>
      <c r="DS454" s="1"/>
      <c r="DT454" s="1"/>
      <c r="DU454" s="1"/>
      <c r="DV454" s="1"/>
      <c r="DW454" s="1"/>
      <c r="DX454" s="1"/>
      <c r="DY454" s="1"/>
      <c r="DZ454" s="1"/>
      <c r="EA454" s="1"/>
      <c r="EB454" s="1"/>
      <c r="EC454" s="1"/>
      <c r="ED454" s="1"/>
      <c r="EE454" s="1"/>
      <c r="EF454" s="1"/>
      <c r="EG454" s="1"/>
      <c r="EH454" s="1"/>
      <c r="EI454" s="1"/>
      <c r="EJ454" s="1"/>
      <c r="EK454" s="1"/>
      <c r="EL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c r="BR455" s="1"/>
      <c r="BS455" s="1"/>
      <c r="BT455" s="1"/>
      <c r="BU455" s="1"/>
      <c r="BV455" s="1"/>
      <c r="BW455" s="1"/>
      <c r="BX455" s="1"/>
      <c r="BY455" s="1"/>
      <c r="BZ455" s="1"/>
      <c r="CA455" s="1"/>
      <c r="CB455" s="1"/>
      <c r="CC455" s="1"/>
      <c r="CD455" s="1"/>
      <c r="CE455" s="1"/>
      <c r="CF455" s="1"/>
      <c r="CG455" s="1"/>
      <c r="CH455" s="1"/>
      <c r="CI455" s="1"/>
      <c r="CJ455" s="1"/>
      <c r="CK455" s="1"/>
      <c r="CL455" s="1"/>
      <c r="CM455" s="1"/>
      <c r="CN455" s="1"/>
      <c r="CO455" s="1"/>
      <c r="CP455" s="1"/>
      <c r="CQ455" s="1"/>
      <c r="CR455" s="1"/>
      <c r="CS455" s="1"/>
      <c r="CT455" s="1"/>
      <c r="CU455" s="1"/>
      <c r="CV455" s="1"/>
      <c r="CW455" s="1"/>
      <c r="CX455" s="1"/>
      <c r="CY455" s="1"/>
      <c r="CZ455" s="1"/>
      <c r="DA455" s="1"/>
      <c r="DB455" s="1"/>
      <c r="DC455" s="1"/>
      <c r="DD455" s="1"/>
      <c r="DE455" s="1"/>
      <c r="DF455" s="1"/>
      <c r="DG455" s="1"/>
      <c r="DH455" s="1"/>
      <c r="DI455" s="1"/>
      <c r="DJ455" s="1"/>
      <c r="DK455" s="1"/>
      <c r="DL455" s="1"/>
      <c r="DM455" s="1"/>
      <c r="DN455" s="1"/>
      <c r="DO455" s="1"/>
      <c r="DP455" s="1"/>
      <c r="DQ455" s="1"/>
      <c r="DR455" s="1"/>
      <c r="DS455" s="1"/>
      <c r="DT455" s="1"/>
      <c r="DU455" s="1"/>
      <c r="DV455" s="1"/>
      <c r="DW455" s="1"/>
      <c r="DX455" s="1"/>
      <c r="DY455" s="1"/>
      <c r="DZ455" s="1"/>
      <c r="EA455" s="1"/>
      <c r="EB455" s="1"/>
      <c r="EC455" s="1"/>
      <c r="ED455" s="1"/>
      <c r="EE455" s="1"/>
      <c r="EF455" s="1"/>
      <c r="EG455" s="1"/>
      <c r="EH455" s="1"/>
      <c r="EI455" s="1"/>
      <c r="EJ455" s="1"/>
      <c r="EK455" s="1"/>
      <c r="EL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c r="BR456" s="1"/>
      <c r="BS456" s="1"/>
      <c r="BT456" s="1"/>
      <c r="BU456" s="1"/>
      <c r="BV456" s="1"/>
      <c r="BW456" s="1"/>
      <c r="BX456" s="1"/>
      <c r="BY456" s="1"/>
      <c r="BZ456" s="1"/>
      <c r="CA456" s="1"/>
      <c r="CB456" s="1"/>
      <c r="CC456" s="1"/>
      <c r="CD456" s="1"/>
      <c r="CE456" s="1"/>
      <c r="CF456" s="1"/>
      <c r="CG456" s="1"/>
      <c r="CH456" s="1"/>
      <c r="CI456" s="1"/>
      <c r="CJ456" s="1"/>
      <c r="CK456" s="1"/>
      <c r="CL456" s="1"/>
      <c r="CM456" s="1"/>
      <c r="CN456" s="1"/>
      <c r="CO456" s="1"/>
      <c r="CP456" s="1"/>
      <c r="CQ456" s="1"/>
      <c r="CR456" s="1"/>
      <c r="CS456" s="1"/>
      <c r="CT456" s="1"/>
      <c r="CU456" s="1"/>
      <c r="CV456" s="1"/>
      <c r="CW456" s="1"/>
      <c r="CX456" s="1"/>
      <c r="CY456" s="1"/>
      <c r="CZ456" s="1"/>
      <c r="DA456" s="1"/>
      <c r="DB456" s="1"/>
      <c r="DC456" s="1"/>
      <c r="DD456" s="1"/>
      <c r="DE456" s="1"/>
      <c r="DF456" s="1"/>
      <c r="DG456" s="1"/>
      <c r="DH456" s="1"/>
      <c r="DI456" s="1"/>
      <c r="DJ456" s="1"/>
      <c r="DK456" s="1"/>
      <c r="DL456" s="1"/>
      <c r="DM456" s="1"/>
      <c r="DN456" s="1"/>
      <c r="DO456" s="1"/>
      <c r="DP456" s="1"/>
      <c r="DQ456" s="1"/>
      <c r="DR456" s="1"/>
      <c r="DS456" s="1"/>
      <c r="DT456" s="1"/>
      <c r="DU456" s="1"/>
      <c r="DV456" s="1"/>
      <c r="DW456" s="1"/>
      <c r="DX456" s="1"/>
      <c r="DY456" s="1"/>
      <c r="DZ456" s="1"/>
      <c r="EA456" s="1"/>
      <c r="EB456" s="1"/>
      <c r="EC456" s="1"/>
      <c r="ED456" s="1"/>
      <c r="EE456" s="1"/>
      <c r="EF456" s="1"/>
      <c r="EG456" s="1"/>
      <c r="EH456" s="1"/>
      <c r="EI456" s="1"/>
      <c r="EJ456" s="1"/>
      <c r="EK456" s="1"/>
      <c r="EL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c r="BR457" s="1"/>
      <c r="BS457" s="1"/>
      <c r="BT457" s="1"/>
      <c r="BU457" s="1"/>
      <c r="BV457" s="1"/>
      <c r="BW457" s="1"/>
      <c r="BX457" s="1"/>
      <c r="BY457" s="1"/>
      <c r="BZ457" s="1"/>
      <c r="CA457" s="1"/>
      <c r="CB457" s="1"/>
      <c r="CC457" s="1"/>
      <c r="CD457" s="1"/>
      <c r="CE457" s="1"/>
      <c r="CF457" s="1"/>
      <c r="CG457" s="1"/>
      <c r="CH457" s="1"/>
      <c r="CI457" s="1"/>
      <c r="CJ457" s="1"/>
      <c r="CK457" s="1"/>
      <c r="CL457" s="1"/>
      <c r="CM457" s="1"/>
      <c r="CN457" s="1"/>
      <c r="CO457" s="1"/>
      <c r="CP457" s="1"/>
      <c r="CQ457" s="1"/>
      <c r="CR457" s="1"/>
      <c r="CS457" s="1"/>
      <c r="CT457" s="1"/>
      <c r="CU457" s="1"/>
      <c r="CV457" s="1"/>
      <c r="CW457" s="1"/>
      <c r="CX457" s="1"/>
      <c r="CY457" s="1"/>
      <c r="CZ457" s="1"/>
      <c r="DA457" s="1"/>
      <c r="DB457" s="1"/>
      <c r="DC457" s="1"/>
      <c r="DD457" s="1"/>
      <c r="DE457" s="1"/>
      <c r="DF457" s="1"/>
      <c r="DG457" s="1"/>
      <c r="DH457" s="1"/>
      <c r="DI457" s="1"/>
      <c r="DJ457" s="1"/>
      <c r="DK457" s="1"/>
      <c r="DL457" s="1"/>
      <c r="DM457" s="1"/>
      <c r="DN457" s="1"/>
      <c r="DO457" s="1"/>
      <c r="DP457" s="1"/>
      <c r="DQ457" s="1"/>
      <c r="DR457" s="1"/>
      <c r="DS457" s="1"/>
      <c r="DT457" s="1"/>
      <c r="DU457" s="1"/>
      <c r="DV457" s="1"/>
      <c r="DW457" s="1"/>
      <c r="DX457" s="1"/>
      <c r="DY457" s="1"/>
      <c r="DZ457" s="1"/>
      <c r="EA457" s="1"/>
      <c r="EB457" s="1"/>
      <c r="EC457" s="1"/>
      <c r="ED457" s="1"/>
      <c r="EE457" s="1"/>
      <c r="EF457" s="1"/>
      <c r="EG457" s="1"/>
      <c r="EH457" s="1"/>
      <c r="EI457" s="1"/>
      <c r="EJ457" s="1"/>
      <c r="EK457" s="1"/>
      <c r="EL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c r="BR458" s="1"/>
      <c r="BS458" s="1"/>
      <c r="BT458" s="1"/>
      <c r="BU458" s="1"/>
      <c r="BV458" s="1"/>
      <c r="BW458" s="1"/>
      <c r="BX458" s="1"/>
      <c r="BY458" s="1"/>
      <c r="BZ458" s="1"/>
      <c r="CA458" s="1"/>
      <c r="CB458" s="1"/>
      <c r="CC458" s="1"/>
      <c r="CD458" s="1"/>
      <c r="CE458" s="1"/>
      <c r="CF458" s="1"/>
      <c r="CG458" s="1"/>
      <c r="CH458" s="1"/>
      <c r="CI458" s="1"/>
      <c r="CJ458" s="1"/>
      <c r="CK458" s="1"/>
      <c r="CL458" s="1"/>
      <c r="CM458" s="1"/>
      <c r="CN458" s="1"/>
      <c r="CO458" s="1"/>
      <c r="CP458" s="1"/>
      <c r="CQ458" s="1"/>
      <c r="CR458" s="1"/>
      <c r="CS458" s="1"/>
      <c r="CT458" s="1"/>
      <c r="CU458" s="1"/>
      <c r="CV458" s="1"/>
      <c r="CW458" s="1"/>
      <c r="CX458" s="1"/>
      <c r="CY458" s="1"/>
      <c r="CZ458" s="1"/>
      <c r="DA458" s="1"/>
      <c r="DB458" s="1"/>
      <c r="DC458" s="1"/>
      <c r="DD458" s="1"/>
      <c r="DE458" s="1"/>
      <c r="DF458" s="1"/>
      <c r="DG458" s="1"/>
      <c r="DH458" s="1"/>
      <c r="DI458" s="1"/>
      <c r="DJ458" s="1"/>
      <c r="DK458" s="1"/>
      <c r="DL458" s="1"/>
      <c r="DM458" s="1"/>
      <c r="DN458" s="1"/>
      <c r="DO458" s="1"/>
      <c r="DP458" s="1"/>
      <c r="DQ458" s="1"/>
      <c r="DR458" s="1"/>
      <c r="DS458" s="1"/>
      <c r="DT458" s="1"/>
      <c r="DU458" s="1"/>
      <c r="DV458" s="1"/>
      <c r="DW458" s="1"/>
      <c r="DX458" s="1"/>
      <c r="DY458" s="1"/>
      <c r="DZ458" s="1"/>
      <c r="EA458" s="1"/>
      <c r="EB458" s="1"/>
      <c r="EC458" s="1"/>
      <c r="ED458" s="1"/>
      <c r="EE458" s="1"/>
      <c r="EF458" s="1"/>
      <c r="EG458" s="1"/>
      <c r="EH458" s="1"/>
      <c r="EI458" s="1"/>
      <c r="EJ458" s="1"/>
      <c r="EK458" s="1"/>
      <c r="EL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c r="BR459" s="1"/>
      <c r="BS459" s="1"/>
      <c r="BT459" s="1"/>
      <c r="BU459" s="1"/>
      <c r="BV459" s="1"/>
      <c r="BW459" s="1"/>
      <c r="BX459" s="1"/>
      <c r="BY459" s="1"/>
      <c r="BZ459" s="1"/>
      <c r="CA459" s="1"/>
      <c r="CB459" s="1"/>
      <c r="CC459" s="1"/>
      <c r="CD459" s="1"/>
      <c r="CE459" s="1"/>
      <c r="CF459" s="1"/>
      <c r="CG459" s="1"/>
      <c r="CH459" s="1"/>
      <c r="CI459" s="1"/>
      <c r="CJ459" s="1"/>
      <c r="CK459" s="1"/>
      <c r="CL459" s="1"/>
      <c r="CM459" s="1"/>
      <c r="CN459" s="1"/>
      <c r="CO459" s="1"/>
      <c r="CP459" s="1"/>
      <c r="CQ459" s="1"/>
      <c r="CR459" s="1"/>
      <c r="CS459" s="1"/>
      <c r="CT459" s="1"/>
      <c r="CU459" s="1"/>
      <c r="CV459" s="1"/>
      <c r="CW459" s="1"/>
      <c r="CX459" s="1"/>
      <c r="CY459" s="1"/>
      <c r="CZ459" s="1"/>
      <c r="DA459" s="1"/>
      <c r="DB459" s="1"/>
      <c r="DC459" s="1"/>
      <c r="DD459" s="1"/>
      <c r="DE459" s="1"/>
      <c r="DF459" s="1"/>
      <c r="DG459" s="1"/>
      <c r="DH459" s="1"/>
      <c r="DI459" s="1"/>
      <c r="DJ459" s="1"/>
      <c r="DK459" s="1"/>
      <c r="DL459" s="1"/>
      <c r="DM459" s="1"/>
      <c r="DN459" s="1"/>
      <c r="DO459" s="1"/>
      <c r="DP459" s="1"/>
      <c r="DQ459" s="1"/>
      <c r="DR459" s="1"/>
      <c r="DS459" s="1"/>
      <c r="DT459" s="1"/>
      <c r="DU459" s="1"/>
      <c r="DV459" s="1"/>
      <c r="DW459" s="1"/>
      <c r="DX459" s="1"/>
      <c r="DY459" s="1"/>
      <c r="DZ459" s="1"/>
      <c r="EA459" s="1"/>
      <c r="EB459" s="1"/>
      <c r="EC459" s="1"/>
      <c r="ED459" s="1"/>
      <c r="EE459" s="1"/>
      <c r="EF459" s="1"/>
      <c r="EG459" s="1"/>
      <c r="EH459" s="1"/>
      <c r="EI459" s="1"/>
      <c r="EJ459" s="1"/>
      <c r="EK459" s="1"/>
      <c r="EL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c r="BR460" s="1"/>
      <c r="BS460" s="1"/>
      <c r="BT460" s="1"/>
      <c r="BU460" s="1"/>
      <c r="BV460" s="1"/>
      <c r="BW460" s="1"/>
      <c r="BX460" s="1"/>
      <c r="BY460" s="1"/>
      <c r="BZ460" s="1"/>
      <c r="CA460" s="1"/>
      <c r="CB460" s="1"/>
      <c r="CC460" s="1"/>
      <c r="CD460" s="1"/>
      <c r="CE460" s="1"/>
      <c r="CF460" s="1"/>
      <c r="CG460" s="1"/>
      <c r="CH460" s="1"/>
      <c r="CI460" s="1"/>
      <c r="CJ460" s="1"/>
      <c r="CK460" s="1"/>
      <c r="CL460" s="1"/>
      <c r="CM460" s="1"/>
      <c r="CN460" s="1"/>
      <c r="CO460" s="1"/>
      <c r="CP460" s="1"/>
      <c r="CQ460" s="1"/>
      <c r="CR460" s="1"/>
      <c r="CS460" s="1"/>
      <c r="CT460" s="1"/>
      <c r="CU460" s="1"/>
      <c r="CV460" s="1"/>
      <c r="CW460" s="1"/>
      <c r="CX460" s="1"/>
      <c r="CY460" s="1"/>
      <c r="CZ460" s="1"/>
      <c r="DA460" s="1"/>
      <c r="DB460" s="1"/>
      <c r="DC460" s="1"/>
      <c r="DD460" s="1"/>
      <c r="DE460" s="1"/>
      <c r="DF460" s="1"/>
      <c r="DG460" s="1"/>
      <c r="DH460" s="1"/>
      <c r="DI460" s="1"/>
      <c r="DJ460" s="1"/>
      <c r="DK460" s="1"/>
      <c r="DL460" s="1"/>
      <c r="DM460" s="1"/>
      <c r="DN460" s="1"/>
      <c r="DO460" s="1"/>
      <c r="DP460" s="1"/>
      <c r="DQ460" s="1"/>
      <c r="DR460" s="1"/>
      <c r="DS460" s="1"/>
      <c r="DT460" s="1"/>
      <c r="DU460" s="1"/>
      <c r="DV460" s="1"/>
      <c r="DW460" s="1"/>
      <c r="DX460" s="1"/>
      <c r="DY460" s="1"/>
      <c r="DZ460" s="1"/>
      <c r="EA460" s="1"/>
      <c r="EB460" s="1"/>
      <c r="EC460" s="1"/>
      <c r="ED460" s="1"/>
      <c r="EE460" s="1"/>
      <c r="EF460" s="1"/>
      <c r="EG460" s="1"/>
      <c r="EH460" s="1"/>
      <c r="EI460" s="1"/>
      <c r="EJ460" s="1"/>
      <c r="EK460" s="1"/>
      <c r="EL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c r="BR461" s="1"/>
      <c r="BS461" s="1"/>
      <c r="BT461" s="1"/>
      <c r="BU461" s="1"/>
      <c r="BV461" s="1"/>
      <c r="BW461" s="1"/>
      <c r="BX461" s="1"/>
      <c r="BY461" s="1"/>
      <c r="BZ461" s="1"/>
      <c r="CA461" s="1"/>
      <c r="CB461" s="1"/>
      <c r="CC461" s="1"/>
      <c r="CD461" s="1"/>
      <c r="CE461" s="1"/>
      <c r="CF461" s="1"/>
      <c r="CG461" s="1"/>
      <c r="CH461" s="1"/>
      <c r="CI461" s="1"/>
      <c r="CJ461" s="1"/>
      <c r="CK461" s="1"/>
      <c r="CL461" s="1"/>
      <c r="CM461" s="1"/>
      <c r="CN461" s="1"/>
      <c r="CO461" s="1"/>
      <c r="CP461" s="1"/>
      <c r="CQ461" s="1"/>
      <c r="CR461" s="1"/>
      <c r="CS461" s="1"/>
      <c r="CT461" s="1"/>
      <c r="CU461" s="1"/>
      <c r="CV461" s="1"/>
      <c r="CW461" s="1"/>
      <c r="CX461" s="1"/>
      <c r="CY461" s="1"/>
      <c r="CZ461" s="1"/>
      <c r="DA461" s="1"/>
      <c r="DB461" s="1"/>
      <c r="DC461" s="1"/>
      <c r="DD461" s="1"/>
      <c r="DE461" s="1"/>
      <c r="DF461" s="1"/>
      <c r="DG461" s="1"/>
      <c r="DH461" s="1"/>
      <c r="DI461" s="1"/>
      <c r="DJ461" s="1"/>
      <c r="DK461" s="1"/>
      <c r="DL461" s="1"/>
      <c r="DM461" s="1"/>
      <c r="DN461" s="1"/>
      <c r="DO461" s="1"/>
      <c r="DP461" s="1"/>
      <c r="DQ461" s="1"/>
      <c r="DR461" s="1"/>
      <c r="DS461" s="1"/>
      <c r="DT461" s="1"/>
      <c r="DU461" s="1"/>
      <c r="DV461" s="1"/>
      <c r="DW461" s="1"/>
      <c r="DX461" s="1"/>
      <c r="DY461" s="1"/>
      <c r="DZ461" s="1"/>
      <c r="EA461" s="1"/>
      <c r="EB461" s="1"/>
      <c r="EC461" s="1"/>
      <c r="ED461" s="1"/>
      <c r="EE461" s="1"/>
      <c r="EF461" s="1"/>
      <c r="EG461" s="1"/>
      <c r="EH461" s="1"/>
      <c r="EI461" s="1"/>
      <c r="EJ461" s="1"/>
      <c r="EK461" s="1"/>
      <c r="EL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c r="BR462" s="1"/>
      <c r="BS462" s="1"/>
      <c r="BT462" s="1"/>
      <c r="BU462" s="1"/>
      <c r="BV462" s="1"/>
      <c r="BW462" s="1"/>
      <c r="BX462" s="1"/>
      <c r="BY462" s="1"/>
      <c r="BZ462" s="1"/>
      <c r="CA462" s="1"/>
      <c r="CB462" s="1"/>
      <c r="CC462" s="1"/>
      <c r="CD462" s="1"/>
      <c r="CE462" s="1"/>
      <c r="CF462" s="1"/>
      <c r="CG462" s="1"/>
      <c r="CH462" s="1"/>
      <c r="CI462" s="1"/>
      <c r="CJ462" s="1"/>
      <c r="CK462" s="1"/>
      <c r="CL462" s="1"/>
      <c r="CM462" s="1"/>
      <c r="CN462" s="1"/>
      <c r="CO462" s="1"/>
      <c r="CP462" s="1"/>
      <c r="CQ462" s="1"/>
      <c r="CR462" s="1"/>
      <c r="CS462" s="1"/>
      <c r="CT462" s="1"/>
      <c r="CU462" s="1"/>
      <c r="CV462" s="1"/>
      <c r="CW462" s="1"/>
      <c r="CX462" s="1"/>
      <c r="CY462" s="1"/>
      <c r="CZ462" s="1"/>
      <c r="DA462" s="1"/>
      <c r="DB462" s="1"/>
      <c r="DC462" s="1"/>
      <c r="DD462" s="1"/>
      <c r="DE462" s="1"/>
      <c r="DF462" s="1"/>
      <c r="DG462" s="1"/>
      <c r="DH462" s="1"/>
      <c r="DI462" s="1"/>
      <c r="DJ462" s="1"/>
      <c r="DK462" s="1"/>
      <c r="DL462" s="1"/>
      <c r="DM462" s="1"/>
      <c r="DN462" s="1"/>
      <c r="DO462" s="1"/>
      <c r="DP462" s="1"/>
      <c r="DQ462" s="1"/>
      <c r="DR462" s="1"/>
      <c r="DS462" s="1"/>
      <c r="DT462" s="1"/>
      <c r="DU462" s="1"/>
      <c r="DV462" s="1"/>
      <c r="DW462" s="1"/>
      <c r="DX462" s="1"/>
      <c r="DY462" s="1"/>
      <c r="DZ462" s="1"/>
      <c r="EA462" s="1"/>
      <c r="EB462" s="1"/>
      <c r="EC462" s="1"/>
      <c r="ED462" s="1"/>
      <c r="EE462" s="1"/>
      <c r="EF462" s="1"/>
      <c r="EG462" s="1"/>
      <c r="EH462" s="1"/>
      <c r="EI462" s="1"/>
      <c r="EJ462" s="1"/>
      <c r="EK462" s="1"/>
      <c r="EL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c r="BR463" s="1"/>
      <c r="BS463" s="1"/>
      <c r="BT463" s="1"/>
      <c r="BU463" s="1"/>
      <c r="BV463" s="1"/>
      <c r="BW463" s="1"/>
      <c r="BX463" s="1"/>
      <c r="BY463" s="1"/>
      <c r="BZ463" s="1"/>
      <c r="CA463" s="1"/>
      <c r="CB463" s="1"/>
      <c r="CC463" s="1"/>
      <c r="CD463" s="1"/>
      <c r="CE463" s="1"/>
      <c r="CF463" s="1"/>
      <c r="CG463" s="1"/>
      <c r="CH463" s="1"/>
      <c r="CI463" s="1"/>
      <c r="CJ463" s="1"/>
      <c r="CK463" s="1"/>
      <c r="CL463" s="1"/>
      <c r="CM463" s="1"/>
      <c r="CN463" s="1"/>
      <c r="CO463" s="1"/>
      <c r="CP463" s="1"/>
      <c r="CQ463" s="1"/>
      <c r="CR463" s="1"/>
      <c r="CS463" s="1"/>
      <c r="CT463" s="1"/>
      <c r="CU463" s="1"/>
      <c r="CV463" s="1"/>
      <c r="CW463" s="1"/>
      <c r="CX463" s="1"/>
      <c r="CY463" s="1"/>
      <c r="CZ463" s="1"/>
      <c r="DA463" s="1"/>
      <c r="DB463" s="1"/>
      <c r="DC463" s="1"/>
      <c r="DD463" s="1"/>
      <c r="DE463" s="1"/>
      <c r="DF463" s="1"/>
      <c r="DG463" s="1"/>
      <c r="DH463" s="1"/>
      <c r="DI463" s="1"/>
      <c r="DJ463" s="1"/>
      <c r="DK463" s="1"/>
      <c r="DL463" s="1"/>
      <c r="DM463" s="1"/>
      <c r="DN463" s="1"/>
      <c r="DO463" s="1"/>
      <c r="DP463" s="1"/>
      <c r="DQ463" s="1"/>
      <c r="DR463" s="1"/>
      <c r="DS463" s="1"/>
      <c r="DT463" s="1"/>
      <c r="DU463" s="1"/>
      <c r="DV463" s="1"/>
      <c r="DW463" s="1"/>
      <c r="DX463" s="1"/>
      <c r="DY463" s="1"/>
      <c r="DZ463" s="1"/>
      <c r="EA463" s="1"/>
      <c r="EB463" s="1"/>
      <c r="EC463" s="1"/>
      <c r="ED463" s="1"/>
      <c r="EE463" s="1"/>
      <c r="EF463" s="1"/>
      <c r="EG463" s="1"/>
      <c r="EH463" s="1"/>
      <c r="EI463" s="1"/>
      <c r="EJ463" s="1"/>
      <c r="EK463" s="1"/>
      <c r="EL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c r="BR464" s="1"/>
      <c r="BS464" s="1"/>
      <c r="BT464" s="1"/>
      <c r="BU464" s="1"/>
      <c r="BV464" s="1"/>
      <c r="BW464" s="1"/>
      <c r="BX464" s="1"/>
      <c r="BY464" s="1"/>
      <c r="BZ464" s="1"/>
      <c r="CA464" s="1"/>
      <c r="CB464" s="1"/>
      <c r="CC464" s="1"/>
      <c r="CD464" s="1"/>
      <c r="CE464" s="1"/>
      <c r="CF464" s="1"/>
      <c r="CG464" s="1"/>
      <c r="CH464" s="1"/>
      <c r="CI464" s="1"/>
      <c r="CJ464" s="1"/>
      <c r="CK464" s="1"/>
      <c r="CL464" s="1"/>
      <c r="CM464" s="1"/>
      <c r="CN464" s="1"/>
      <c r="CO464" s="1"/>
      <c r="CP464" s="1"/>
      <c r="CQ464" s="1"/>
      <c r="CR464" s="1"/>
      <c r="CS464" s="1"/>
      <c r="CT464" s="1"/>
      <c r="CU464" s="1"/>
      <c r="CV464" s="1"/>
      <c r="CW464" s="1"/>
      <c r="CX464" s="1"/>
      <c r="CY464" s="1"/>
      <c r="CZ464" s="1"/>
      <c r="DA464" s="1"/>
      <c r="DB464" s="1"/>
      <c r="DC464" s="1"/>
      <c r="DD464" s="1"/>
      <c r="DE464" s="1"/>
      <c r="DF464" s="1"/>
      <c r="DG464" s="1"/>
      <c r="DH464" s="1"/>
      <c r="DI464" s="1"/>
      <c r="DJ464" s="1"/>
      <c r="DK464" s="1"/>
      <c r="DL464" s="1"/>
      <c r="DM464" s="1"/>
      <c r="DN464" s="1"/>
      <c r="DO464" s="1"/>
      <c r="DP464" s="1"/>
      <c r="DQ464" s="1"/>
      <c r="DR464" s="1"/>
      <c r="DS464" s="1"/>
      <c r="DT464" s="1"/>
      <c r="DU464" s="1"/>
      <c r="DV464" s="1"/>
      <c r="DW464" s="1"/>
      <c r="DX464" s="1"/>
      <c r="DY464" s="1"/>
      <c r="DZ464" s="1"/>
      <c r="EA464" s="1"/>
      <c r="EB464" s="1"/>
      <c r="EC464" s="1"/>
      <c r="ED464" s="1"/>
      <c r="EE464" s="1"/>
      <c r="EF464" s="1"/>
      <c r="EG464" s="1"/>
      <c r="EH464" s="1"/>
      <c r="EI464" s="1"/>
      <c r="EJ464" s="1"/>
      <c r="EK464" s="1"/>
      <c r="EL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c r="BR465" s="1"/>
      <c r="BS465" s="1"/>
      <c r="BT465" s="1"/>
      <c r="BU465" s="1"/>
      <c r="BV465" s="1"/>
      <c r="BW465" s="1"/>
      <c r="BX465" s="1"/>
      <c r="BY465" s="1"/>
      <c r="BZ465" s="1"/>
      <c r="CA465" s="1"/>
      <c r="CB465" s="1"/>
      <c r="CC465" s="1"/>
      <c r="CD465" s="1"/>
      <c r="CE465" s="1"/>
      <c r="CF465" s="1"/>
      <c r="CG465" s="1"/>
      <c r="CH465" s="1"/>
      <c r="CI465" s="1"/>
      <c r="CJ465" s="1"/>
      <c r="CK465" s="1"/>
      <c r="CL465" s="1"/>
      <c r="CM465" s="1"/>
      <c r="CN465" s="1"/>
      <c r="CO465" s="1"/>
      <c r="CP465" s="1"/>
      <c r="CQ465" s="1"/>
      <c r="CR465" s="1"/>
      <c r="CS465" s="1"/>
      <c r="CT465" s="1"/>
      <c r="CU465" s="1"/>
      <c r="CV465" s="1"/>
      <c r="CW465" s="1"/>
      <c r="CX465" s="1"/>
      <c r="CY465" s="1"/>
      <c r="CZ465" s="1"/>
      <c r="DA465" s="1"/>
      <c r="DB465" s="1"/>
      <c r="DC465" s="1"/>
      <c r="DD465" s="1"/>
      <c r="DE465" s="1"/>
      <c r="DF465" s="1"/>
      <c r="DG465" s="1"/>
      <c r="DH465" s="1"/>
      <c r="DI465" s="1"/>
      <c r="DJ465" s="1"/>
      <c r="DK465" s="1"/>
      <c r="DL465" s="1"/>
      <c r="DM465" s="1"/>
      <c r="DN465" s="1"/>
      <c r="DO465" s="1"/>
      <c r="DP465" s="1"/>
      <c r="DQ465" s="1"/>
      <c r="DR465" s="1"/>
      <c r="DS465" s="1"/>
      <c r="DT465" s="1"/>
      <c r="DU465" s="1"/>
      <c r="DV465" s="1"/>
      <c r="DW465" s="1"/>
      <c r="DX465" s="1"/>
      <c r="DY465" s="1"/>
      <c r="DZ465" s="1"/>
      <c r="EA465" s="1"/>
      <c r="EB465" s="1"/>
      <c r="EC465" s="1"/>
      <c r="ED465" s="1"/>
      <c r="EE465" s="1"/>
      <c r="EF465" s="1"/>
      <c r="EG465" s="1"/>
      <c r="EH465" s="1"/>
      <c r="EI465" s="1"/>
      <c r="EJ465" s="1"/>
      <c r="EK465" s="1"/>
      <c r="EL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c r="BR466" s="1"/>
      <c r="BS466" s="1"/>
      <c r="BT466" s="1"/>
      <c r="BU466" s="1"/>
      <c r="BV466" s="1"/>
      <c r="BW466" s="1"/>
      <c r="BX466" s="1"/>
      <c r="BY466" s="1"/>
      <c r="BZ466" s="1"/>
      <c r="CA466" s="1"/>
      <c r="CB466" s="1"/>
      <c r="CC466" s="1"/>
      <c r="CD466" s="1"/>
      <c r="CE466" s="1"/>
      <c r="CF466" s="1"/>
      <c r="CG466" s="1"/>
      <c r="CH466" s="1"/>
      <c r="CI466" s="1"/>
      <c r="CJ466" s="1"/>
      <c r="CK466" s="1"/>
      <c r="CL466" s="1"/>
      <c r="CM466" s="1"/>
      <c r="CN466" s="1"/>
      <c r="CO466" s="1"/>
      <c r="CP466" s="1"/>
      <c r="CQ466" s="1"/>
      <c r="CR466" s="1"/>
      <c r="CS466" s="1"/>
      <c r="CT466" s="1"/>
      <c r="CU466" s="1"/>
      <c r="CV466" s="1"/>
      <c r="CW466" s="1"/>
      <c r="CX466" s="1"/>
      <c r="CY466" s="1"/>
      <c r="CZ466" s="1"/>
      <c r="DA466" s="1"/>
      <c r="DB466" s="1"/>
      <c r="DC466" s="1"/>
      <c r="DD466" s="1"/>
      <c r="DE466" s="1"/>
      <c r="DF466" s="1"/>
      <c r="DG466" s="1"/>
      <c r="DH466" s="1"/>
      <c r="DI466" s="1"/>
      <c r="DJ466" s="1"/>
      <c r="DK466" s="1"/>
      <c r="DL466" s="1"/>
      <c r="DM466" s="1"/>
      <c r="DN466" s="1"/>
      <c r="DO466" s="1"/>
      <c r="DP466" s="1"/>
      <c r="DQ466" s="1"/>
      <c r="DR466" s="1"/>
      <c r="DS466" s="1"/>
      <c r="DT466" s="1"/>
      <c r="DU466" s="1"/>
      <c r="DV466" s="1"/>
      <c r="DW466" s="1"/>
      <c r="DX466" s="1"/>
      <c r="DY466" s="1"/>
      <c r="DZ466" s="1"/>
      <c r="EA466" s="1"/>
      <c r="EB466" s="1"/>
      <c r="EC466" s="1"/>
      <c r="ED466" s="1"/>
      <c r="EE466" s="1"/>
      <c r="EF466" s="1"/>
      <c r="EG466" s="1"/>
      <c r="EH466" s="1"/>
      <c r="EI466" s="1"/>
      <c r="EJ466" s="1"/>
      <c r="EK466" s="1"/>
      <c r="EL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c r="BR467" s="1"/>
      <c r="BS467" s="1"/>
      <c r="BT467" s="1"/>
      <c r="BU467" s="1"/>
      <c r="BV467" s="1"/>
      <c r="BW467" s="1"/>
      <c r="BX467" s="1"/>
      <c r="BY467" s="1"/>
      <c r="BZ467" s="1"/>
      <c r="CA467" s="1"/>
      <c r="CB467" s="1"/>
      <c r="CC467" s="1"/>
      <c r="CD467" s="1"/>
      <c r="CE467" s="1"/>
      <c r="CF467" s="1"/>
      <c r="CG467" s="1"/>
      <c r="CH467" s="1"/>
      <c r="CI467" s="1"/>
      <c r="CJ467" s="1"/>
      <c r="CK467" s="1"/>
      <c r="CL467" s="1"/>
      <c r="CM467" s="1"/>
      <c r="CN467" s="1"/>
      <c r="CO467" s="1"/>
      <c r="CP467" s="1"/>
      <c r="CQ467" s="1"/>
      <c r="CR467" s="1"/>
      <c r="CS467" s="1"/>
      <c r="CT467" s="1"/>
      <c r="CU467" s="1"/>
      <c r="CV467" s="1"/>
      <c r="CW467" s="1"/>
      <c r="CX467" s="1"/>
      <c r="CY467" s="1"/>
      <c r="CZ467" s="1"/>
      <c r="DA467" s="1"/>
      <c r="DB467" s="1"/>
      <c r="DC467" s="1"/>
      <c r="DD467" s="1"/>
      <c r="DE467" s="1"/>
      <c r="DF467" s="1"/>
      <c r="DG467" s="1"/>
      <c r="DH467" s="1"/>
      <c r="DI467" s="1"/>
      <c r="DJ467" s="1"/>
      <c r="DK467" s="1"/>
      <c r="DL467" s="1"/>
      <c r="DM467" s="1"/>
      <c r="DN467" s="1"/>
      <c r="DO467" s="1"/>
      <c r="DP467" s="1"/>
      <c r="DQ467" s="1"/>
      <c r="DR467" s="1"/>
      <c r="DS467" s="1"/>
      <c r="DT467" s="1"/>
      <c r="DU467" s="1"/>
      <c r="DV467" s="1"/>
      <c r="DW467" s="1"/>
      <c r="DX467" s="1"/>
      <c r="DY467" s="1"/>
      <c r="DZ467" s="1"/>
      <c r="EA467" s="1"/>
      <c r="EB467" s="1"/>
      <c r="EC467" s="1"/>
      <c r="ED467" s="1"/>
      <c r="EE467" s="1"/>
      <c r="EF467" s="1"/>
      <c r="EG467" s="1"/>
      <c r="EH467" s="1"/>
      <c r="EI467" s="1"/>
      <c r="EJ467" s="1"/>
      <c r="EK467" s="1"/>
      <c r="EL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c r="BR468" s="1"/>
      <c r="BS468" s="1"/>
      <c r="BT468" s="1"/>
      <c r="BU468" s="1"/>
      <c r="BV468" s="1"/>
      <c r="BW468" s="1"/>
      <c r="BX468" s="1"/>
      <c r="BY468" s="1"/>
      <c r="BZ468" s="1"/>
      <c r="CA468" s="1"/>
      <c r="CB468" s="1"/>
      <c r="CC468" s="1"/>
      <c r="CD468" s="1"/>
      <c r="CE468" s="1"/>
      <c r="CF468" s="1"/>
      <c r="CG468" s="1"/>
      <c r="CH468" s="1"/>
      <c r="CI468" s="1"/>
      <c r="CJ468" s="1"/>
      <c r="CK468" s="1"/>
      <c r="CL468" s="1"/>
      <c r="CM468" s="1"/>
      <c r="CN468" s="1"/>
      <c r="CO468" s="1"/>
      <c r="CP468" s="1"/>
      <c r="CQ468" s="1"/>
      <c r="CR468" s="1"/>
      <c r="CS468" s="1"/>
      <c r="CT468" s="1"/>
      <c r="CU468" s="1"/>
      <c r="CV468" s="1"/>
      <c r="CW468" s="1"/>
      <c r="CX468" s="1"/>
      <c r="CY468" s="1"/>
      <c r="CZ468" s="1"/>
      <c r="DA468" s="1"/>
      <c r="DB468" s="1"/>
      <c r="DC468" s="1"/>
      <c r="DD468" s="1"/>
      <c r="DE468" s="1"/>
      <c r="DF468" s="1"/>
      <c r="DG468" s="1"/>
      <c r="DH468" s="1"/>
      <c r="DI468" s="1"/>
      <c r="DJ468" s="1"/>
      <c r="DK468" s="1"/>
      <c r="DL468" s="1"/>
      <c r="DM468" s="1"/>
      <c r="DN468" s="1"/>
      <c r="DO468" s="1"/>
      <c r="DP468" s="1"/>
      <c r="DQ468" s="1"/>
      <c r="DR468" s="1"/>
      <c r="DS468" s="1"/>
      <c r="DT468" s="1"/>
      <c r="DU468" s="1"/>
      <c r="DV468" s="1"/>
      <c r="DW468" s="1"/>
      <c r="DX468" s="1"/>
      <c r="DY468" s="1"/>
      <c r="DZ468" s="1"/>
      <c r="EA468" s="1"/>
      <c r="EB468" s="1"/>
      <c r="EC468" s="1"/>
      <c r="ED468" s="1"/>
      <c r="EE468" s="1"/>
      <c r="EF468" s="1"/>
      <c r="EG468" s="1"/>
      <c r="EH468" s="1"/>
      <c r="EI468" s="1"/>
      <c r="EJ468" s="1"/>
      <c r="EK468" s="1"/>
      <c r="EL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c r="BR469" s="1"/>
      <c r="BS469" s="1"/>
      <c r="BT469" s="1"/>
      <c r="BU469" s="1"/>
      <c r="BV469" s="1"/>
      <c r="BW469" s="1"/>
      <c r="BX469" s="1"/>
      <c r="BY469" s="1"/>
      <c r="BZ469" s="1"/>
      <c r="CA469" s="1"/>
      <c r="CB469" s="1"/>
      <c r="CC469" s="1"/>
      <c r="CD469" s="1"/>
      <c r="CE469" s="1"/>
      <c r="CF469" s="1"/>
      <c r="CG469" s="1"/>
      <c r="CH469" s="1"/>
      <c r="CI469" s="1"/>
      <c r="CJ469" s="1"/>
      <c r="CK469" s="1"/>
      <c r="CL469" s="1"/>
      <c r="CM469" s="1"/>
      <c r="CN469" s="1"/>
      <c r="CO469" s="1"/>
      <c r="CP469" s="1"/>
      <c r="CQ469" s="1"/>
      <c r="CR469" s="1"/>
      <c r="CS469" s="1"/>
      <c r="CT469" s="1"/>
      <c r="CU469" s="1"/>
      <c r="CV469" s="1"/>
      <c r="CW469" s="1"/>
      <c r="CX469" s="1"/>
      <c r="CY469" s="1"/>
      <c r="CZ469" s="1"/>
      <c r="DA469" s="1"/>
      <c r="DB469" s="1"/>
      <c r="DC469" s="1"/>
      <c r="DD469" s="1"/>
      <c r="DE469" s="1"/>
      <c r="DF469" s="1"/>
      <c r="DG469" s="1"/>
      <c r="DH469" s="1"/>
      <c r="DI469" s="1"/>
      <c r="DJ469" s="1"/>
      <c r="DK469" s="1"/>
      <c r="DL469" s="1"/>
      <c r="DM469" s="1"/>
      <c r="DN469" s="1"/>
      <c r="DO469" s="1"/>
      <c r="DP469" s="1"/>
      <c r="DQ469" s="1"/>
      <c r="DR469" s="1"/>
      <c r="DS469" s="1"/>
      <c r="DT469" s="1"/>
      <c r="DU469" s="1"/>
      <c r="DV469" s="1"/>
      <c r="DW469" s="1"/>
      <c r="DX469" s="1"/>
      <c r="DY469" s="1"/>
      <c r="DZ469" s="1"/>
      <c r="EA469" s="1"/>
      <c r="EB469" s="1"/>
      <c r="EC469" s="1"/>
      <c r="ED469" s="1"/>
      <c r="EE469" s="1"/>
      <c r="EF469" s="1"/>
      <c r="EG469" s="1"/>
      <c r="EH469" s="1"/>
      <c r="EI469" s="1"/>
      <c r="EJ469" s="1"/>
      <c r="EK469" s="1"/>
      <c r="EL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c r="BR470" s="1"/>
      <c r="BS470" s="1"/>
      <c r="BT470" s="1"/>
      <c r="BU470" s="1"/>
      <c r="BV470" s="1"/>
      <c r="BW470" s="1"/>
      <c r="BX470" s="1"/>
      <c r="BY470" s="1"/>
      <c r="BZ470" s="1"/>
      <c r="CA470" s="1"/>
      <c r="CB470" s="1"/>
      <c r="CC470" s="1"/>
      <c r="CD470" s="1"/>
      <c r="CE470" s="1"/>
      <c r="CF470" s="1"/>
      <c r="CG470" s="1"/>
      <c r="CH470" s="1"/>
      <c r="CI470" s="1"/>
      <c r="CJ470" s="1"/>
      <c r="CK470" s="1"/>
      <c r="CL470" s="1"/>
      <c r="CM470" s="1"/>
      <c r="CN470" s="1"/>
      <c r="CO470" s="1"/>
      <c r="CP470" s="1"/>
      <c r="CQ470" s="1"/>
      <c r="CR470" s="1"/>
      <c r="CS470" s="1"/>
      <c r="CT470" s="1"/>
      <c r="CU470" s="1"/>
      <c r="CV470" s="1"/>
      <c r="CW470" s="1"/>
      <c r="CX470" s="1"/>
      <c r="CY470" s="1"/>
      <c r="CZ470" s="1"/>
      <c r="DA470" s="1"/>
      <c r="DB470" s="1"/>
      <c r="DC470" s="1"/>
      <c r="DD470" s="1"/>
      <c r="DE470" s="1"/>
      <c r="DF470" s="1"/>
      <c r="DG470" s="1"/>
      <c r="DH470" s="1"/>
      <c r="DI470" s="1"/>
      <c r="DJ470" s="1"/>
      <c r="DK470" s="1"/>
      <c r="DL470" s="1"/>
      <c r="DM470" s="1"/>
      <c r="DN470" s="1"/>
      <c r="DO470" s="1"/>
      <c r="DP470" s="1"/>
      <c r="DQ470" s="1"/>
      <c r="DR470" s="1"/>
      <c r="DS470" s="1"/>
      <c r="DT470" s="1"/>
      <c r="DU470" s="1"/>
      <c r="DV470" s="1"/>
      <c r="DW470" s="1"/>
      <c r="DX470" s="1"/>
      <c r="DY470" s="1"/>
      <c r="DZ470" s="1"/>
      <c r="EA470" s="1"/>
      <c r="EB470" s="1"/>
      <c r="EC470" s="1"/>
      <c r="ED470" s="1"/>
      <c r="EE470" s="1"/>
      <c r="EF470" s="1"/>
      <c r="EG470" s="1"/>
      <c r="EH470" s="1"/>
      <c r="EI470" s="1"/>
      <c r="EJ470" s="1"/>
      <c r="EK470" s="1"/>
      <c r="EL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c r="BR471" s="1"/>
      <c r="BS471" s="1"/>
      <c r="BT471" s="1"/>
      <c r="BU471" s="1"/>
      <c r="BV471" s="1"/>
      <c r="BW471" s="1"/>
      <c r="BX471" s="1"/>
      <c r="BY471" s="1"/>
      <c r="BZ471" s="1"/>
      <c r="CA471" s="1"/>
      <c r="CB471" s="1"/>
      <c r="CC471" s="1"/>
      <c r="CD471" s="1"/>
      <c r="CE471" s="1"/>
      <c r="CF471" s="1"/>
      <c r="CG471" s="1"/>
      <c r="CH471" s="1"/>
      <c r="CI471" s="1"/>
      <c r="CJ471" s="1"/>
      <c r="CK471" s="1"/>
      <c r="CL471" s="1"/>
      <c r="CM471" s="1"/>
      <c r="CN471" s="1"/>
      <c r="CO471" s="1"/>
      <c r="CP471" s="1"/>
      <c r="CQ471" s="1"/>
      <c r="CR471" s="1"/>
      <c r="CS471" s="1"/>
      <c r="CT471" s="1"/>
      <c r="CU471" s="1"/>
      <c r="CV471" s="1"/>
      <c r="CW471" s="1"/>
      <c r="CX471" s="1"/>
      <c r="CY471" s="1"/>
      <c r="CZ471" s="1"/>
      <c r="DA471" s="1"/>
      <c r="DB471" s="1"/>
      <c r="DC471" s="1"/>
      <c r="DD471" s="1"/>
      <c r="DE471" s="1"/>
      <c r="DF471" s="1"/>
      <c r="DG471" s="1"/>
      <c r="DH471" s="1"/>
      <c r="DI471" s="1"/>
      <c r="DJ471" s="1"/>
      <c r="DK471" s="1"/>
      <c r="DL471" s="1"/>
      <c r="DM471" s="1"/>
      <c r="DN471" s="1"/>
      <c r="DO471" s="1"/>
      <c r="DP471" s="1"/>
      <c r="DQ471" s="1"/>
      <c r="DR471" s="1"/>
      <c r="DS471" s="1"/>
      <c r="DT471" s="1"/>
      <c r="DU471" s="1"/>
      <c r="DV471" s="1"/>
      <c r="DW471" s="1"/>
      <c r="DX471" s="1"/>
      <c r="DY471" s="1"/>
      <c r="DZ471" s="1"/>
      <c r="EA471" s="1"/>
      <c r="EB471" s="1"/>
      <c r="EC471" s="1"/>
      <c r="ED471" s="1"/>
      <c r="EE471" s="1"/>
      <c r="EF471" s="1"/>
      <c r="EG471" s="1"/>
      <c r="EH471" s="1"/>
      <c r="EI471" s="1"/>
      <c r="EJ471" s="1"/>
      <c r="EK471" s="1"/>
      <c r="EL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c r="BR472" s="1"/>
      <c r="BS472" s="1"/>
      <c r="BT472" s="1"/>
      <c r="BU472" s="1"/>
      <c r="BV472" s="1"/>
      <c r="BW472" s="1"/>
      <c r="BX472" s="1"/>
      <c r="BY472" s="1"/>
      <c r="BZ472" s="1"/>
      <c r="CA472" s="1"/>
      <c r="CB472" s="1"/>
      <c r="CC472" s="1"/>
      <c r="CD472" s="1"/>
      <c r="CE472" s="1"/>
      <c r="CF472" s="1"/>
      <c r="CG472" s="1"/>
      <c r="CH472" s="1"/>
      <c r="CI472" s="1"/>
      <c r="CJ472" s="1"/>
      <c r="CK472" s="1"/>
      <c r="CL472" s="1"/>
      <c r="CM472" s="1"/>
      <c r="CN472" s="1"/>
      <c r="CO472" s="1"/>
      <c r="CP472" s="1"/>
      <c r="CQ472" s="1"/>
      <c r="CR472" s="1"/>
      <c r="CS472" s="1"/>
      <c r="CT472" s="1"/>
      <c r="CU472" s="1"/>
      <c r="CV472" s="1"/>
      <c r="CW472" s="1"/>
      <c r="CX472" s="1"/>
      <c r="CY472" s="1"/>
      <c r="CZ472" s="1"/>
      <c r="DA472" s="1"/>
      <c r="DB472" s="1"/>
      <c r="DC472" s="1"/>
      <c r="DD472" s="1"/>
      <c r="DE472" s="1"/>
      <c r="DF472" s="1"/>
      <c r="DG472" s="1"/>
      <c r="DH472" s="1"/>
      <c r="DI472" s="1"/>
      <c r="DJ472" s="1"/>
      <c r="DK472" s="1"/>
      <c r="DL472" s="1"/>
      <c r="DM472" s="1"/>
      <c r="DN472" s="1"/>
      <c r="DO472" s="1"/>
      <c r="DP472" s="1"/>
      <c r="DQ472" s="1"/>
      <c r="DR472" s="1"/>
      <c r="DS472" s="1"/>
      <c r="DT472" s="1"/>
      <c r="DU472" s="1"/>
      <c r="DV472" s="1"/>
      <c r="DW472" s="1"/>
      <c r="DX472" s="1"/>
      <c r="DY472" s="1"/>
      <c r="DZ472" s="1"/>
      <c r="EA472" s="1"/>
      <c r="EB472" s="1"/>
      <c r="EC472" s="1"/>
      <c r="ED472" s="1"/>
      <c r="EE472" s="1"/>
      <c r="EF472" s="1"/>
      <c r="EG472" s="1"/>
      <c r="EH472" s="1"/>
      <c r="EI472" s="1"/>
      <c r="EJ472" s="1"/>
      <c r="EK472" s="1"/>
      <c r="EL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c r="BR473" s="1"/>
      <c r="BS473" s="1"/>
      <c r="BT473" s="1"/>
      <c r="BU473" s="1"/>
      <c r="BV473" s="1"/>
      <c r="BW473" s="1"/>
      <c r="BX473" s="1"/>
      <c r="BY473" s="1"/>
      <c r="BZ473" s="1"/>
      <c r="CA473" s="1"/>
      <c r="CB473" s="1"/>
      <c r="CC473" s="1"/>
      <c r="CD473" s="1"/>
      <c r="CE473" s="1"/>
      <c r="CF473" s="1"/>
      <c r="CG473" s="1"/>
      <c r="CH473" s="1"/>
      <c r="CI473" s="1"/>
      <c r="CJ473" s="1"/>
      <c r="CK473" s="1"/>
      <c r="CL473" s="1"/>
      <c r="CM473" s="1"/>
      <c r="CN473" s="1"/>
      <c r="CO473" s="1"/>
      <c r="CP473" s="1"/>
      <c r="CQ473" s="1"/>
      <c r="CR473" s="1"/>
      <c r="CS473" s="1"/>
      <c r="CT473" s="1"/>
      <c r="CU473" s="1"/>
      <c r="CV473" s="1"/>
      <c r="CW473" s="1"/>
      <c r="CX473" s="1"/>
      <c r="CY473" s="1"/>
      <c r="CZ473" s="1"/>
      <c r="DA473" s="1"/>
      <c r="DB473" s="1"/>
      <c r="DC473" s="1"/>
      <c r="DD473" s="1"/>
      <c r="DE473" s="1"/>
      <c r="DF473" s="1"/>
      <c r="DG473" s="1"/>
      <c r="DH473" s="1"/>
      <c r="DI473" s="1"/>
      <c r="DJ473" s="1"/>
      <c r="DK473" s="1"/>
      <c r="DL473" s="1"/>
      <c r="DM473" s="1"/>
      <c r="DN473" s="1"/>
      <c r="DO473" s="1"/>
      <c r="DP473" s="1"/>
      <c r="DQ473" s="1"/>
      <c r="DR473" s="1"/>
      <c r="DS473" s="1"/>
      <c r="DT473" s="1"/>
      <c r="DU473" s="1"/>
      <c r="DV473" s="1"/>
      <c r="DW473" s="1"/>
      <c r="DX473" s="1"/>
      <c r="DY473" s="1"/>
      <c r="DZ473" s="1"/>
      <c r="EA473" s="1"/>
      <c r="EB473" s="1"/>
      <c r="EC473" s="1"/>
      <c r="ED473" s="1"/>
      <c r="EE473" s="1"/>
      <c r="EF473" s="1"/>
      <c r="EG473" s="1"/>
      <c r="EH473" s="1"/>
      <c r="EI473" s="1"/>
      <c r="EJ473" s="1"/>
      <c r="EK473" s="1"/>
      <c r="EL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c r="BR474" s="1"/>
      <c r="BS474" s="1"/>
      <c r="BT474" s="1"/>
      <c r="BU474" s="1"/>
      <c r="BV474" s="1"/>
      <c r="BW474" s="1"/>
      <c r="BX474" s="1"/>
      <c r="BY474" s="1"/>
      <c r="BZ474" s="1"/>
      <c r="CA474" s="1"/>
      <c r="CB474" s="1"/>
      <c r="CC474" s="1"/>
      <c r="CD474" s="1"/>
      <c r="CE474" s="1"/>
      <c r="CF474" s="1"/>
      <c r="CG474" s="1"/>
      <c r="CH474" s="1"/>
      <c r="CI474" s="1"/>
      <c r="CJ474" s="1"/>
      <c r="CK474" s="1"/>
      <c r="CL474" s="1"/>
      <c r="CM474" s="1"/>
      <c r="CN474" s="1"/>
      <c r="CO474" s="1"/>
      <c r="CP474" s="1"/>
      <c r="CQ474" s="1"/>
      <c r="CR474" s="1"/>
      <c r="CS474" s="1"/>
      <c r="CT474" s="1"/>
      <c r="CU474" s="1"/>
      <c r="CV474" s="1"/>
      <c r="CW474" s="1"/>
      <c r="CX474" s="1"/>
      <c r="CY474" s="1"/>
      <c r="CZ474" s="1"/>
      <c r="DA474" s="1"/>
      <c r="DB474" s="1"/>
      <c r="DC474" s="1"/>
      <c r="DD474" s="1"/>
      <c r="DE474" s="1"/>
      <c r="DF474" s="1"/>
      <c r="DG474" s="1"/>
      <c r="DH474" s="1"/>
      <c r="DI474" s="1"/>
      <c r="DJ474" s="1"/>
      <c r="DK474" s="1"/>
      <c r="DL474" s="1"/>
      <c r="DM474" s="1"/>
      <c r="DN474" s="1"/>
      <c r="DO474" s="1"/>
      <c r="DP474" s="1"/>
      <c r="DQ474" s="1"/>
      <c r="DR474" s="1"/>
      <c r="DS474" s="1"/>
      <c r="DT474" s="1"/>
      <c r="DU474" s="1"/>
      <c r="DV474" s="1"/>
      <c r="DW474" s="1"/>
      <c r="DX474" s="1"/>
      <c r="DY474" s="1"/>
      <c r="DZ474" s="1"/>
      <c r="EA474" s="1"/>
      <c r="EB474" s="1"/>
      <c r="EC474" s="1"/>
      <c r="ED474" s="1"/>
      <c r="EE474" s="1"/>
      <c r="EF474" s="1"/>
      <c r="EG474" s="1"/>
      <c r="EH474" s="1"/>
      <c r="EI474" s="1"/>
      <c r="EJ474" s="1"/>
      <c r="EK474" s="1"/>
      <c r="EL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c r="BR475" s="1"/>
      <c r="BS475" s="1"/>
      <c r="BT475" s="1"/>
      <c r="BU475" s="1"/>
      <c r="BV475" s="1"/>
      <c r="BW475" s="1"/>
      <c r="BX475" s="1"/>
      <c r="BY475" s="1"/>
      <c r="BZ475" s="1"/>
      <c r="CA475" s="1"/>
      <c r="CB475" s="1"/>
      <c r="CC475" s="1"/>
      <c r="CD475" s="1"/>
      <c r="CE475" s="1"/>
      <c r="CF475" s="1"/>
      <c r="CG475" s="1"/>
      <c r="CH475" s="1"/>
      <c r="CI475" s="1"/>
      <c r="CJ475" s="1"/>
      <c r="CK475" s="1"/>
      <c r="CL475" s="1"/>
      <c r="CM475" s="1"/>
      <c r="CN475" s="1"/>
      <c r="CO475" s="1"/>
      <c r="CP475" s="1"/>
      <c r="CQ475" s="1"/>
      <c r="CR475" s="1"/>
      <c r="CS475" s="1"/>
      <c r="CT475" s="1"/>
      <c r="CU475" s="1"/>
      <c r="CV475" s="1"/>
      <c r="CW475" s="1"/>
      <c r="CX475" s="1"/>
      <c r="CY475" s="1"/>
      <c r="CZ475" s="1"/>
      <c r="DA475" s="1"/>
      <c r="DB475" s="1"/>
      <c r="DC475" s="1"/>
      <c r="DD475" s="1"/>
      <c r="DE475" s="1"/>
      <c r="DF475" s="1"/>
      <c r="DG475" s="1"/>
      <c r="DH475" s="1"/>
      <c r="DI475" s="1"/>
      <c r="DJ475" s="1"/>
      <c r="DK475" s="1"/>
      <c r="DL475" s="1"/>
      <c r="DM475" s="1"/>
      <c r="DN475" s="1"/>
      <c r="DO475" s="1"/>
      <c r="DP475" s="1"/>
      <c r="DQ475" s="1"/>
      <c r="DR475" s="1"/>
      <c r="DS475" s="1"/>
      <c r="DT475" s="1"/>
      <c r="DU475" s="1"/>
      <c r="DV475" s="1"/>
      <c r="DW475" s="1"/>
      <c r="DX475" s="1"/>
      <c r="DY475" s="1"/>
      <c r="DZ475" s="1"/>
      <c r="EA475" s="1"/>
      <c r="EB475" s="1"/>
      <c r="EC475" s="1"/>
      <c r="ED475" s="1"/>
      <c r="EE475" s="1"/>
      <c r="EF475" s="1"/>
      <c r="EG475" s="1"/>
      <c r="EH475" s="1"/>
      <c r="EI475" s="1"/>
      <c r="EJ475" s="1"/>
      <c r="EK475" s="1"/>
      <c r="EL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c r="BR476" s="1"/>
      <c r="BS476" s="1"/>
      <c r="BT476" s="1"/>
      <c r="BU476" s="1"/>
      <c r="BV476" s="1"/>
      <c r="BW476" s="1"/>
      <c r="BX476" s="1"/>
      <c r="BY476" s="1"/>
      <c r="BZ476" s="1"/>
      <c r="CA476" s="1"/>
      <c r="CB476" s="1"/>
      <c r="CC476" s="1"/>
      <c r="CD476" s="1"/>
      <c r="CE476" s="1"/>
      <c r="CF476" s="1"/>
      <c r="CG476" s="1"/>
      <c r="CH476" s="1"/>
      <c r="CI476" s="1"/>
      <c r="CJ476" s="1"/>
      <c r="CK476" s="1"/>
      <c r="CL476" s="1"/>
      <c r="CM476" s="1"/>
      <c r="CN476" s="1"/>
      <c r="CO476" s="1"/>
      <c r="CP476" s="1"/>
      <c r="CQ476" s="1"/>
      <c r="CR476" s="1"/>
      <c r="CS476" s="1"/>
      <c r="CT476" s="1"/>
      <c r="CU476" s="1"/>
      <c r="CV476" s="1"/>
      <c r="CW476" s="1"/>
      <c r="CX476" s="1"/>
      <c r="CY476" s="1"/>
      <c r="CZ476" s="1"/>
      <c r="DA476" s="1"/>
      <c r="DB476" s="1"/>
      <c r="DC476" s="1"/>
      <c r="DD476" s="1"/>
      <c r="DE476" s="1"/>
      <c r="DF476" s="1"/>
      <c r="DG476" s="1"/>
      <c r="DH476" s="1"/>
      <c r="DI476" s="1"/>
      <c r="DJ476" s="1"/>
      <c r="DK476" s="1"/>
      <c r="DL476" s="1"/>
      <c r="DM476" s="1"/>
      <c r="DN476" s="1"/>
      <c r="DO476" s="1"/>
      <c r="DP476" s="1"/>
      <c r="DQ476" s="1"/>
      <c r="DR476" s="1"/>
      <c r="DS476" s="1"/>
      <c r="DT476" s="1"/>
      <c r="DU476" s="1"/>
      <c r="DV476" s="1"/>
      <c r="DW476" s="1"/>
      <c r="DX476" s="1"/>
      <c r="DY476" s="1"/>
      <c r="DZ476" s="1"/>
      <c r="EA476" s="1"/>
      <c r="EB476" s="1"/>
      <c r="EC476" s="1"/>
      <c r="ED476" s="1"/>
      <c r="EE476" s="1"/>
      <c r="EF476" s="1"/>
      <c r="EG476" s="1"/>
      <c r="EH476" s="1"/>
      <c r="EI476" s="1"/>
      <c r="EJ476" s="1"/>
      <c r="EK476" s="1"/>
      <c r="EL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c r="BR477" s="1"/>
      <c r="BS477" s="1"/>
      <c r="BT477" s="1"/>
      <c r="BU477" s="1"/>
      <c r="BV477" s="1"/>
      <c r="BW477" s="1"/>
      <c r="BX477" s="1"/>
      <c r="BY477" s="1"/>
      <c r="BZ477" s="1"/>
      <c r="CA477" s="1"/>
      <c r="CB477" s="1"/>
      <c r="CC477" s="1"/>
      <c r="CD477" s="1"/>
      <c r="CE477" s="1"/>
      <c r="CF477" s="1"/>
      <c r="CG477" s="1"/>
      <c r="CH477" s="1"/>
      <c r="CI477" s="1"/>
      <c r="CJ477" s="1"/>
      <c r="CK477" s="1"/>
      <c r="CL477" s="1"/>
      <c r="CM477" s="1"/>
      <c r="CN477" s="1"/>
      <c r="CO477" s="1"/>
      <c r="CP477" s="1"/>
      <c r="CQ477" s="1"/>
      <c r="CR477" s="1"/>
      <c r="CS477" s="1"/>
      <c r="CT477" s="1"/>
      <c r="CU477" s="1"/>
      <c r="CV477" s="1"/>
      <c r="CW477" s="1"/>
      <c r="CX477" s="1"/>
      <c r="CY477" s="1"/>
      <c r="CZ477" s="1"/>
      <c r="DA477" s="1"/>
      <c r="DB477" s="1"/>
      <c r="DC477" s="1"/>
      <c r="DD477" s="1"/>
      <c r="DE477" s="1"/>
      <c r="DF477" s="1"/>
      <c r="DG477" s="1"/>
      <c r="DH477" s="1"/>
      <c r="DI477" s="1"/>
      <c r="DJ477" s="1"/>
      <c r="DK477" s="1"/>
      <c r="DL477" s="1"/>
      <c r="DM477" s="1"/>
      <c r="DN477" s="1"/>
      <c r="DO477" s="1"/>
      <c r="DP477" s="1"/>
      <c r="DQ477" s="1"/>
      <c r="DR477" s="1"/>
      <c r="DS477" s="1"/>
      <c r="DT477" s="1"/>
      <c r="DU477" s="1"/>
      <c r="DV477" s="1"/>
      <c r="DW477" s="1"/>
      <c r="DX477" s="1"/>
      <c r="DY477" s="1"/>
      <c r="DZ477" s="1"/>
      <c r="EA477" s="1"/>
      <c r="EB477" s="1"/>
      <c r="EC477" s="1"/>
      <c r="ED477" s="1"/>
      <c r="EE477" s="1"/>
      <c r="EF477" s="1"/>
      <c r="EG477" s="1"/>
      <c r="EH477" s="1"/>
      <c r="EI477" s="1"/>
      <c r="EJ477" s="1"/>
      <c r="EK477" s="1"/>
      <c r="EL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c r="BR478" s="1"/>
      <c r="BS478" s="1"/>
      <c r="BT478" s="1"/>
      <c r="BU478" s="1"/>
      <c r="BV478" s="1"/>
      <c r="BW478" s="1"/>
      <c r="BX478" s="1"/>
      <c r="BY478" s="1"/>
      <c r="BZ478" s="1"/>
      <c r="CA478" s="1"/>
      <c r="CB478" s="1"/>
      <c r="CC478" s="1"/>
      <c r="CD478" s="1"/>
      <c r="CE478" s="1"/>
      <c r="CF478" s="1"/>
      <c r="CG478" s="1"/>
      <c r="CH478" s="1"/>
      <c r="CI478" s="1"/>
      <c r="CJ478" s="1"/>
      <c r="CK478" s="1"/>
      <c r="CL478" s="1"/>
      <c r="CM478" s="1"/>
      <c r="CN478" s="1"/>
      <c r="CO478" s="1"/>
      <c r="CP478" s="1"/>
      <c r="CQ478" s="1"/>
      <c r="CR478" s="1"/>
      <c r="CS478" s="1"/>
      <c r="CT478" s="1"/>
      <c r="CU478" s="1"/>
      <c r="CV478" s="1"/>
      <c r="CW478" s="1"/>
      <c r="CX478" s="1"/>
      <c r="CY478" s="1"/>
      <c r="CZ478" s="1"/>
      <c r="DA478" s="1"/>
      <c r="DB478" s="1"/>
      <c r="DC478" s="1"/>
      <c r="DD478" s="1"/>
      <c r="DE478" s="1"/>
      <c r="DF478" s="1"/>
      <c r="DG478" s="1"/>
      <c r="DH478" s="1"/>
      <c r="DI478" s="1"/>
      <c r="DJ478" s="1"/>
      <c r="DK478" s="1"/>
      <c r="DL478" s="1"/>
      <c r="DM478" s="1"/>
      <c r="DN478" s="1"/>
      <c r="DO478" s="1"/>
      <c r="DP478" s="1"/>
      <c r="DQ478" s="1"/>
      <c r="DR478" s="1"/>
      <c r="DS478" s="1"/>
      <c r="DT478" s="1"/>
      <c r="DU478" s="1"/>
      <c r="DV478" s="1"/>
      <c r="DW478" s="1"/>
      <c r="DX478" s="1"/>
      <c r="DY478" s="1"/>
      <c r="DZ478" s="1"/>
      <c r="EA478" s="1"/>
      <c r="EB478" s="1"/>
      <c r="EC478" s="1"/>
      <c r="ED478" s="1"/>
      <c r="EE478" s="1"/>
      <c r="EF478" s="1"/>
      <c r="EG478" s="1"/>
      <c r="EH478" s="1"/>
      <c r="EI478" s="1"/>
      <c r="EJ478" s="1"/>
      <c r="EK478" s="1"/>
      <c r="EL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c r="BR479" s="1"/>
      <c r="BS479" s="1"/>
      <c r="BT479" s="1"/>
      <c r="BU479" s="1"/>
      <c r="BV479" s="1"/>
      <c r="BW479" s="1"/>
      <c r="BX479" s="1"/>
      <c r="BY479" s="1"/>
      <c r="BZ479" s="1"/>
      <c r="CA479" s="1"/>
      <c r="CB479" s="1"/>
      <c r="CC479" s="1"/>
      <c r="CD479" s="1"/>
      <c r="CE479" s="1"/>
      <c r="CF479" s="1"/>
      <c r="CG479" s="1"/>
      <c r="CH479" s="1"/>
      <c r="CI479" s="1"/>
      <c r="CJ479" s="1"/>
      <c r="CK479" s="1"/>
      <c r="CL479" s="1"/>
      <c r="CM479" s="1"/>
      <c r="CN479" s="1"/>
      <c r="CO479" s="1"/>
      <c r="CP479" s="1"/>
      <c r="CQ479" s="1"/>
      <c r="CR479" s="1"/>
      <c r="CS479" s="1"/>
      <c r="CT479" s="1"/>
      <c r="CU479" s="1"/>
      <c r="CV479" s="1"/>
      <c r="CW479" s="1"/>
      <c r="CX479" s="1"/>
      <c r="CY479" s="1"/>
      <c r="CZ479" s="1"/>
      <c r="DA479" s="1"/>
      <c r="DB479" s="1"/>
      <c r="DC479" s="1"/>
      <c r="DD479" s="1"/>
      <c r="DE479" s="1"/>
      <c r="DF479" s="1"/>
      <c r="DG479" s="1"/>
      <c r="DH479" s="1"/>
      <c r="DI479" s="1"/>
      <c r="DJ479" s="1"/>
      <c r="DK479" s="1"/>
      <c r="DL479" s="1"/>
      <c r="DM479" s="1"/>
      <c r="DN479" s="1"/>
      <c r="DO479" s="1"/>
      <c r="DP479" s="1"/>
      <c r="DQ479" s="1"/>
      <c r="DR479" s="1"/>
      <c r="DS479" s="1"/>
      <c r="DT479" s="1"/>
      <c r="DU479" s="1"/>
      <c r="DV479" s="1"/>
      <c r="DW479" s="1"/>
      <c r="DX479" s="1"/>
      <c r="DY479" s="1"/>
      <c r="DZ479" s="1"/>
      <c r="EA479" s="1"/>
      <c r="EB479" s="1"/>
      <c r="EC479" s="1"/>
      <c r="ED479" s="1"/>
      <c r="EE479" s="1"/>
      <c r="EF479" s="1"/>
      <c r="EG479" s="1"/>
      <c r="EH479" s="1"/>
      <c r="EI479" s="1"/>
      <c r="EJ479" s="1"/>
      <c r="EK479" s="1"/>
      <c r="EL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c r="BR480" s="1"/>
      <c r="BS480" s="1"/>
      <c r="BT480" s="1"/>
      <c r="BU480" s="1"/>
      <c r="BV480" s="1"/>
      <c r="BW480" s="1"/>
      <c r="BX480" s="1"/>
      <c r="BY480" s="1"/>
      <c r="BZ480" s="1"/>
      <c r="CA480" s="1"/>
      <c r="CB480" s="1"/>
      <c r="CC480" s="1"/>
      <c r="CD480" s="1"/>
      <c r="CE480" s="1"/>
      <c r="CF480" s="1"/>
      <c r="CG480" s="1"/>
      <c r="CH480" s="1"/>
      <c r="CI480" s="1"/>
      <c r="CJ480" s="1"/>
      <c r="CK480" s="1"/>
      <c r="CL480" s="1"/>
      <c r="CM480" s="1"/>
      <c r="CN480" s="1"/>
      <c r="CO480" s="1"/>
      <c r="CP480" s="1"/>
      <c r="CQ480" s="1"/>
      <c r="CR480" s="1"/>
      <c r="CS480" s="1"/>
      <c r="CT480" s="1"/>
      <c r="CU480" s="1"/>
      <c r="CV480" s="1"/>
      <c r="CW480" s="1"/>
      <c r="CX480" s="1"/>
      <c r="CY480" s="1"/>
      <c r="CZ480" s="1"/>
      <c r="DA480" s="1"/>
      <c r="DB480" s="1"/>
      <c r="DC480" s="1"/>
      <c r="DD480" s="1"/>
      <c r="DE480" s="1"/>
      <c r="DF480" s="1"/>
      <c r="DG480" s="1"/>
      <c r="DH480" s="1"/>
      <c r="DI480" s="1"/>
      <c r="DJ480" s="1"/>
      <c r="DK480" s="1"/>
      <c r="DL480" s="1"/>
      <c r="DM480" s="1"/>
      <c r="DN480" s="1"/>
      <c r="DO480" s="1"/>
      <c r="DP480" s="1"/>
      <c r="DQ480" s="1"/>
      <c r="DR480" s="1"/>
      <c r="DS480" s="1"/>
      <c r="DT480" s="1"/>
      <c r="DU480" s="1"/>
      <c r="DV480" s="1"/>
      <c r="DW480" s="1"/>
      <c r="DX480" s="1"/>
      <c r="DY480" s="1"/>
      <c r="DZ480" s="1"/>
      <c r="EA480" s="1"/>
      <c r="EB480" s="1"/>
      <c r="EC480" s="1"/>
      <c r="ED480" s="1"/>
      <c r="EE480" s="1"/>
      <c r="EF480" s="1"/>
      <c r="EG480" s="1"/>
      <c r="EH480" s="1"/>
      <c r="EI480" s="1"/>
      <c r="EJ480" s="1"/>
      <c r="EK480" s="1"/>
      <c r="EL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c r="BR481" s="1"/>
      <c r="BS481" s="1"/>
      <c r="BT481" s="1"/>
      <c r="BU481" s="1"/>
      <c r="BV481" s="1"/>
      <c r="BW481" s="1"/>
      <c r="BX481" s="1"/>
      <c r="BY481" s="1"/>
      <c r="BZ481" s="1"/>
      <c r="CA481" s="1"/>
      <c r="CB481" s="1"/>
      <c r="CC481" s="1"/>
      <c r="CD481" s="1"/>
      <c r="CE481" s="1"/>
      <c r="CF481" s="1"/>
      <c r="CG481" s="1"/>
      <c r="CH481" s="1"/>
      <c r="CI481" s="1"/>
      <c r="CJ481" s="1"/>
      <c r="CK481" s="1"/>
      <c r="CL481" s="1"/>
      <c r="CM481" s="1"/>
      <c r="CN481" s="1"/>
      <c r="CO481" s="1"/>
      <c r="CP481" s="1"/>
      <c r="CQ481" s="1"/>
      <c r="CR481" s="1"/>
      <c r="CS481" s="1"/>
      <c r="CT481" s="1"/>
      <c r="CU481" s="1"/>
      <c r="CV481" s="1"/>
      <c r="CW481" s="1"/>
      <c r="CX481" s="1"/>
      <c r="CY481" s="1"/>
      <c r="CZ481" s="1"/>
      <c r="DA481" s="1"/>
      <c r="DB481" s="1"/>
      <c r="DC481" s="1"/>
      <c r="DD481" s="1"/>
      <c r="DE481" s="1"/>
      <c r="DF481" s="1"/>
      <c r="DG481" s="1"/>
      <c r="DH481" s="1"/>
      <c r="DI481" s="1"/>
      <c r="DJ481" s="1"/>
      <c r="DK481" s="1"/>
      <c r="DL481" s="1"/>
      <c r="DM481" s="1"/>
      <c r="DN481" s="1"/>
      <c r="DO481" s="1"/>
      <c r="DP481" s="1"/>
      <c r="DQ481" s="1"/>
      <c r="DR481" s="1"/>
      <c r="DS481" s="1"/>
      <c r="DT481" s="1"/>
      <c r="DU481" s="1"/>
      <c r="DV481" s="1"/>
      <c r="DW481" s="1"/>
      <c r="DX481" s="1"/>
      <c r="DY481" s="1"/>
      <c r="DZ481" s="1"/>
      <c r="EA481" s="1"/>
      <c r="EB481" s="1"/>
      <c r="EC481" s="1"/>
      <c r="ED481" s="1"/>
      <c r="EE481" s="1"/>
      <c r="EF481" s="1"/>
      <c r="EG481" s="1"/>
      <c r="EH481" s="1"/>
      <c r="EI481" s="1"/>
      <c r="EJ481" s="1"/>
      <c r="EK481" s="1"/>
      <c r="EL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c r="BR482" s="1"/>
      <c r="BS482" s="1"/>
      <c r="BT482" s="1"/>
      <c r="BU482" s="1"/>
      <c r="BV482" s="1"/>
      <c r="BW482" s="1"/>
      <c r="BX482" s="1"/>
      <c r="BY482" s="1"/>
      <c r="BZ482" s="1"/>
      <c r="CA482" s="1"/>
      <c r="CB482" s="1"/>
      <c r="CC482" s="1"/>
      <c r="CD482" s="1"/>
      <c r="CE482" s="1"/>
      <c r="CF482" s="1"/>
      <c r="CG482" s="1"/>
      <c r="CH482" s="1"/>
      <c r="CI482" s="1"/>
      <c r="CJ482" s="1"/>
      <c r="CK482" s="1"/>
      <c r="CL482" s="1"/>
      <c r="CM482" s="1"/>
      <c r="CN482" s="1"/>
      <c r="CO482" s="1"/>
      <c r="CP482" s="1"/>
      <c r="CQ482" s="1"/>
      <c r="CR482" s="1"/>
      <c r="CS482" s="1"/>
      <c r="CT482" s="1"/>
      <c r="CU482" s="1"/>
      <c r="CV482" s="1"/>
      <c r="CW482" s="1"/>
      <c r="CX482" s="1"/>
      <c r="CY482" s="1"/>
      <c r="CZ482" s="1"/>
      <c r="DA482" s="1"/>
      <c r="DB482" s="1"/>
      <c r="DC482" s="1"/>
      <c r="DD482" s="1"/>
      <c r="DE482" s="1"/>
      <c r="DF482" s="1"/>
      <c r="DG482" s="1"/>
      <c r="DH482" s="1"/>
      <c r="DI482" s="1"/>
      <c r="DJ482" s="1"/>
      <c r="DK482" s="1"/>
      <c r="DL482" s="1"/>
      <c r="DM482" s="1"/>
      <c r="DN482" s="1"/>
      <c r="DO482" s="1"/>
      <c r="DP482" s="1"/>
      <c r="DQ482" s="1"/>
      <c r="DR482" s="1"/>
      <c r="DS482" s="1"/>
      <c r="DT482" s="1"/>
      <c r="DU482" s="1"/>
      <c r="DV482" s="1"/>
      <c r="DW482" s="1"/>
      <c r="DX482" s="1"/>
      <c r="DY482" s="1"/>
      <c r="DZ482" s="1"/>
      <c r="EA482" s="1"/>
      <c r="EB482" s="1"/>
      <c r="EC482" s="1"/>
      <c r="ED482" s="1"/>
      <c r="EE482" s="1"/>
      <c r="EF482" s="1"/>
      <c r="EG482" s="1"/>
      <c r="EH482" s="1"/>
      <c r="EI482" s="1"/>
      <c r="EJ482" s="1"/>
      <c r="EK482" s="1"/>
      <c r="EL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c r="BR483" s="1"/>
      <c r="BS483" s="1"/>
      <c r="BT483" s="1"/>
      <c r="BU483" s="1"/>
      <c r="BV483" s="1"/>
      <c r="BW483" s="1"/>
      <c r="BX483" s="1"/>
      <c r="BY483" s="1"/>
      <c r="BZ483" s="1"/>
      <c r="CA483" s="1"/>
      <c r="CB483" s="1"/>
      <c r="CC483" s="1"/>
      <c r="CD483" s="1"/>
      <c r="CE483" s="1"/>
      <c r="CF483" s="1"/>
      <c r="CG483" s="1"/>
      <c r="CH483" s="1"/>
      <c r="CI483" s="1"/>
      <c r="CJ483" s="1"/>
      <c r="CK483" s="1"/>
      <c r="CL483" s="1"/>
      <c r="CM483" s="1"/>
      <c r="CN483" s="1"/>
      <c r="CO483" s="1"/>
      <c r="CP483" s="1"/>
      <c r="CQ483" s="1"/>
      <c r="CR483" s="1"/>
      <c r="CS483" s="1"/>
      <c r="CT483" s="1"/>
      <c r="CU483" s="1"/>
      <c r="CV483" s="1"/>
      <c r="CW483" s="1"/>
      <c r="CX483" s="1"/>
      <c r="CY483" s="1"/>
      <c r="CZ483" s="1"/>
      <c r="DA483" s="1"/>
      <c r="DB483" s="1"/>
      <c r="DC483" s="1"/>
      <c r="DD483" s="1"/>
      <c r="DE483" s="1"/>
      <c r="DF483" s="1"/>
      <c r="DG483" s="1"/>
      <c r="DH483" s="1"/>
      <c r="DI483" s="1"/>
      <c r="DJ483" s="1"/>
      <c r="DK483" s="1"/>
      <c r="DL483" s="1"/>
      <c r="DM483" s="1"/>
      <c r="DN483" s="1"/>
      <c r="DO483" s="1"/>
      <c r="DP483" s="1"/>
      <c r="DQ483" s="1"/>
      <c r="DR483" s="1"/>
      <c r="DS483" s="1"/>
      <c r="DT483" s="1"/>
      <c r="DU483" s="1"/>
      <c r="DV483" s="1"/>
      <c r="DW483" s="1"/>
      <c r="DX483" s="1"/>
      <c r="DY483" s="1"/>
      <c r="DZ483" s="1"/>
      <c r="EA483" s="1"/>
      <c r="EB483" s="1"/>
      <c r="EC483" s="1"/>
      <c r="ED483" s="1"/>
      <c r="EE483" s="1"/>
      <c r="EF483" s="1"/>
      <c r="EG483" s="1"/>
      <c r="EH483" s="1"/>
      <c r="EI483" s="1"/>
      <c r="EJ483" s="1"/>
      <c r="EK483" s="1"/>
      <c r="EL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c r="BR484" s="1"/>
      <c r="BS484" s="1"/>
      <c r="BT484" s="1"/>
      <c r="BU484" s="1"/>
      <c r="BV484" s="1"/>
      <c r="BW484" s="1"/>
      <c r="BX484" s="1"/>
      <c r="BY484" s="1"/>
      <c r="BZ484" s="1"/>
      <c r="CA484" s="1"/>
      <c r="CB484" s="1"/>
      <c r="CC484" s="1"/>
      <c r="CD484" s="1"/>
      <c r="CE484" s="1"/>
      <c r="CF484" s="1"/>
      <c r="CG484" s="1"/>
      <c r="CH484" s="1"/>
      <c r="CI484" s="1"/>
      <c r="CJ484" s="1"/>
      <c r="CK484" s="1"/>
      <c r="CL484" s="1"/>
      <c r="CM484" s="1"/>
      <c r="CN484" s="1"/>
      <c r="CO484" s="1"/>
      <c r="CP484" s="1"/>
      <c r="CQ484" s="1"/>
      <c r="CR484" s="1"/>
      <c r="CS484" s="1"/>
      <c r="CT484" s="1"/>
      <c r="CU484" s="1"/>
      <c r="CV484" s="1"/>
      <c r="CW484" s="1"/>
      <c r="CX484" s="1"/>
      <c r="CY484" s="1"/>
      <c r="CZ484" s="1"/>
      <c r="DA484" s="1"/>
      <c r="DB484" s="1"/>
      <c r="DC484" s="1"/>
      <c r="DD484" s="1"/>
      <c r="DE484" s="1"/>
      <c r="DF484" s="1"/>
      <c r="DG484" s="1"/>
      <c r="DH484" s="1"/>
      <c r="DI484" s="1"/>
      <c r="DJ484" s="1"/>
      <c r="DK484" s="1"/>
      <c r="DL484" s="1"/>
      <c r="DM484" s="1"/>
      <c r="DN484" s="1"/>
      <c r="DO484" s="1"/>
      <c r="DP484" s="1"/>
      <c r="DQ484" s="1"/>
      <c r="DR484" s="1"/>
      <c r="DS484" s="1"/>
      <c r="DT484" s="1"/>
      <c r="DU484" s="1"/>
      <c r="DV484" s="1"/>
      <c r="DW484" s="1"/>
      <c r="DX484" s="1"/>
      <c r="DY484" s="1"/>
      <c r="DZ484" s="1"/>
      <c r="EA484" s="1"/>
      <c r="EB484" s="1"/>
      <c r="EC484" s="1"/>
      <c r="ED484" s="1"/>
      <c r="EE484" s="1"/>
      <c r="EF484" s="1"/>
      <c r="EG484" s="1"/>
      <c r="EH484" s="1"/>
      <c r="EI484" s="1"/>
      <c r="EJ484" s="1"/>
      <c r="EK484" s="1"/>
      <c r="EL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c r="BR485" s="1"/>
      <c r="BS485" s="1"/>
      <c r="BT485" s="1"/>
      <c r="BU485" s="1"/>
      <c r="BV485" s="1"/>
      <c r="BW485" s="1"/>
      <c r="BX485" s="1"/>
      <c r="BY485" s="1"/>
      <c r="BZ485" s="1"/>
      <c r="CA485" s="1"/>
      <c r="CB485" s="1"/>
      <c r="CC485" s="1"/>
      <c r="CD485" s="1"/>
      <c r="CE485" s="1"/>
      <c r="CF485" s="1"/>
      <c r="CG485" s="1"/>
      <c r="CH485" s="1"/>
      <c r="CI485" s="1"/>
      <c r="CJ485" s="1"/>
      <c r="CK485" s="1"/>
      <c r="CL485" s="1"/>
      <c r="CM485" s="1"/>
      <c r="CN485" s="1"/>
      <c r="CO485" s="1"/>
      <c r="CP485" s="1"/>
      <c r="CQ485" s="1"/>
      <c r="CR485" s="1"/>
      <c r="CS485" s="1"/>
      <c r="CT485" s="1"/>
      <c r="CU485" s="1"/>
      <c r="CV485" s="1"/>
      <c r="CW485" s="1"/>
      <c r="CX485" s="1"/>
      <c r="CY485" s="1"/>
      <c r="CZ485" s="1"/>
      <c r="DA485" s="1"/>
      <c r="DB485" s="1"/>
      <c r="DC485" s="1"/>
      <c r="DD485" s="1"/>
      <c r="DE485" s="1"/>
      <c r="DF485" s="1"/>
      <c r="DG485" s="1"/>
      <c r="DH485" s="1"/>
      <c r="DI485" s="1"/>
      <c r="DJ485" s="1"/>
      <c r="DK485" s="1"/>
      <c r="DL485" s="1"/>
      <c r="DM485" s="1"/>
      <c r="DN485" s="1"/>
      <c r="DO485" s="1"/>
      <c r="DP485" s="1"/>
      <c r="DQ485" s="1"/>
      <c r="DR485" s="1"/>
      <c r="DS485" s="1"/>
      <c r="DT485" s="1"/>
      <c r="DU485" s="1"/>
      <c r="DV485" s="1"/>
      <c r="DW485" s="1"/>
      <c r="DX485" s="1"/>
      <c r="DY485" s="1"/>
      <c r="DZ485" s="1"/>
      <c r="EA485" s="1"/>
      <c r="EB485" s="1"/>
      <c r="EC485" s="1"/>
      <c r="ED485" s="1"/>
      <c r="EE485" s="1"/>
      <c r="EF485" s="1"/>
      <c r="EG485" s="1"/>
      <c r="EH485" s="1"/>
      <c r="EI485" s="1"/>
      <c r="EJ485" s="1"/>
      <c r="EK485" s="1"/>
      <c r="EL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c r="BR486" s="1"/>
      <c r="BS486" s="1"/>
      <c r="BT486" s="1"/>
      <c r="BU486" s="1"/>
      <c r="BV486" s="1"/>
      <c r="BW486" s="1"/>
      <c r="BX486" s="1"/>
      <c r="BY486" s="1"/>
      <c r="BZ486" s="1"/>
      <c r="CA486" s="1"/>
      <c r="CB486" s="1"/>
      <c r="CC486" s="1"/>
      <c r="CD486" s="1"/>
      <c r="CE486" s="1"/>
      <c r="CF486" s="1"/>
      <c r="CG486" s="1"/>
      <c r="CH486" s="1"/>
      <c r="CI486" s="1"/>
      <c r="CJ486" s="1"/>
      <c r="CK486" s="1"/>
      <c r="CL486" s="1"/>
      <c r="CM486" s="1"/>
      <c r="CN486" s="1"/>
      <c r="CO486" s="1"/>
      <c r="CP486" s="1"/>
      <c r="CQ486" s="1"/>
      <c r="CR486" s="1"/>
      <c r="CS486" s="1"/>
      <c r="CT486" s="1"/>
      <c r="CU486" s="1"/>
      <c r="CV486" s="1"/>
      <c r="CW486" s="1"/>
      <c r="CX486" s="1"/>
      <c r="CY486" s="1"/>
      <c r="CZ486" s="1"/>
      <c r="DA486" s="1"/>
      <c r="DB486" s="1"/>
      <c r="DC486" s="1"/>
      <c r="DD486" s="1"/>
      <c r="DE486" s="1"/>
      <c r="DF486" s="1"/>
      <c r="DG486" s="1"/>
      <c r="DH486" s="1"/>
      <c r="DI486" s="1"/>
      <c r="DJ486" s="1"/>
      <c r="DK486" s="1"/>
      <c r="DL486" s="1"/>
      <c r="DM486" s="1"/>
      <c r="DN486" s="1"/>
      <c r="DO486" s="1"/>
      <c r="DP486" s="1"/>
      <c r="DQ486" s="1"/>
      <c r="DR486" s="1"/>
      <c r="DS486" s="1"/>
      <c r="DT486" s="1"/>
      <c r="DU486" s="1"/>
      <c r="DV486" s="1"/>
      <c r="DW486" s="1"/>
      <c r="DX486" s="1"/>
      <c r="DY486" s="1"/>
      <c r="DZ486" s="1"/>
      <c r="EA486" s="1"/>
      <c r="EB486" s="1"/>
      <c r="EC486" s="1"/>
      <c r="ED486" s="1"/>
      <c r="EE486" s="1"/>
      <c r="EF486" s="1"/>
      <c r="EG486" s="1"/>
      <c r="EH486" s="1"/>
      <c r="EI486" s="1"/>
      <c r="EJ486" s="1"/>
      <c r="EK486" s="1"/>
      <c r="EL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c r="BR487" s="1"/>
      <c r="BS487" s="1"/>
      <c r="BT487" s="1"/>
      <c r="BU487" s="1"/>
      <c r="BV487" s="1"/>
      <c r="BW487" s="1"/>
      <c r="BX487" s="1"/>
      <c r="BY487" s="1"/>
      <c r="BZ487" s="1"/>
      <c r="CA487" s="1"/>
      <c r="CB487" s="1"/>
      <c r="CC487" s="1"/>
      <c r="CD487" s="1"/>
      <c r="CE487" s="1"/>
      <c r="CF487" s="1"/>
      <c r="CG487" s="1"/>
      <c r="CH487" s="1"/>
      <c r="CI487" s="1"/>
      <c r="CJ487" s="1"/>
      <c r="CK487" s="1"/>
      <c r="CL487" s="1"/>
      <c r="CM487" s="1"/>
      <c r="CN487" s="1"/>
      <c r="CO487" s="1"/>
      <c r="CP487" s="1"/>
      <c r="CQ487" s="1"/>
      <c r="CR487" s="1"/>
      <c r="CS487" s="1"/>
      <c r="CT487" s="1"/>
      <c r="CU487" s="1"/>
      <c r="CV487" s="1"/>
      <c r="CW487" s="1"/>
      <c r="CX487" s="1"/>
      <c r="CY487" s="1"/>
      <c r="CZ487" s="1"/>
      <c r="DA487" s="1"/>
      <c r="DB487" s="1"/>
      <c r="DC487" s="1"/>
      <c r="DD487" s="1"/>
      <c r="DE487" s="1"/>
      <c r="DF487" s="1"/>
      <c r="DG487" s="1"/>
      <c r="DH487" s="1"/>
      <c r="DI487" s="1"/>
      <c r="DJ487" s="1"/>
      <c r="DK487" s="1"/>
      <c r="DL487" s="1"/>
      <c r="DM487" s="1"/>
      <c r="DN487" s="1"/>
      <c r="DO487" s="1"/>
      <c r="DP487" s="1"/>
      <c r="DQ487" s="1"/>
      <c r="DR487" s="1"/>
      <c r="DS487" s="1"/>
      <c r="DT487" s="1"/>
      <c r="DU487" s="1"/>
      <c r="DV487" s="1"/>
      <c r="DW487" s="1"/>
      <c r="DX487" s="1"/>
      <c r="DY487" s="1"/>
      <c r="DZ487" s="1"/>
      <c r="EA487" s="1"/>
      <c r="EB487" s="1"/>
      <c r="EC487" s="1"/>
      <c r="ED487" s="1"/>
      <c r="EE487" s="1"/>
      <c r="EF487" s="1"/>
      <c r="EG487" s="1"/>
      <c r="EH487" s="1"/>
      <c r="EI487" s="1"/>
      <c r="EJ487" s="1"/>
      <c r="EK487" s="1"/>
      <c r="EL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c r="BR488" s="1"/>
      <c r="BS488" s="1"/>
      <c r="BT488" s="1"/>
      <c r="BU488" s="1"/>
      <c r="BV488" s="1"/>
      <c r="BW488" s="1"/>
      <c r="BX488" s="1"/>
      <c r="BY488" s="1"/>
      <c r="BZ488" s="1"/>
      <c r="CA488" s="1"/>
      <c r="CB488" s="1"/>
      <c r="CC488" s="1"/>
      <c r="CD488" s="1"/>
      <c r="CE488" s="1"/>
      <c r="CF488" s="1"/>
      <c r="CG488" s="1"/>
      <c r="CH488" s="1"/>
      <c r="CI488" s="1"/>
      <c r="CJ488" s="1"/>
      <c r="CK488" s="1"/>
      <c r="CL488" s="1"/>
      <c r="CM488" s="1"/>
      <c r="CN488" s="1"/>
      <c r="CO488" s="1"/>
      <c r="CP488" s="1"/>
      <c r="CQ488" s="1"/>
      <c r="CR488" s="1"/>
      <c r="CS488" s="1"/>
      <c r="CT488" s="1"/>
      <c r="CU488" s="1"/>
      <c r="CV488" s="1"/>
      <c r="CW488" s="1"/>
      <c r="CX488" s="1"/>
      <c r="CY488" s="1"/>
      <c r="CZ488" s="1"/>
      <c r="DA488" s="1"/>
      <c r="DB488" s="1"/>
      <c r="DC488" s="1"/>
      <c r="DD488" s="1"/>
      <c r="DE488" s="1"/>
      <c r="DF488" s="1"/>
      <c r="DG488" s="1"/>
      <c r="DH488" s="1"/>
      <c r="DI488" s="1"/>
      <c r="DJ488" s="1"/>
      <c r="DK488" s="1"/>
      <c r="DL488" s="1"/>
      <c r="DM488" s="1"/>
      <c r="DN488" s="1"/>
      <c r="DO488" s="1"/>
      <c r="DP488" s="1"/>
      <c r="DQ488" s="1"/>
      <c r="DR488" s="1"/>
      <c r="DS488" s="1"/>
      <c r="DT488" s="1"/>
      <c r="DU488" s="1"/>
      <c r="DV488" s="1"/>
      <c r="DW488" s="1"/>
      <c r="DX488" s="1"/>
      <c r="DY488" s="1"/>
      <c r="DZ488" s="1"/>
      <c r="EA488" s="1"/>
      <c r="EB488" s="1"/>
      <c r="EC488" s="1"/>
      <c r="ED488" s="1"/>
      <c r="EE488" s="1"/>
      <c r="EF488" s="1"/>
      <c r="EG488" s="1"/>
      <c r="EH488" s="1"/>
      <c r="EI488" s="1"/>
      <c r="EJ488" s="1"/>
      <c r="EK488" s="1"/>
      <c r="EL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c r="BR489" s="1"/>
      <c r="BS489" s="1"/>
      <c r="BT489" s="1"/>
      <c r="BU489" s="1"/>
      <c r="BV489" s="1"/>
      <c r="BW489" s="1"/>
      <c r="BX489" s="1"/>
      <c r="BY489" s="1"/>
      <c r="BZ489" s="1"/>
      <c r="CA489" s="1"/>
      <c r="CB489" s="1"/>
      <c r="CC489" s="1"/>
      <c r="CD489" s="1"/>
      <c r="CE489" s="1"/>
      <c r="CF489" s="1"/>
      <c r="CG489" s="1"/>
      <c r="CH489" s="1"/>
      <c r="CI489" s="1"/>
      <c r="CJ489" s="1"/>
      <c r="CK489" s="1"/>
      <c r="CL489" s="1"/>
      <c r="CM489" s="1"/>
      <c r="CN489" s="1"/>
      <c r="CO489" s="1"/>
      <c r="CP489" s="1"/>
      <c r="CQ489" s="1"/>
      <c r="CR489" s="1"/>
      <c r="CS489" s="1"/>
      <c r="CT489" s="1"/>
      <c r="CU489" s="1"/>
      <c r="CV489" s="1"/>
      <c r="CW489" s="1"/>
      <c r="CX489" s="1"/>
      <c r="CY489" s="1"/>
      <c r="CZ489" s="1"/>
      <c r="DA489" s="1"/>
      <c r="DB489" s="1"/>
      <c r="DC489" s="1"/>
      <c r="DD489" s="1"/>
      <c r="DE489" s="1"/>
      <c r="DF489" s="1"/>
      <c r="DG489" s="1"/>
      <c r="DH489" s="1"/>
      <c r="DI489" s="1"/>
      <c r="DJ489" s="1"/>
      <c r="DK489" s="1"/>
      <c r="DL489" s="1"/>
      <c r="DM489" s="1"/>
      <c r="DN489" s="1"/>
      <c r="DO489" s="1"/>
      <c r="DP489" s="1"/>
      <c r="DQ489" s="1"/>
      <c r="DR489" s="1"/>
      <c r="DS489" s="1"/>
      <c r="DT489" s="1"/>
      <c r="DU489" s="1"/>
      <c r="DV489" s="1"/>
      <c r="DW489" s="1"/>
      <c r="DX489" s="1"/>
      <c r="DY489" s="1"/>
      <c r="DZ489" s="1"/>
      <c r="EA489" s="1"/>
      <c r="EB489" s="1"/>
      <c r="EC489" s="1"/>
      <c r="ED489" s="1"/>
      <c r="EE489" s="1"/>
      <c r="EF489" s="1"/>
      <c r="EG489" s="1"/>
      <c r="EH489" s="1"/>
      <c r="EI489" s="1"/>
      <c r="EJ489" s="1"/>
      <c r="EK489" s="1"/>
      <c r="EL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c r="BR490" s="1"/>
      <c r="BS490" s="1"/>
      <c r="BT490" s="1"/>
      <c r="BU490" s="1"/>
      <c r="BV490" s="1"/>
      <c r="BW490" s="1"/>
      <c r="BX490" s="1"/>
      <c r="BY490" s="1"/>
      <c r="BZ490" s="1"/>
      <c r="CA490" s="1"/>
      <c r="CB490" s="1"/>
      <c r="CC490" s="1"/>
      <c r="CD490" s="1"/>
      <c r="CE490" s="1"/>
      <c r="CF490" s="1"/>
      <c r="CG490" s="1"/>
      <c r="CH490" s="1"/>
      <c r="CI490" s="1"/>
      <c r="CJ490" s="1"/>
      <c r="CK490" s="1"/>
      <c r="CL490" s="1"/>
      <c r="CM490" s="1"/>
      <c r="CN490" s="1"/>
      <c r="CO490" s="1"/>
      <c r="CP490" s="1"/>
      <c r="CQ490" s="1"/>
      <c r="CR490" s="1"/>
      <c r="CS490" s="1"/>
      <c r="CT490" s="1"/>
      <c r="CU490" s="1"/>
      <c r="CV490" s="1"/>
      <c r="CW490" s="1"/>
      <c r="CX490" s="1"/>
      <c r="CY490" s="1"/>
      <c r="CZ490" s="1"/>
      <c r="DA490" s="1"/>
      <c r="DB490" s="1"/>
      <c r="DC490" s="1"/>
      <c r="DD490" s="1"/>
      <c r="DE490" s="1"/>
      <c r="DF490" s="1"/>
      <c r="DG490" s="1"/>
      <c r="DH490" s="1"/>
      <c r="DI490" s="1"/>
      <c r="DJ490" s="1"/>
      <c r="DK490" s="1"/>
      <c r="DL490" s="1"/>
      <c r="DM490" s="1"/>
      <c r="DN490" s="1"/>
      <c r="DO490" s="1"/>
      <c r="DP490" s="1"/>
      <c r="DQ490" s="1"/>
      <c r="DR490" s="1"/>
      <c r="DS490" s="1"/>
      <c r="DT490" s="1"/>
      <c r="DU490" s="1"/>
      <c r="DV490" s="1"/>
      <c r="DW490" s="1"/>
      <c r="DX490" s="1"/>
      <c r="DY490" s="1"/>
      <c r="DZ490" s="1"/>
      <c r="EA490" s="1"/>
      <c r="EB490" s="1"/>
      <c r="EC490" s="1"/>
      <c r="ED490" s="1"/>
      <c r="EE490" s="1"/>
      <c r="EF490" s="1"/>
      <c r="EG490" s="1"/>
      <c r="EH490" s="1"/>
      <c r="EI490" s="1"/>
      <c r="EJ490" s="1"/>
      <c r="EK490" s="1"/>
      <c r="EL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c r="BR491" s="1"/>
      <c r="BS491" s="1"/>
      <c r="BT491" s="1"/>
      <c r="BU491" s="1"/>
      <c r="BV491" s="1"/>
      <c r="BW491" s="1"/>
      <c r="BX491" s="1"/>
      <c r="BY491" s="1"/>
      <c r="BZ491" s="1"/>
      <c r="CA491" s="1"/>
      <c r="CB491" s="1"/>
      <c r="CC491" s="1"/>
      <c r="CD491" s="1"/>
      <c r="CE491" s="1"/>
      <c r="CF491" s="1"/>
      <c r="CG491" s="1"/>
      <c r="CH491" s="1"/>
      <c r="CI491" s="1"/>
      <c r="CJ491" s="1"/>
      <c r="CK491" s="1"/>
      <c r="CL491" s="1"/>
      <c r="CM491" s="1"/>
      <c r="CN491" s="1"/>
      <c r="CO491" s="1"/>
      <c r="CP491" s="1"/>
      <c r="CQ491" s="1"/>
      <c r="CR491" s="1"/>
      <c r="CS491" s="1"/>
      <c r="CT491" s="1"/>
      <c r="CU491" s="1"/>
      <c r="CV491" s="1"/>
      <c r="CW491" s="1"/>
      <c r="CX491" s="1"/>
      <c r="CY491" s="1"/>
      <c r="CZ491" s="1"/>
      <c r="DA491" s="1"/>
      <c r="DB491" s="1"/>
      <c r="DC491" s="1"/>
      <c r="DD491" s="1"/>
      <c r="DE491" s="1"/>
      <c r="DF491" s="1"/>
      <c r="DG491" s="1"/>
      <c r="DH491" s="1"/>
      <c r="DI491" s="1"/>
      <c r="DJ491" s="1"/>
      <c r="DK491" s="1"/>
      <c r="DL491" s="1"/>
      <c r="DM491" s="1"/>
      <c r="DN491" s="1"/>
      <c r="DO491" s="1"/>
      <c r="DP491" s="1"/>
      <c r="DQ491" s="1"/>
      <c r="DR491" s="1"/>
      <c r="DS491" s="1"/>
      <c r="DT491" s="1"/>
      <c r="DU491" s="1"/>
      <c r="DV491" s="1"/>
      <c r="DW491" s="1"/>
      <c r="DX491" s="1"/>
      <c r="DY491" s="1"/>
      <c r="DZ491" s="1"/>
      <c r="EA491" s="1"/>
      <c r="EB491" s="1"/>
      <c r="EC491" s="1"/>
      <c r="ED491" s="1"/>
      <c r="EE491" s="1"/>
      <c r="EF491" s="1"/>
      <c r="EG491" s="1"/>
      <c r="EH491" s="1"/>
      <c r="EI491" s="1"/>
      <c r="EJ491" s="1"/>
      <c r="EK491" s="1"/>
      <c r="EL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c r="BR492" s="1"/>
      <c r="BS492" s="1"/>
      <c r="BT492" s="1"/>
      <c r="BU492" s="1"/>
      <c r="BV492" s="1"/>
      <c r="BW492" s="1"/>
      <c r="BX492" s="1"/>
      <c r="BY492" s="1"/>
      <c r="BZ492" s="1"/>
      <c r="CA492" s="1"/>
      <c r="CB492" s="1"/>
      <c r="CC492" s="1"/>
      <c r="CD492" s="1"/>
      <c r="CE492" s="1"/>
      <c r="CF492" s="1"/>
      <c r="CG492" s="1"/>
      <c r="CH492" s="1"/>
      <c r="CI492" s="1"/>
      <c r="CJ492" s="1"/>
      <c r="CK492" s="1"/>
      <c r="CL492" s="1"/>
      <c r="CM492" s="1"/>
      <c r="CN492" s="1"/>
      <c r="CO492" s="1"/>
      <c r="CP492" s="1"/>
      <c r="CQ492" s="1"/>
      <c r="CR492" s="1"/>
      <c r="CS492" s="1"/>
      <c r="CT492" s="1"/>
      <c r="CU492" s="1"/>
      <c r="CV492" s="1"/>
      <c r="CW492" s="1"/>
      <c r="CX492" s="1"/>
      <c r="CY492" s="1"/>
      <c r="CZ492" s="1"/>
      <c r="DA492" s="1"/>
      <c r="DB492" s="1"/>
      <c r="DC492" s="1"/>
      <c r="DD492" s="1"/>
      <c r="DE492" s="1"/>
      <c r="DF492" s="1"/>
      <c r="DG492" s="1"/>
      <c r="DH492" s="1"/>
      <c r="DI492" s="1"/>
      <c r="DJ492" s="1"/>
      <c r="DK492" s="1"/>
      <c r="DL492" s="1"/>
      <c r="DM492" s="1"/>
      <c r="DN492" s="1"/>
      <c r="DO492" s="1"/>
      <c r="DP492" s="1"/>
      <c r="DQ492" s="1"/>
      <c r="DR492" s="1"/>
      <c r="DS492" s="1"/>
      <c r="DT492" s="1"/>
      <c r="DU492" s="1"/>
      <c r="DV492" s="1"/>
      <c r="DW492" s="1"/>
      <c r="DX492" s="1"/>
      <c r="DY492" s="1"/>
      <c r="DZ492" s="1"/>
      <c r="EA492" s="1"/>
      <c r="EB492" s="1"/>
      <c r="EC492" s="1"/>
      <c r="ED492" s="1"/>
      <c r="EE492" s="1"/>
      <c r="EF492" s="1"/>
      <c r="EG492" s="1"/>
      <c r="EH492" s="1"/>
      <c r="EI492" s="1"/>
      <c r="EJ492" s="1"/>
      <c r="EK492" s="1"/>
      <c r="EL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c r="BR493" s="1"/>
      <c r="BS493" s="1"/>
      <c r="BT493" s="1"/>
      <c r="BU493" s="1"/>
      <c r="BV493" s="1"/>
      <c r="BW493" s="1"/>
      <c r="BX493" s="1"/>
      <c r="BY493" s="1"/>
      <c r="BZ493" s="1"/>
      <c r="CA493" s="1"/>
      <c r="CB493" s="1"/>
      <c r="CC493" s="1"/>
      <c r="CD493" s="1"/>
      <c r="CE493" s="1"/>
      <c r="CF493" s="1"/>
      <c r="CG493" s="1"/>
      <c r="CH493" s="1"/>
      <c r="CI493" s="1"/>
      <c r="CJ493" s="1"/>
      <c r="CK493" s="1"/>
      <c r="CL493" s="1"/>
      <c r="CM493" s="1"/>
      <c r="CN493" s="1"/>
      <c r="CO493" s="1"/>
      <c r="CP493" s="1"/>
      <c r="CQ493" s="1"/>
      <c r="CR493" s="1"/>
      <c r="CS493" s="1"/>
      <c r="CT493" s="1"/>
      <c r="CU493" s="1"/>
      <c r="CV493" s="1"/>
      <c r="CW493" s="1"/>
      <c r="CX493" s="1"/>
      <c r="CY493" s="1"/>
      <c r="CZ493" s="1"/>
      <c r="DA493" s="1"/>
      <c r="DB493" s="1"/>
      <c r="DC493" s="1"/>
      <c r="DD493" s="1"/>
      <c r="DE493" s="1"/>
      <c r="DF493" s="1"/>
      <c r="DG493" s="1"/>
      <c r="DH493" s="1"/>
      <c r="DI493" s="1"/>
      <c r="DJ493" s="1"/>
      <c r="DK493" s="1"/>
      <c r="DL493" s="1"/>
      <c r="DM493" s="1"/>
      <c r="DN493" s="1"/>
      <c r="DO493" s="1"/>
      <c r="DP493" s="1"/>
      <c r="DQ493" s="1"/>
      <c r="DR493" s="1"/>
      <c r="DS493" s="1"/>
      <c r="DT493" s="1"/>
      <c r="DU493" s="1"/>
      <c r="DV493" s="1"/>
      <c r="DW493" s="1"/>
      <c r="DX493" s="1"/>
      <c r="DY493" s="1"/>
      <c r="DZ493" s="1"/>
      <c r="EA493" s="1"/>
      <c r="EB493" s="1"/>
      <c r="EC493" s="1"/>
      <c r="ED493" s="1"/>
      <c r="EE493" s="1"/>
      <c r="EF493" s="1"/>
      <c r="EG493" s="1"/>
      <c r="EH493" s="1"/>
      <c r="EI493" s="1"/>
      <c r="EJ493" s="1"/>
      <c r="EK493" s="1"/>
      <c r="EL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c r="BR494" s="1"/>
      <c r="BS494" s="1"/>
      <c r="BT494" s="1"/>
      <c r="BU494" s="1"/>
      <c r="BV494" s="1"/>
      <c r="BW494" s="1"/>
      <c r="BX494" s="1"/>
      <c r="BY494" s="1"/>
      <c r="BZ494" s="1"/>
      <c r="CA494" s="1"/>
      <c r="CB494" s="1"/>
      <c r="CC494" s="1"/>
      <c r="CD494" s="1"/>
      <c r="CE494" s="1"/>
      <c r="CF494" s="1"/>
      <c r="CG494" s="1"/>
      <c r="CH494" s="1"/>
      <c r="CI494" s="1"/>
      <c r="CJ494" s="1"/>
      <c r="CK494" s="1"/>
      <c r="CL494" s="1"/>
      <c r="CM494" s="1"/>
      <c r="CN494" s="1"/>
      <c r="CO494" s="1"/>
      <c r="CP494" s="1"/>
      <c r="CQ494" s="1"/>
      <c r="CR494" s="1"/>
      <c r="CS494" s="1"/>
      <c r="CT494" s="1"/>
      <c r="CU494" s="1"/>
      <c r="CV494" s="1"/>
      <c r="CW494" s="1"/>
      <c r="CX494" s="1"/>
      <c r="CY494" s="1"/>
      <c r="CZ494" s="1"/>
      <c r="DA494" s="1"/>
      <c r="DB494" s="1"/>
      <c r="DC494" s="1"/>
      <c r="DD494" s="1"/>
      <c r="DE494" s="1"/>
      <c r="DF494" s="1"/>
      <c r="DG494" s="1"/>
      <c r="DH494" s="1"/>
      <c r="DI494" s="1"/>
      <c r="DJ494" s="1"/>
      <c r="DK494" s="1"/>
      <c r="DL494" s="1"/>
      <c r="DM494" s="1"/>
      <c r="DN494" s="1"/>
      <c r="DO494" s="1"/>
      <c r="DP494" s="1"/>
      <c r="DQ494" s="1"/>
      <c r="DR494" s="1"/>
      <c r="DS494" s="1"/>
      <c r="DT494" s="1"/>
      <c r="DU494" s="1"/>
      <c r="DV494" s="1"/>
      <c r="DW494" s="1"/>
      <c r="DX494" s="1"/>
      <c r="DY494" s="1"/>
      <c r="DZ494" s="1"/>
      <c r="EA494" s="1"/>
      <c r="EB494" s="1"/>
      <c r="EC494" s="1"/>
      <c r="ED494" s="1"/>
      <c r="EE494" s="1"/>
      <c r="EF494" s="1"/>
      <c r="EG494" s="1"/>
      <c r="EH494" s="1"/>
      <c r="EI494" s="1"/>
      <c r="EJ494" s="1"/>
      <c r="EK494" s="1"/>
      <c r="EL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c r="BR495" s="1"/>
      <c r="BS495" s="1"/>
      <c r="BT495" s="1"/>
      <c r="BU495" s="1"/>
      <c r="BV495" s="1"/>
      <c r="BW495" s="1"/>
      <c r="BX495" s="1"/>
      <c r="BY495" s="1"/>
      <c r="BZ495" s="1"/>
      <c r="CA495" s="1"/>
      <c r="CB495" s="1"/>
      <c r="CC495" s="1"/>
      <c r="CD495" s="1"/>
      <c r="CE495" s="1"/>
      <c r="CF495" s="1"/>
      <c r="CG495" s="1"/>
      <c r="CH495" s="1"/>
      <c r="CI495" s="1"/>
      <c r="CJ495" s="1"/>
      <c r="CK495" s="1"/>
      <c r="CL495" s="1"/>
      <c r="CM495" s="1"/>
      <c r="CN495" s="1"/>
      <c r="CO495" s="1"/>
      <c r="CP495" s="1"/>
      <c r="CQ495" s="1"/>
      <c r="CR495" s="1"/>
      <c r="CS495" s="1"/>
      <c r="CT495" s="1"/>
      <c r="CU495" s="1"/>
      <c r="CV495" s="1"/>
      <c r="CW495" s="1"/>
      <c r="CX495" s="1"/>
      <c r="CY495" s="1"/>
      <c r="CZ495" s="1"/>
      <c r="DA495" s="1"/>
      <c r="DB495" s="1"/>
      <c r="DC495" s="1"/>
      <c r="DD495" s="1"/>
      <c r="DE495" s="1"/>
      <c r="DF495" s="1"/>
      <c r="DG495" s="1"/>
      <c r="DH495" s="1"/>
      <c r="DI495" s="1"/>
      <c r="DJ495" s="1"/>
      <c r="DK495" s="1"/>
      <c r="DL495" s="1"/>
      <c r="DM495" s="1"/>
      <c r="DN495" s="1"/>
      <c r="DO495" s="1"/>
      <c r="DP495" s="1"/>
      <c r="DQ495" s="1"/>
      <c r="DR495" s="1"/>
      <c r="DS495" s="1"/>
      <c r="DT495" s="1"/>
      <c r="DU495" s="1"/>
      <c r="DV495" s="1"/>
      <c r="DW495" s="1"/>
      <c r="DX495" s="1"/>
      <c r="DY495" s="1"/>
      <c r="DZ495" s="1"/>
      <c r="EA495" s="1"/>
      <c r="EB495" s="1"/>
      <c r="EC495" s="1"/>
      <c r="ED495" s="1"/>
      <c r="EE495" s="1"/>
      <c r="EF495" s="1"/>
      <c r="EG495" s="1"/>
      <c r="EH495" s="1"/>
      <c r="EI495" s="1"/>
      <c r="EJ495" s="1"/>
      <c r="EK495" s="1"/>
      <c r="EL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c r="BR496" s="1"/>
      <c r="BS496" s="1"/>
      <c r="BT496" s="1"/>
      <c r="BU496" s="1"/>
      <c r="BV496" s="1"/>
      <c r="BW496" s="1"/>
      <c r="BX496" s="1"/>
      <c r="BY496" s="1"/>
      <c r="BZ496" s="1"/>
      <c r="CA496" s="1"/>
      <c r="CB496" s="1"/>
      <c r="CC496" s="1"/>
      <c r="CD496" s="1"/>
      <c r="CE496" s="1"/>
      <c r="CF496" s="1"/>
      <c r="CG496" s="1"/>
      <c r="CH496" s="1"/>
      <c r="CI496" s="1"/>
      <c r="CJ496" s="1"/>
      <c r="CK496" s="1"/>
      <c r="CL496" s="1"/>
      <c r="CM496" s="1"/>
      <c r="CN496" s="1"/>
      <c r="CO496" s="1"/>
      <c r="CP496" s="1"/>
      <c r="CQ496" s="1"/>
      <c r="CR496" s="1"/>
      <c r="CS496" s="1"/>
      <c r="CT496" s="1"/>
      <c r="CU496" s="1"/>
      <c r="CV496" s="1"/>
      <c r="CW496" s="1"/>
      <c r="CX496" s="1"/>
      <c r="CY496" s="1"/>
      <c r="CZ496" s="1"/>
      <c r="DA496" s="1"/>
      <c r="DB496" s="1"/>
      <c r="DC496" s="1"/>
      <c r="DD496" s="1"/>
      <c r="DE496" s="1"/>
      <c r="DF496" s="1"/>
      <c r="DG496" s="1"/>
      <c r="DH496" s="1"/>
      <c r="DI496" s="1"/>
      <c r="DJ496" s="1"/>
      <c r="DK496" s="1"/>
      <c r="DL496" s="1"/>
      <c r="DM496" s="1"/>
      <c r="DN496" s="1"/>
      <c r="DO496" s="1"/>
      <c r="DP496" s="1"/>
      <c r="DQ496" s="1"/>
      <c r="DR496" s="1"/>
      <c r="DS496" s="1"/>
      <c r="DT496" s="1"/>
      <c r="DU496" s="1"/>
      <c r="DV496" s="1"/>
      <c r="DW496" s="1"/>
      <c r="DX496" s="1"/>
      <c r="DY496" s="1"/>
      <c r="DZ496" s="1"/>
      <c r="EA496" s="1"/>
      <c r="EB496" s="1"/>
      <c r="EC496" s="1"/>
      <c r="ED496" s="1"/>
      <c r="EE496" s="1"/>
      <c r="EF496" s="1"/>
      <c r="EG496" s="1"/>
      <c r="EH496" s="1"/>
      <c r="EI496" s="1"/>
      <c r="EJ496" s="1"/>
      <c r="EK496" s="1"/>
      <c r="EL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c r="BR497" s="1"/>
      <c r="BS497" s="1"/>
      <c r="BT497" s="1"/>
      <c r="BU497" s="1"/>
      <c r="BV497" s="1"/>
      <c r="BW497" s="1"/>
      <c r="BX497" s="1"/>
      <c r="BY497" s="1"/>
      <c r="BZ497" s="1"/>
      <c r="CA497" s="1"/>
      <c r="CB497" s="1"/>
      <c r="CC497" s="1"/>
      <c r="CD497" s="1"/>
      <c r="CE497" s="1"/>
      <c r="CF497" s="1"/>
      <c r="CG497" s="1"/>
      <c r="CH497" s="1"/>
      <c r="CI497" s="1"/>
      <c r="CJ497" s="1"/>
      <c r="CK497" s="1"/>
      <c r="CL497" s="1"/>
      <c r="CM497" s="1"/>
      <c r="CN497" s="1"/>
      <c r="CO497" s="1"/>
      <c r="CP497" s="1"/>
      <c r="CQ497" s="1"/>
      <c r="CR497" s="1"/>
      <c r="CS497" s="1"/>
      <c r="CT497" s="1"/>
      <c r="CU497" s="1"/>
      <c r="CV497" s="1"/>
      <c r="CW497" s="1"/>
      <c r="CX497" s="1"/>
      <c r="CY497" s="1"/>
      <c r="CZ497" s="1"/>
      <c r="DA497" s="1"/>
      <c r="DB497" s="1"/>
      <c r="DC497" s="1"/>
      <c r="DD497" s="1"/>
      <c r="DE497" s="1"/>
      <c r="DF497" s="1"/>
      <c r="DG497" s="1"/>
      <c r="DH497" s="1"/>
      <c r="DI497" s="1"/>
      <c r="DJ497" s="1"/>
      <c r="DK497" s="1"/>
      <c r="DL497" s="1"/>
      <c r="DM497" s="1"/>
      <c r="DN497" s="1"/>
      <c r="DO497" s="1"/>
      <c r="DP497" s="1"/>
      <c r="DQ497" s="1"/>
      <c r="DR497" s="1"/>
      <c r="DS497" s="1"/>
      <c r="DT497" s="1"/>
      <c r="DU497" s="1"/>
      <c r="DV497" s="1"/>
      <c r="DW497" s="1"/>
      <c r="DX497" s="1"/>
      <c r="DY497" s="1"/>
      <c r="DZ497" s="1"/>
      <c r="EA497" s="1"/>
      <c r="EB497" s="1"/>
      <c r="EC497" s="1"/>
      <c r="ED497" s="1"/>
      <c r="EE497" s="1"/>
      <c r="EF497" s="1"/>
      <c r="EG497" s="1"/>
      <c r="EH497" s="1"/>
      <c r="EI497" s="1"/>
      <c r="EJ497" s="1"/>
      <c r="EK497" s="1"/>
      <c r="EL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c r="BR498" s="1"/>
      <c r="BS498" s="1"/>
      <c r="BT498" s="1"/>
      <c r="BU498" s="1"/>
      <c r="BV498" s="1"/>
      <c r="BW498" s="1"/>
      <c r="BX498" s="1"/>
      <c r="BY498" s="1"/>
      <c r="BZ498" s="1"/>
      <c r="CA498" s="1"/>
      <c r="CB498" s="1"/>
      <c r="CC498" s="1"/>
      <c r="CD498" s="1"/>
      <c r="CE498" s="1"/>
      <c r="CF498" s="1"/>
      <c r="CG498" s="1"/>
      <c r="CH498" s="1"/>
      <c r="CI498" s="1"/>
      <c r="CJ498" s="1"/>
      <c r="CK498" s="1"/>
      <c r="CL498" s="1"/>
      <c r="CM498" s="1"/>
      <c r="CN498" s="1"/>
      <c r="CO498" s="1"/>
      <c r="CP498" s="1"/>
      <c r="CQ498" s="1"/>
      <c r="CR498" s="1"/>
      <c r="CS498" s="1"/>
      <c r="CT498" s="1"/>
      <c r="CU498" s="1"/>
      <c r="CV498" s="1"/>
      <c r="CW498" s="1"/>
      <c r="CX498" s="1"/>
      <c r="CY498" s="1"/>
      <c r="CZ498" s="1"/>
      <c r="DA498" s="1"/>
      <c r="DB498" s="1"/>
      <c r="DC498" s="1"/>
      <c r="DD498" s="1"/>
      <c r="DE498" s="1"/>
      <c r="DF498" s="1"/>
      <c r="DG498" s="1"/>
      <c r="DH498" s="1"/>
      <c r="DI498" s="1"/>
      <c r="DJ498" s="1"/>
      <c r="DK498" s="1"/>
      <c r="DL498" s="1"/>
      <c r="DM498" s="1"/>
      <c r="DN498" s="1"/>
      <c r="DO498" s="1"/>
      <c r="DP498" s="1"/>
      <c r="DQ498" s="1"/>
      <c r="DR498" s="1"/>
      <c r="DS498" s="1"/>
      <c r="DT498" s="1"/>
      <c r="DU498" s="1"/>
      <c r="DV498" s="1"/>
      <c r="DW498" s="1"/>
      <c r="DX498" s="1"/>
      <c r="DY498" s="1"/>
      <c r="DZ498" s="1"/>
      <c r="EA498" s="1"/>
      <c r="EB498" s="1"/>
      <c r="EC498" s="1"/>
      <c r="ED498" s="1"/>
      <c r="EE498" s="1"/>
      <c r="EF498" s="1"/>
      <c r="EG498" s="1"/>
      <c r="EH498" s="1"/>
      <c r="EI498" s="1"/>
      <c r="EJ498" s="1"/>
      <c r="EK498" s="1"/>
      <c r="EL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c r="BR499" s="1"/>
      <c r="BS499" s="1"/>
      <c r="BT499" s="1"/>
      <c r="BU499" s="1"/>
      <c r="BV499" s="1"/>
      <c r="BW499" s="1"/>
      <c r="BX499" s="1"/>
      <c r="BY499" s="1"/>
      <c r="BZ499" s="1"/>
      <c r="CA499" s="1"/>
      <c r="CB499" s="1"/>
      <c r="CC499" s="1"/>
      <c r="CD499" s="1"/>
      <c r="CE499" s="1"/>
      <c r="CF499" s="1"/>
      <c r="CG499" s="1"/>
      <c r="CH499" s="1"/>
      <c r="CI499" s="1"/>
      <c r="CJ499" s="1"/>
      <c r="CK499" s="1"/>
      <c r="CL499" s="1"/>
      <c r="CM499" s="1"/>
      <c r="CN499" s="1"/>
      <c r="CO499" s="1"/>
      <c r="CP499" s="1"/>
      <c r="CQ499" s="1"/>
      <c r="CR499" s="1"/>
      <c r="CS499" s="1"/>
      <c r="CT499" s="1"/>
      <c r="CU499" s="1"/>
      <c r="CV499" s="1"/>
      <c r="CW499" s="1"/>
      <c r="CX499" s="1"/>
      <c r="CY499" s="1"/>
      <c r="CZ499" s="1"/>
      <c r="DA499" s="1"/>
      <c r="DB499" s="1"/>
      <c r="DC499" s="1"/>
      <c r="DD499" s="1"/>
      <c r="DE499" s="1"/>
      <c r="DF499" s="1"/>
      <c r="DG499" s="1"/>
      <c r="DH499" s="1"/>
      <c r="DI499" s="1"/>
      <c r="DJ499" s="1"/>
      <c r="DK499" s="1"/>
      <c r="DL499" s="1"/>
      <c r="DM499" s="1"/>
      <c r="DN499" s="1"/>
      <c r="DO499" s="1"/>
      <c r="DP499" s="1"/>
      <c r="DQ499" s="1"/>
      <c r="DR499" s="1"/>
      <c r="DS499" s="1"/>
      <c r="DT499" s="1"/>
      <c r="DU499" s="1"/>
      <c r="DV499" s="1"/>
      <c r="DW499" s="1"/>
      <c r="DX499" s="1"/>
      <c r="DY499" s="1"/>
      <c r="DZ499" s="1"/>
      <c r="EA499" s="1"/>
      <c r="EB499" s="1"/>
      <c r="EC499" s="1"/>
      <c r="ED499" s="1"/>
      <c r="EE499" s="1"/>
      <c r="EF499" s="1"/>
      <c r="EG499" s="1"/>
      <c r="EH499" s="1"/>
      <c r="EI499" s="1"/>
      <c r="EJ499" s="1"/>
      <c r="EK499" s="1"/>
      <c r="EL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c r="BR500" s="1"/>
      <c r="BS500" s="1"/>
      <c r="BT500" s="1"/>
      <c r="BU500" s="1"/>
      <c r="BV500" s="1"/>
      <c r="BW500" s="1"/>
      <c r="BX500" s="1"/>
      <c r="BY500" s="1"/>
      <c r="BZ500" s="1"/>
      <c r="CA500" s="1"/>
      <c r="CB500" s="1"/>
      <c r="CC500" s="1"/>
      <c r="CD500" s="1"/>
      <c r="CE500" s="1"/>
      <c r="CF500" s="1"/>
      <c r="CG500" s="1"/>
      <c r="CH500" s="1"/>
      <c r="CI500" s="1"/>
      <c r="CJ500" s="1"/>
      <c r="CK500" s="1"/>
      <c r="CL500" s="1"/>
      <c r="CM500" s="1"/>
      <c r="CN500" s="1"/>
      <c r="CO500" s="1"/>
      <c r="CP500" s="1"/>
      <c r="CQ500" s="1"/>
      <c r="CR500" s="1"/>
      <c r="CS500" s="1"/>
      <c r="CT500" s="1"/>
      <c r="CU500" s="1"/>
      <c r="CV500" s="1"/>
      <c r="CW500" s="1"/>
      <c r="CX500" s="1"/>
      <c r="CY500" s="1"/>
      <c r="CZ500" s="1"/>
      <c r="DA500" s="1"/>
      <c r="DB500" s="1"/>
      <c r="DC500" s="1"/>
      <c r="DD500" s="1"/>
      <c r="DE500" s="1"/>
      <c r="DF500" s="1"/>
      <c r="DG500" s="1"/>
      <c r="DH500" s="1"/>
      <c r="DI500" s="1"/>
      <c r="DJ500" s="1"/>
      <c r="DK500" s="1"/>
      <c r="DL500" s="1"/>
      <c r="DM500" s="1"/>
      <c r="DN500" s="1"/>
      <c r="DO500" s="1"/>
      <c r="DP500" s="1"/>
      <c r="DQ500" s="1"/>
      <c r="DR500" s="1"/>
      <c r="DS500" s="1"/>
      <c r="DT500" s="1"/>
      <c r="DU500" s="1"/>
      <c r="DV500" s="1"/>
      <c r="DW500" s="1"/>
      <c r="DX500" s="1"/>
      <c r="DY500" s="1"/>
      <c r="DZ500" s="1"/>
      <c r="EA500" s="1"/>
      <c r="EB500" s="1"/>
      <c r="EC500" s="1"/>
      <c r="ED500" s="1"/>
      <c r="EE500" s="1"/>
      <c r="EF500" s="1"/>
      <c r="EG500" s="1"/>
      <c r="EH500" s="1"/>
      <c r="EI500" s="1"/>
      <c r="EJ500" s="1"/>
      <c r="EK500" s="1"/>
      <c r="EL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c r="BR501" s="1"/>
      <c r="BS501" s="1"/>
      <c r="BT501" s="1"/>
      <c r="BU501" s="1"/>
      <c r="BV501" s="1"/>
      <c r="BW501" s="1"/>
      <c r="BX501" s="1"/>
      <c r="BY501" s="1"/>
      <c r="BZ501" s="1"/>
      <c r="CA501" s="1"/>
      <c r="CB501" s="1"/>
      <c r="CC501" s="1"/>
      <c r="CD501" s="1"/>
      <c r="CE501" s="1"/>
      <c r="CF501" s="1"/>
      <c r="CG501" s="1"/>
      <c r="CH501" s="1"/>
      <c r="CI501" s="1"/>
      <c r="CJ501" s="1"/>
      <c r="CK501" s="1"/>
      <c r="CL501" s="1"/>
      <c r="CM501" s="1"/>
      <c r="CN501" s="1"/>
      <c r="CO501" s="1"/>
      <c r="CP501" s="1"/>
      <c r="CQ501" s="1"/>
      <c r="CR501" s="1"/>
      <c r="CS501" s="1"/>
      <c r="CT501" s="1"/>
      <c r="CU501" s="1"/>
      <c r="CV501" s="1"/>
      <c r="CW501" s="1"/>
      <c r="CX501" s="1"/>
      <c r="CY501" s="1"/>
      <c r="CZ501" s="1"/>
      <c r="DA501" s="1"/>
      <c r="DB501" s="1"/>
      <c r="DC501" s="1"/>
      <c r="DD501" s="1"/>
      <c r="DE501" s="1"/>
      <c r="DF501" s="1"/>
      <c r="DG501" s="1"/>
      <c r="DH501" s="1"/>
      <c r="DI501" s="1"/>
      <c r="DJ501" s="1"/>
      <c r="DK501" s="1"/>
      <c r="DL501" s="1"/>
      <c r="DM501" s="1"/>
      <c r="DN501" s="1"/>
      <c r="DO501" s="1"/>
      <c r="DP501" s="1"/>
      <c r="DQ501" s="1"/>
      <c r="DR501" s="1"/>
      <c r="DS501" s="1"/>
      <c r="DT501" s="1"/>
      <c r="DU501" s="1"/>
      <c r="DV501" s="1"/>
      <c r="DW501" s="1"/>
      <c r="DX501" s="1"/>
      <c r="DY501" s="1"/>
      <c r="DZ501" s="1"/>
      <c r="EA501" s="1"/>
      <c r="EB501" s="1"/>
      <c r="EC501" s="1"/>
      <c r="ED501" s="1"/>
      <c r="EE501" s="1"/>
      <c r="EF501" s="1"/>
      <c r="EG501" s="1"/>
      <c r="EH501" s="1"/>
      <c r="EI501" s="1"/>
      <c r="EJ501" s="1"/>
      <c r="EK501" s="1"/>
      <c r="EL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c r="BR502" s="1"/>
      <c r="BS502" s="1"/>
      <c r="BT502" s="1"/>
      <c r="BU502" s="1"/>
      <c r="BV502" s="1"/>
      <c r="BW502" s="1"/>
      <c r="BX502" s="1"/>
      <c r="BY502" s="1"/>
      <c r="BZ502" s="1"/>
      <c r="CA502" s="1"/>
      <c r="CB502" s="1"/>
      <c r="CC502" s="1"/>
      <c r="CD502" s="1"/>
      <c r="CE502" s="1"/>
      <c r="CF502" s="1"/>
      <c r="CG502" s="1"/>
      <c r="CH502" s="1"/>
      <c r="CI502" s="1"/>
      <c r="CJ502" s="1"/>
      <c r="CK502" s="1"/>
      <c r="CL502" s="1"/>
      <c r="CM502" s="1"/>
      <c r="CN502" s="1"/>
      <c r="CO502" s="1"/>
      <c r="CP502" s="1"/>
      <c r="CQ502" s="1"/>
      <c r="CR502" s="1"/>
      <c r="CS502" s="1"/>
      <c r="CT502" s="1"/>
      <c r="CU502" s="1"/>
      <c r="CV502" s="1"/>
      <c r="CW502" s="1"/>
      <c r="CX502" s="1"/>
      <c r="CY502" s="1"/>
      <c r="CZ502" s="1"/>
      <c r="DA502" s="1"/>
      <c r="DB502" s="1"/>
      <c r="DC502" s="1"/>
      <c r="DD502" s="1"/>
      <c r="DE502" s="1"/>
      <c r="DF502" s="1"/>
      <c r="DG502" s="1"/>
      <c r="DH502" s="1"/>
      <c r="DI502" s="1"/>
      <c r="DJ502" s="1"/>
      <c r="DK502" s="1"/>
      <c r="DL502" s="1"/>
      <c r="DM502" s="1"/>
      <c r="DN502" s="1"/>
      <c r="DO502" s="1"/>
      <c r="DP502" s="1"/>
      <c r="DQ502" s="1"/>
      <c r="DR502" s="1"/>
      <c r="DS502" s="1"/>
      <c r="DT502" s="1"/>
      <c r="DU502" s="1"/>
      <c r="DV502" s="1"/>
      <c r="DW502" s="1"/>
      <c r="DX502" s="1"/>
      <c r="DY502" s="1"/>
      <c r="DZ502" s="1"/>
      <c r="EA502" s="1"/>
      <c r="EB502" s="1"/>
      <c r="EC502" s="1"/>
      <c r="ED502" s="1"/>
      <c r="EE502" s="1"/>
      <c r="EF502" s="1"/>
      <c r="EG502" s="1"/>
      <c r="EH502" s="1"/>
      <c r="EI502" s="1"/>
      <c r="EJ502" s="1"/>
      <c r="EK502" s="1"/>
      <c r="EL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c r="BR503" s="1"/>
      <c r="BS503" s="1"/>
      <c r="BT503" s="1"/>
      <c r="BU503" s="1"/>
      <c r="BV503" s="1"/>
      <c r="BW503" s="1"/>
      <c r="BX503" s="1"/>
      <c r="BY503" s="1"/>
      <c r="BZ503" s="1"/>
      <c r="CA503" s="1"/>
      <c r="CB503" s="1"/>
      <c r="CC503" s="1"/>
      <c r="CD503" s="1"/>
      <c r="CE503" s="1"/>
      <c r="CF503" s="1"/>
      <c r="CG503" s="1"/>
      <c r="CH503" s="1"/>
      <c r="CI503" s="1"/>
      <c r="CJ503" s="1"/>
      <c r="CK503" s="1"/>
      <c r="CL503" s="1"/>
      <c r="CM503" s="1"/>
      <c r="CN503" s="1"/>
      <c r="CO503" s="1"/>
      <c r="CP503" s="1"/>
      <c r="CQ503" s="1"/>
      <c r="CR503" s="1"/>
      <c r="CS503" s="1"/>
      <c r="CT503" s="1"/>
      <c r="CU503" s="1"/>
      <c r="CV503" s="1"/>
      <c r="CW503" s="1"/>
      <c r="CX503" s="1"/>
      <c r="CY503" s="1"/>
      <c r="CZ503" s="1"/>
      <c r="DA503" s="1"/>
      <c r="DB503" s="1"/>
      <c r="DC503" s="1"/>
      <c r="DD503" s="1"/>
      <c r="DE503" s="1"/>
      <c r="DF503" s="1"/>
      <c r="DG503" s="1"/>
      <c r="DH503" s="1"/>
      <c r="DI503" s="1"/>
      <c r="DJ503" s="1"/>
      <c r="DK503" s="1"/>
      <c r="DL503" s="1"/>
      <c r="DM503" s="1"/>
      <c r="DN503" s="1"/>
      <c r="DO503" s="1"/>
      <c r="DP503" s="1"/>
      <c r="DQ503" s="1"/>
      <c r="DR503" s="1"/>
      <c r="DS503" s="1"/>
      <c r="DT503" s="1"/>
      <c r="DU503" s="1"/>
      <c r="DV503" s="1"/>
      <c r="DW503" s="1"/>
      <c r="DX503" s="1"/>
      <c r="DY503" s="1"/>
      <c r="DZ503" s="1"/>
      <c r="EA503" s="1"/>
      <c r="EB503" s="1"/>
      <c r="EC503" s="1"/>
      <c r="ED503" s="1"/>
      <c r="EE503" s="1"/>
      <c r="EF503" s="1"/>
      <c r="EG503" s="1"/>
      <c r="EH503" s="1"/>
      <c r="EI503" s="1"/>
      <c r="EJ503" s="1"/>
      <c r="EK503" s="1"/>
      <c r="EL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c r="BR504" s="1"/>
      <c r="BS504" s="1"/>
      <c r="BT504" s="1"/>
      <c r="BU504" s="1"/>
      <c r="BV504" s="1"/>
      <c r="BW504" s="1"/>
      <c r="BX504" s="1"/>
      <c r="BY504" s="1"/>
      <c r="BZ504" s="1"/>
      <c r="CA504" s="1"/>
      <c r="CB504" s="1"/>
      <c r="CC504" s="1"/>
      <c r="CD504" s="1"/>
      <c r="CE504" s="1"/>
      <c r="CF504" s="1"/>
      <c r="CG504" s="1"/>
      <c r="CH504" s="1"/>
      <c r="CI504" s="1"/>
      <c r="CJ504" s="1"/>
      <c r="CK504" s="1"/>
      <c r="CL504" s="1"/>
      <c r="CM504" s="1"/>
      <c r="CN504" s="1"/>
      <c r="CO504" s="1"/>
      <c r="CP504" s="1"/>
      <c r="CQ504" s="1"/>
      <c r="CR504" s="1"/>
      <c r="CS504" s="1"/>
      <c r="CT504" s="1"/>
      <c r="CU504" s="1"/>
      <c r="CV504" s="1"/>
      <c r="CW504" s="1"/>
      <c r="CX504" s="1"/>
      <c r="CY504" s="1"/>
      <c r="CZ504" s="1"/>
      <c r="DA504" s="1"/>
      <c r="DB504" s="1"/>
      <c r="DC504" s="1"/>
      <c r="DD504" s="1"/>
      <c r="DE504" s="1"/>
      <c r="DF504" s="1"/>
      <c r="DG504" s="1"/>
      <c r="DH504" s="1"/>
      <c r="DI504" s="1"/>
      <c r="DJ504" s="1"/>
      <c r="DK504" s="1"/>
      <c r="DL504" s="1"/>
      <c r="DM504" s="1"/>
      <c r="DN504" s="1"/>
      <c r="DO504" s="1"/>
      <c r="DP504" s="1"/>
      <c r="DQ504" s="1"/>
      <c r="DR504" s="1"/>
      <c r="DS504" s="1"/>
      <c r="DT504" s="1"/>
      <c r="DU504" s="1"/>
      <c r="DV504" s="1"/>
      <c r="DW504" s="1"/>
      <c r="DX504" s="1"/>
      <c r="DY504" s="1"/>
      <c r="DZ504" s="1"/>
      <c r="EA504" s="1"/>
      <c r="EB504" s="1"/>
      <c r="EC504" s="1"/>
      <c r="ED504" s="1"/>
      <c r="EE504" s="1"/>
      <c r="EF504" s="1"/>
      <c r="EG504" s="1"/>
      <c r="EH504" s="1"/>
      <c r="EI504" s="1"/>
      <c r="EJ504" s="1"/>
      <c r="EK504" s="1"/>
      <c r="EL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c r="BR505" s="1"/>
      <c r="BS505" s="1"/>
      <c r="BT505" s="1"/>
      <c r="BU505" s="1"/>
      <c r="BV505" s="1"/>
      <c r="BW505" s="1"/>
      <c r="BX505" s="1"/>
      <c r="BY505" s="1"/>
      <c r="BZ505" s="1"/>
      <c r="CA505" s="1"/>
      <c r="CB505" s="1"/>
      <c r="CC505" s="1"/>
      <c r="CD505" s="1"/>
      <c r="CE505" s="1"/>
      <c r="CF505" s="1"/>
      <c r="CG505" s="1"/>
      <c r="CH505" s="1"/>
      <c r="CI505" s="1"/>
      <c r="CJ505" s="1"/>
      <c r="CK505" s="1"/>
      <c r="CL505" s="1"/>
      <c r="CM505" s="1"/>
      <c r="CN505" s="1"/>
      <c r="CO505" s="1"/>
      <c r="CP505" s="1"/>
      <c r="CQ505" s="1"/>
      <c r="CR505" s="1"/>
      <c r="CS505" s="1"/>
      <c r="CT505" s="1"/>
      <c r="CU505" s="1"/>
      <c r="CV505" s="1"/>
      <c r="CW505" s="1"/>
      <c r="CX505" s="1"/>
      <c r="CY505" s="1"/>
      <c r="CZ505" s="1"/>
      <c r="DA505" s="1"/>
      <c r="DB505" s="1"/>
      <c r="DC505" s="1"/>
      <c r="DD505" s="1"/>
      <c r="DE505" s="1"/>
      <c r="DF505" s="1"/>
      <c r="DG505" s="1"/>
      <c r="DH505" s="1"/>
      <c r="DI505" s="1"/>
      <c r="DJ505" s="1"/>
      <c r="DK505" s="1"/>
      <c r="DL505" s="1"/>
      <c r="DM505" s="1"/>
      <c r="DN505" s="1"/>
      <c r="DO505" s="1"/>
      <c r="DP505" s="1"/>
      <c r="DQ505" s="1"/>
      <c r="DR505" s="1"/>
      <c r="DS505" s="1"/>
      <c r="DT505" s="1"/>
      <c r="DU505" s="1"/>
      <c r="DV505" s="1"/>
      <c r="DW505" s="1"/>
      <c r="DX505" s="1"/>
      <c r="DY505" s="1"/>
      <c r="DZ505" s="1"/>
      <c r="EA505" s="1"/>
      <c r="EB505" s="1"/>
      <c r="EC505" s="1"/>
      <c r="ED505" s="1"/>
      <c r="EE505" s="1"/>
      <c r="EF505" s="1"/>
      <c r="EG505" s="1"/>
      <c r="EH505" s="1"/>
      <c r="EI505" s="1"/>
      <c r="EJ505" s="1"/>
      <c r="EK505" s="1"/>
      <c r="EL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c r="BR506" s="1"/>
      <c r="BS506" s="1"/>
      <c r="BT506" s="1"/>
      <c r="BU506" s="1"/>
      <c r="BV506" s="1"/>
      <c r="BW506" s="1"/>
      <c r="BX506" s="1"/>
      <c r="BY506" s="1"/>
      <c r="BZ506" s="1"/>
      <c r="CA506" s="1"/>
      <c r="CB506" s="1"/>
      <c r="CC506" s="1"/>
      <c r="CD506" s="1"/>
      <c r="CE506" s="1"/>
      <c r="CF506" s="1"/>
      <c r="CG506" s="1"/>
      <c r="CH506" s="1"/>
      <c r="CI506" s="1"/>
      <c r="CJ506" s="1"/>
      <c r="CK506" s="1"/>
      <c r="CL506" s="1"/>
      <c r="CM506" s="1"/>
      <c r="CN506" s="1"/>
      <c r="CO506" s="1"/>
      <c r="CP506" s="1"/>
      <c r="CQ506" s="1"/>
      <c r="CR506" s="1"/>
      <c r="CS506" s="1"/>
      <c r="CT506" s="1"/>
      <c r="CU506" s="1"/>
      <c r="CV506" s="1"/>
      <c r="CW506" s="1"/>
      <c r="CX506" s="1"/>
      <c r="CY506" s="1"/>
      <c r="CZ506" s="1"/>
      <c r="DA506" s="1"/>
      <c r="DB506" s="1"/>
      <c r="DC506" s="1"/>
      <c r="DD506" s="1"/>
      <c r="DE506" s="1"/>
      <c r="DF506" s="1"/>
      <c r="DG506" s="1"/>
      <c r="DH506" s="1"/>
      <c r="DI506" s="1"/>
      <c r="DJ506" s="1"/>
      <c r="DK506" s="1"/>
      <c r="DL506" s="1"/>
      <c r="DM506" s="1"/>
      <c r="DN506" s="1"/>
      <c r="DO506" s="1"/>
      <c r="DP506" s="1"/>
      <c r="DQ506" s="1"/>
      <c r="DR506" s="1"/>
      <c r="DS506" s="1"/>
      <c r="DT506" s="1"/>
      <c r="DU506" s="1"/>
      <c r="DV506" s="1"/>
      <c r="DW506" s="1"/>
      <c r="DX506" s="1"/>
      <c r="DY506" s="1"/>
      <c r="DZ506" s="1"/>
      <c r="EA506" s="1"/>
      <c r="EB506" s="1"/>
      <c r="EC506" s="1"/>
      <c r="ED506" s="1"/>
      <c r="EE506" s="1"/>
      <c r="EF506" s="1"/>
      <c r="EG506" s="1"/>
      <c r="EH506" s="1"/>
      <c r="EI506" s="1"/>
      <c r="EJ506" s="1"/>
      <c r="EK506" s="1"/>
      <c r="EL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c r="BR507" s="1"/>
      <c r="BS507" s="1"/>
      <c r="BT507" s="1"/>
      <c r="BU507" s="1"/>
      <c r="BV507" s="1"/>
      <c r="BW507" s="1"/>
      <c r="BX507" s="1"/>
      <c r="BY507" s="1"/>
      <c r="BZ507" s="1"/>
      <c r="CA507" s="1"/>
      <c r="CB507" s="1"/>
      <c r="CC507" s="1"/>
      <c r="CD507" s="1"/>
      <c r="CE507" s="1"/>
      <c r="CF507" s="1"/>
      <c r="CG507" s="1"/>
      <c r="CH507" s="1"/>
      <c r="CI507" s="1"/>
      <c r="CJ507" s="1"/>
      <c r="CK507" s="1"/>
      <c r="CL507" s="1"/>
      <c r="CM507" s="1"/>
      <c r="CN507" s="1"/>
      <c r="CO507" s="1"/>
      <c r="CP507" s="1"/>
      <c r="CQ507" s="1"/>
      <c r="CR507" s="1"/>
      <c r="CS507" s="1"/>
      <c r="CT507" s="1"/>
      <c r="CU507" s="1"/>
      <c r="CV507" s="1"/>
      <c r="CW507" s="1"/>
      <c r="CX507" s="1"/>
      <c r="CY507" s="1"/>
      <c r="CZ507" s="1"/>
      <c r="DA507" s="1"/>
      <c r="DB507" s="1"/>
      <c r="DC507" s="1"/>
      <c r="DD507" s="1"/>
      <c r="DE507" s="1"/>
      <c r="DF507" s="1"/>
      <c r="DG507" s="1"/>
      <c r="DH507" s="1"/>
      <c r="DI507" s="1"/>
      <c r="DJ507" s="1"/>
      <c r="DK507" s="1"/>
      <c r="DL507" s="1"/>
      <c r="DM507" s="1"/>
      <c r="DN507" s="1"/>
      <c r="DO507" s="1"/>
      <c r="DP507" s="1"/>
      <c r="DQ507" s="1"/>
      <c r="DR507" s="1"/>
      <c r="DS507" s="1"/>
      <c r="DT507" s="1"/>
      <c r="DU507" s="1"/>
      <c r="DV507" s="1"/>
      <c r="DW507" s="1"/>
      <c r="DX507" s="1"/>
      <c r="DY507" s="1"/>
      <c r="DZ507" s="1"/>
      <c r="EA507" s="1"/>
      <c r="EB507" s="1"/>
      <c r="EC507" s="1"/>
      <c r="ED507" s="1"/>
      <c r="EE507" s="1"/>
      <c r="EF507" s="1"/>
      <c r="EG507" s="1"/>
      <c r="EH507" s="1"/>
      <c r="EI507" s="1"/>
      <c r="EJ507" s="1"/>
      <c r="EK507" s="1"/>
      <c r="EL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c r="BR508" s="1"/>
      <c r="BS508" s="1"/>
      <c r="BT508" s="1"/>
      <c r="BU508" s="1"/>
      <c r="BV508" s="1"/>
      <c r="BW508" s="1"/>
      <c r="BX508" s="1"/>
      <c r="BY508" s="1"/>
      <c r="BZ508" s="1"/>
      <c r="CA508" s="1"/>
      <c r="CB508" s="1"/>
      <c r="CC508" s="1"/>
      <c r="CD508" s="1"/>
      <c r="CE508" s="1"/>
      <c r="CF508" s="1"/>
      <c r="CG508" s="1"/>
      <c r="CH508" s="1"/>
      <c r="CI508" s="1"/>
      <c r="CJ508" s="1"/>
      <c r="CK508" s="1"/>
      <c r="CL508" s="1"/>
      <c r="CM508" s="1"/>
      <c r="CN508" s="1"/>
      <c r="CO508" s="1"/>
      <c r="CP508" s="1"/>
      <c r="CQ508" s="1"/>
      <c r="CR508" s="1"/>
      <c r="CS508" s="1"/>
      <c r="CT508" s="1"/>
      <c r="CU508" s="1"/>
      <c r="CV508" s="1"/>
      <c r="CW508" s="1"/>
      <c r="CX508" s="1"/>
      <c r="CY508" s="1"/>
      <c r="CZ508" s="1"/>
      <c r="DA508" s="1"/>
      <c r="DB508" s="1"/>
      <c r="DC508" s="1"/>
      <c r="DD508" s="1"/>
      <c r="DE508" s="1"/>
      <c r="DF508" s="1"/>
      <c r="DG508" s="1"/>
      <c r="DH508" s="1"/>
      <c r="DI508" s="1"/>
      <c r="DJ508" s="1"/>
      <c r="DK508" s="1"/>
      <c r="DL508" s="1"/>
      <c r="DM508" s="1"/>
      <c r="DN508" s="1"/>
      <c r="DO508" s="1"/>
      <c r="DP508" s="1"/>
      <c r="DQ508" s="1"/>
      <c r="DR508" s="1"/>
      <c r="DS508" s="1"/>
      <c r="DT508" s="1"/>
      <c r="DU508" s="1"/>
      <c r="DV508" s="1"/>
      <c r="DW508" s="1"/>
      <c r="DX508" s="1"/>
      <c r="DY508" s="1"/>
      <c r="DZ508" s="1"/>
      <c r="EA508" s="1"/>
      <c r="EB508" s="1"/>
      <c r="EC508" s="1"/>
      <c r="ED508" s="1"/>
      <c r="EE508" s="1"/>
      <c r="EF508" s="1"/>
      <c r="EG508" s="1"/>
      <c r="EH508" s="1"/>
      <c r="EI508" s="1"/>
      <c r="EJ508" s="1"/>
      <c r="EK508" s="1"/>
      <c r="EL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c r="BR509" s="1"/>
      <c r="BS509" s="1"/>
      <c r="BT509" s="1"/>
      <c r="BU509" s="1"/>
      <c r="BV509" s="1"/>
      <c r="BW509" s="1"/>
      <c r="BX509" s="1"/>
      <c r="BY509" s="1"/>
      <c r="BZ509" s="1"/>
      <c r="CA509" s="1"/>
      <c r="CB509" s="1"/>
      <c r="CC509" s="1"/>
      <c r="CD509" s="1"/>
      <c r="CE509" s="1"/>
      <c r="CF509" s="1"/>
      <c r="CG509" s="1"/>
      <c r="CH509" s="1"/>
      <c r="CI509" s="1"/>
      <c r="CJ509" s="1"/>
      <c r="CK509" s="1"/>
      <c r="CL509" s="1"/>
      <c r="CM509" s="1"/>
      <c r="CN509" s="1"/>
      <c r="CO509" s="1"/>
      <c r="CP509" s="1"/>
      <c r="CQ509" s="1"/>
      <c r="CR509" s="1"/>
      <c r="CS509" s="1"/>
      <c r="CT509" s="1"/>
      <c r="CU509" s="1"/>
      <c r="CV509" s="1"/>
      <c r="CW509" s="1"/>
      <c r="CX509" s="1"/>
      <c r="CY509" s="1"/>
      <c r="CZ509" s="1"/>
      <c r="DA509" s="1"/>
      <c r="DB509" s="1"/>
      <c r="DC509" s="1"/>
      <c r="DD509" s="1"/>
      <c r="DE509" s="1"/>
      <c r="DF509" s="1"/>
      <c r="DG509" s="1"/>
      <c r="DH509" s="1"/>
      <c r="DI509" s="1"/>
      <c r="DJ509" s="1"/>
      <c r="DK509" s="1"/>
      <c r="DL509" s="1"/>
      <c r="DM509" s="1"/>
      <c r="DN509" s="1"/>
      <c r="DO509" s="1"/>
      <c r="DP509" s="1"/>
      <c r="DQ509" s="1"/>
      <c r="DR509" s="1"/>
      <c r="DS509" s="1"/>
      <c r="DT509" s="1"/>
      <c r="DU509" s="1"/>
      <c r="DV509" s="1"/>
      <c r="DW509" s="1"/>
      <c r="DX509" s="1"/>
      <c r="DY509" s="1"/>
      <c r="DZ509" s="1"/>
      <c r="EA509" s="1"/>
      <c r="EB509" s="1"/>
      <c r="EC509" s="1"/>
      <c r="ED509" s="1"/>
      <c r="EE509" s="1"/>
      <c r="EF509" s="1"/>
      <c r="EG509" s="1"/>
      <c r="EH509" s="1"/>
      <c r="EI509" s="1"/>
      <c r="EJ509" s="1"/>
      <c r="EK509" s="1"/>
      <c r="EL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c r="BR510" s="1"/>
      <c r="BS510" s="1"/>
      <c r="BT510" s="1"/>
      <c r="BU510" s="1"/>
      <c r="BV510" s="1"/>
      <c r="BW510" s="1"/>
      <c r="BX510" s="1"/>
      <c r="BY510" s="1"/>
      <c r="BZ510" s="1"/>
      <c r="CA510" s="1"/>
      <c r="CB510" s="1"/>
      <c r="CC510" s="1"/>
      <c r="CD510" s="1"/>
      <c r="CE510" s="1"/>
      <c r="CF510" s="1"/>
      <c r="CG510" s="1"/>
      <c r="CH510" s="1"/>
      <c r="CI510" s="1"/>
      <c r="CJ510" s="1"/>
      <c r="CK510" s="1"/>
      <c r="CL510" s="1"/>
      <c r="CM510" s="1"/>
      <c r="CN510" s="1"/>
      <c r="CO510" s="1"/>
      <c r="CP510" s="1"/>
      <c r="CQ510" s="1"/>
      <c r="CR510" s="1"/>
      <c r="CS510" s="1"/>
      <c r="CT510" s="1"/>
      <c r="CU510" s="1"/>
      <c r="CV510" s="1"/>
      <c r="CW510" s="1"/>
      <c r="CX510" s="1"/>
      <c r="CY510" s="1"/>
      <c r="CZ510" s="1"/>
      <c r="DA510" s="1"/>
      <c r="DB510" s="1"/>
      <c r="DC510" s="1"/>
      <c r="DD510" s="1"/>
      <c r="DE510" s="1"/>
      <c r="DF510" s="1"/>
      <c r="DG510" s="1"/>
      <c r="DH510" s="1"/>
      <c r="DI510" s="1"/>
      <c r="DJ510" s="1"/>
      <c r="DK510" s="1"/>
      <c r="DL510" s="1"/>
      <c r="DM510" s="1"/>
      <c r="DN510" s="1"/>
      <c r="DO510" s="1"/>
      <c r="DP510" s="1"/>
      <c r="DQ510" s="1"/>
      <c r="DR510" s="1"/>
      <c r="DS510" s="1"/>
      <c r="DT510" s="1"/>
      <c r="DU510" s="1"/>
      <c r="DV510" s="1"/>
      <c r="DW510" s="1"/>
      <c r="DX510" s="1"/>
      <c r="DY510" s="1"/>
      <c r="DZ510" s="1"/>
      <c r="EA510" s="1"/>
      <c r="EB510" s="1"/>
      <c r="EC510" s="1"/>
      <c r="ED510" s="1"/>
      <c r="EE510" s="1"/>
      <c r="EF510" s="1"/>
      <c r="EG510" s="1"/>
      <c r="EH510" s="1"/>
      <c r="EI510" s="1"/>
      <c r="EJ510" s="1"/>
      <c r="EK510" s="1"/>
      <c r="EL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c r="BR511" s="1"/>
      <c r="BS511" s="1"/>
      <c r="BT511" s="1"/>
      <c r="BU511" s="1"/>
      <c r="BV511" s="1"/>
      <c r="BW511" s="1"/>
      <c r="BX511" s="1"/>
      <c r="BY511" s="1"/>
      <c r="BZ511" s="1"/>
      <c r="CA511" s="1"/>
      <c r="CB511" s="1"/>
      <c r="CC511" s="1"/>
      <c r="CD511" s="1"/>
      <c r="CE511" s="1"/>
      <c r="CF511" s="1"/>
      <c r="CG511" s="1"/>
      <c r="CH511" s="1"/>
      <c r="CI511" s="1"/>
      <c r="CJ511" s="1"/>
      <c r="CK511" s="1"/>
      <c r="CL511" s="1"/>
      <c r="CM511" s="1"/>
      <c r="CN511" s="1"/>
      <c r="CO511" s="1"/>
      <c r="CP511" s="1"/>
      <c r="CQ511" s="1"/>
      <c r="CR511" s="1"/>
      <c r="CS511" s="1"/>
      <c r="CT511" s="1"/>
      <c r="CU511" s="1"/>
      <c r="CV511" s="1"/>
      <c r="CW511" s="1"/>
      <c r="CX511" s="1"/>
      <c r="CY511" s="1"/>
      <c r="CZ511" s="1"/>
      <c r="DA511" s="1"/>
      <c r="DB511" s="1"/>
      <c r="DC511" s="1"/>
      <c r="DD511" s="1"/>
      <c r="DE511" s="1"/>
      <c r="DF511" s="1"/>
      <c r="DG511" s="1"/>
      <c r="DH511" s="1"/>
      <c r="DI511" s="1"/>
      <c r="DJ511" s="1"/>
      <c r="DK511" s="1"/>
      <c r="DL511" s="1"/>
      <c r="DM511" s="1"/>
      <c r="DN511" s="1"/>
      <c r="DO511" s="1"/>
      <c r="DP511" s="1"/>
      <c r="DQ511" s="1"/>
      <c r="DR511" s="1"/>
      <c r="DS511" s="1"/>
      <c r="DT511" s="1"/>
      <c r="DU511" s="1"/>
      <c r="DV511" s="1"/>
      <c r="DW511" s="1"/>
      <c r="DX511" s="1"/>
      <c r="DY511" s="1"/>
      <c r="DZ511" s="1"/>
      <c r="EA511" s="1"/>
      <c r="EB511" s="1"/>
      <c r="EC511" s="1"/>
      <c r="ED511" s="1"/>
      <c r="EE511" s="1"/>
      <c r="EF511" s="1"/>
      <c r="EG511" s="1"/>
      <c r="EH511" s="1"/>
      <c r="EI511" s="1"/>
      <c r="EJ511" s="1"/>
      <c r="EK511" s="1"/>
      <c r="EL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c r="BR512" s="1"/>
      <c r="BS512" s="1"/>
      <c r="BT512" s="1"/>
      <c r="BU512" s="1"/>
      <c r="BV512" s="1"/>
      <c r="BW512" s="1"/>
      <c r="BX512" s="1"/>
      <c r="BY512" s="1"/>
      <c r="BZ512" s="1"/>
      <c r="CA512" s="1"/>
      <c r="CB512" s="1"/>
      <c r="CC512" s="1"/>
      <c r="CD512" s="1"/>
      <c r="CE512" s="1"/>
      <c r="CF512" s="1"/>
      <c r="CG512" s="1"/>
      <c r="CH512" s="1"/>
      <c r="CI512" s="1"/>
      <c r="CJ512" s="1"/>
      <c r="CK512" s="1"/>
      <c r="CL512" s="1"/>
      <c r="CM512" s="1"/>
      <c r="CN512" s="1"/>
      <c r="CO512" s="1"/>
      <c r="CP512" s="1"/>
      <c r="CQ512" s="1"/>
      <c r="CR512" s="1"/>
      <c r="CS512" s="1"/>
      <c r="CT512" s="1"/>
      <c r="CU512" s="1"/>
      <c r="CV512" s="1"/>
      <c r="CW512" s="1"/>
      <c r="CX512" s="1"/>
      <c r="CY512" s="1"/>
      <c r="CZ512" s="1"/>
      <c r="DA512" s="1"/>
      <c r="DB512" s="1"/>
      <c r="DC512" s="1"/>
      <c r="DD512" s="1"/>
      <c r="DE512" s="1"/>
      <c r="DF512" s="1"/>
      <c r="DG512" s="1"/>
      <c r="DH512" s="1"/>
      <c r="DI512" s="1"/>
      <c r="DJ512" s="1"/>
      <c r="DK512" s="1"/>
      <c r="DL512" s="1"/>
      <c r="DM512" s="1"/>
      <c r="DN512" s="1"/>
      <c r="DO512" s="1"/>
      <c r="DP512" s="1"/>
      <c r="DQ512" s="1"/>
      <c r="DR512" s="1"/>
      <c r="DS512" s="1"/>
      <c r="DT512" s="1"/>
      <c r="DU512" s="1"/>
      <c r="DV512" s="1"/>
      <c r="DW512" s="1"/>
      <c r="DX512" s="1"/>
      <c r="DY512" s="1"/>
      <c r="DZ512" s="1"/>
      <c r="EA512" s="1"/>
      <c r="EB512" s="1"/>
      <c r="EC512" s="1"/>
      <c r="ED512" s="1"/>
      <c r="EE512" s="1"/>
      <c r="EF512" s="1"/>
      <c r="EG512" s="1"/>
      <c r="EH512" s="1"/>
      <c r="EI512" s="1"/>
      <c r="EJ512" s="1"/>
      <c r="EK512" s="1"/>
      <c r="EL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c r="BR513" s="1"/>
      <c r="BS513" s="1"/>
      <c r="BT513" s="1"/>
      <c r="BU513" s="1"/>
      <c r="BV513" s="1"/>
      <c r="BW513" s="1"/>
      <c r="BX513" s="1"/>
      <c r="BY513" s="1"/>
      <c r="BZ513" s="1"/>
      <c r="CA513" s="1"/>
      <c r="CB513" s="1"/>
      <c r="CC513" s="1"/>
      <c r="CD513" s="1"/>
      <c r="CE513" s="1"/>
      <c r="CF513" s="1"/>
      <c r="CG513" s="1"/>
      <c r="CH513" s="1"/>
      <c r="CI513" s="1"/>
      <c r="CJ513" s="1"/>
      <c r="CK513" s="1"/>
      <c r="CL513" s="1"/>
      <c r="CM513" s="1"/>
      <c r="CN513" s="1"/>
      <c r="CO513" s="1"/>
      <c r="CP513" s="1"/>
      <c r="CQ513" s="1"/>
      <c r="CR513" s="1"/>
      <c r="CS513" s="1"/>
      <c r="CT513" s="1"/>
      <c r="CU513" s="1"/>
      <c r="CV513" s="1"/>
      <c r="CW513" s="1"/>
      <c r="CX513" s="1"/>
      <c r="CY513" s="1"/>
      <c r="CZ513" s="1"/>
      <c r="DA513" s="1"/>
      <c r="DB513" s="1"/>
      <c r="DC513" s="1"/>
      <c r="DD513" s="1"/>
      <c r="DE513" s="1"/>
      <c r="DF513" s="1"/>
      <c r="DG513" s="1"/>
      <c r="DH513" s="1"/>
      <c r="DI513" s="1"/>
      <c r="DJ513" s="1"/>
      <c r="DK513" s="1"/>
      <c r="DL513" s="1"/>
      <c r="DM513" s="1"/>
      <c r="DN513" s="1"/>
      <c r="DO513" s="1"/>
      <c r="DP513" s="1"/>
      <c r="DQ513" s="1"/>
      <c r="DR513" s="1"/>
      <c r="DS513" s="1"/>
      <c r="DT513" s="1"/>
      <c r="DU513" s="1"/>
      <c r="DV513" s="1"/>
      <c r="DW513" s="1"/>
      <c r="DX513" s="1"/>
      <c r="DY513" s="1"/>
      <c r="DZ513" s="1"/>
      <c r="EA513" s="1"/>
      <c r="EB513" s="1"/>
      <c r="EC513" s="1"/>
      <c r="ED513" s="1"/>
      <c r="EE513" s="1"/>
      <c r="EF513" s="1"/>
      <c r="EG513" s="1"/>
      <c r="EH513" s="1"/>
      <c r="EI513" s="1"/>
      <c r="EJ513" s="1"/>
      <c r="EK513" s="1"/>
      <c r="EL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c r="BR514" s="1"/>
      <c r="BS514" s="1"/>
      <c r="BT514" s="1"/>
      <c r="BU514" s="1"/>
      <c r="BV514" s="1"/>
      <c r="BW514" s="1"/>
      <c r="BX514" s="1"/>
      <c r="BY514" s="1"/>
      <c r="BZ514" s="1"/>
      <c r="CA514" s="1"/>
      <c r="CB514" s="1"/>
      <c r="CC514" s="1"/>
      <c r="CD514" s="1"/>
      <c r="CE514" s="1"/>
      <c r="CF514" s="1"/>
      <c r="CG514" s="1"/>
      <c r="CH514" s="1"/>
      <c r="CI514" s="1"/>
      <c r="CJ514" s="1"/>
      <c r="CK514" s="1"/>
      <c r="CL514" s="1"/>
      <c r="CM514" s="1"/>
      <c r="CN514" s="1"/>
      <c r="CO514" s="1"/>
      <c r="CP514" s="1"/>
      <c r="CQ514" s="1"/>
      <c r="CR514" s="1"/>
      <c r="CS514" s="1"/>
      <c r="CT514" s="1"/>
      <c r="CU514" s="1"/>
      <c r="CV514" s="1"/>
      <c r="CW514" s="1"/>
      <c r="CX514" s="1"/>
      <c r="CY514" s="1"/>
      <c r="CZ514" s="1"/>
      <c r="DA514" s="1"/>
      <c r="DB514" s="1"/>
      <c r="DC514" s="1"/>
      <c r="DD514" s="1"/>
      <c r="DE514" s="1"/>
      <c r="DF514" s="1"/>
      <c r="DG514" s="1"/>
      <c r="DH514" s="1"/>
      <c r="DI514" s="1"/>
      <c r="DJ514" s="1"/>
      <c r="DK514" s="1"/>
      <c r="DL514" s="1"/>
      <c r="DM514" s="1"/>
      <c r="DN514" s="1"/>
      <c r="DO514" s="1"/>
      <c r="DP514" s="1"/>
      <c r="DQ514" s="1"/>
      <c r="DR514" s="1"/>
      <c r="DS514" s="1"/>
      <c r="DT514" s="1"/>
      <c r="DU514" s="1"/>
      <c r="DV514" s="1"/>
      <c r="DW514" s="1"/>
      <c r="DX514" s="1"/>
      <c r="DY514" s="1"/>
      <c r="DZ514" s="1"/>
      <c r="EA514" s="1"/>
      <c r="EB514" s="1"/>
      <c r="EC514" s="1"/>
      <c r="ED514" s="1"/>
      <c r="EE514" s="1"/>
      <c r="EF514" s="1"/>
      <c r="EG514" s="1"/>
      <c r="EH514" s="1"/>
      <c r="EI514" s="1"/>
      <c r="EJ514" s="1"/>
      <c r="EK514" s="1"/>
      <c r="EL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c r="BR515" s="1"/>
      <c r="BS515" s="1"/>
      <c r="BT515" s="1"/>
      <c r="BU515" s="1"/>
      <c r="BV515" s="1"/>
      <c r="BW515" s="1"/>
      <c r="BX515" s="1"/>
      <c r="BY515" s="1"/>
      <c r="BZ515" s="1"/>
      <c r="CA515" s="1"/>
      <c r="CB515" s="1"/>
      <c r="CC515" s="1"/>
      <c r="CD515" s="1"/>
      <c r="CE515" s="1"/>
      <c r="CF515" s="1"/>
      <c r="CG515" s="1"/>
      <c r="CH515" s="1"/>
      <c r="CI515" s="1"/>
      <c r="CJ515" s="1"/>
      <c r="CK515" s="1"/>
      <c r="CL515" s="1"/>
      <c r="CM515" s="1"/>
      <c r="CN515" s="1"/>
      <c r="CO515" s="1"/>
      <c r="CP515" s="1"/>
      <c r="CQ515" s="1"/>
      <c r="CR515" s="1"/>
      <c r="CS515" s="1"/>
      <c r="CT515" s="1"/>
      <c r="CU515" s="1"/>
      <c r="CV515" s="1"/>
      <c r="CW515" s="1"/>
      <c r="CX515" s="1"/>
      <c r="CY515" s="1"/>
      <c r="CZ515" s="1"/>
      <c r="DA515" s="1"/>
      <c r="DB515" s="1"/>
      <c r="DC515" s="1"/>
      <c r="DD515" s="1"/>
      <c r="DE515" s="1"/>
      <c r="DF515" s="1"/>
      <c r="DG515" s="1"/>
      <c r="DH515" s="1"/>
      <c r="DI515" s="1"/>
      <c r="DJ515" s="1"/>
      <c r="DK515" s="1"/>
      <c r="DL515" s="1"/>
      <c r="DM515" s="1"/>
      <c r="DN515" s="1"/>
      <c r="DO515" s="1"/>
      <c r="DP515" s="1"/>
      <c r="DQ515" s="1"/>
      <c r="DR515" s="1"/>
      <c r="DS515" s="1"/>
      <c r="DT515" s="1"/>
      <c r="DU515" s="1"/>
      <c r="DV515" s="1"/>
      <c r="DW515" s="1"/>
      <c r="DX515" s="1"/>
      <c r="DY515" s="1"/>
      <c r="DZ515" s="1"/>
      <c r="EA515" s="1"/>
      <c r="EB515" s="1"/>
      <c r="EC515" s="1"/>
      <c r="ED515" s="1"/>
      <c r="EE515" s="1"/>
      <c r="EF515" s="1"/>
      <c r="EG515" s="1"/>
      <c r="EH515" s="1"/>
      <c r="EI515" s="1"/>
      <c r="EJ515" s="1"/>
      <c r="EK515" s="1"/>
      <c r="EL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c r="BR516" s="1"/>
      <c r="BS516" s="1"/>
      <c r="BT516" s="1"/>
      <c r="BU516" s="1"/>
      <c r="BV516" s="1"/>
      <c r="BW516" s="1"/>
      <c r="BX516" s="1"/>
      <c r="BY516" s="1"/>
      <c r="BZ516" s="1"/>
      <c r="CA516" s="1"/>
      <c r="CB516" s="1"/>
      <c r="CC516" s="1"/>
      <c r="CD516" s="1"/>
      <c r="CE516" s="1"/>
      <c r="CF516" s="1"/>
      <c r="CG516" s="1"/>
      <c r="CH516" s="1"/>
      <c r="CI516" s="1"/>
      <c r="CJ516" s="1"/>
      <c r="CK516" s="1"/>
      <c r="CL516" s="1"/>
      <c r="CM516" s="1"/>
      <c r="CN516" s="1"/>
      <c r="CO516" s="1"/>
      <c r="CP516" s="1"/>
      <c r="CQ516" s="1"/>
      <c r="CR516" s="1"/>
      <c r="CS516" s="1"/>
      <c r="CT516" s="1"/>
      <c r="CU516" s="1"/>
      <c r="CV516" s="1"/>
      <c r="CW516" s="1"/>
      <c r="CX516" s="1"/>
      <c r="CY516" s="1"/>
      <c r="CZ516" s="1"/>
      <c r="DA516" s="1"/>
      <c r="DB516" s="1"/>
      <c r="DC516" s="1"/>
      <c r="DD516" s="1"/>
      <c r="DE516" s="1"/>
      <c r="DF516" s="1"/>
      <c r="DG516" s="1"/>
      <c r="DH516" s="1"/>
      <c r="DI516" s="1"/>
      <c r="DJ516" s="1"/>
      <c r="DK516" s="1"/>
      <c r="DL516" s="1"/>
      <c r="DM516" s="1"/>
      <c r="DN516" s="1"/>
      <c r="DO516" s="1"/>
      <c r="DP516" s="1"/>
      <c r="DQ516" s="1"/>
      <c r="DR516" s="1"/>
      <c r="DS516" s="1"/>
      <c r="DT516" s="1"/>
      <c r="DU516" s="1"/>
      <c r="DV516" s="1"/>
      <c r="DW516" s="1"/>
      <c r="DX516" s="1"/>
      <c r="DY516" s="1"/>
      <c r="DZ516" s="1"/>
      <c r="EA516" s="1"/>
      <c r="EB516" s="1"/>
      <c r="EC516" s="1"/>
      <c r="ED516" s="1"/>
      <c r="EE516" s="1"/>
      <c r="EF516" s="1"/>
      <c r="EG516" s="1"/>
      <c r="EH516" s="1"/>
      <c r="EI516" s="1"/>
      <c r="EJ516" s="1"/>
      <c r="EK516" s="1"/>
      <c r="EL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c r="BR517" s="1"/>
      <c r="BS517" s="1"/>
      <c r="BT517" s="1"/>
      <c r="BU517" s="1"/>
      <c r="BV517" s="1"/>
      <c r="BW517" s="1"/>
      <c r="BX517" s="1"/>
      <c r="BY517" s="1"/>
      <c r="BZ517" s="1"/>
      <c r="CA517" s="1"/>
      <c r="CB517" s="1"/>
      <c r="CC517" s="1"/>
      <c r="CD517" s="1"/>
      <c r="CE517" s="1"/>
      <c r="CF517" s="1"/>
      <c r="CG517" s="1"/>
      <c r="CH517" s="1"/>
      <c r="CI517" s="1"/>
      <c r="CJ517" s="1"/>
      <c r="CK517" s="1"/>
      <c r="CL517" s="1"/>
      <c r="CM517" s="1"/>
      <c r="CN517" s="1"/>
      <c r="CO517" s="1"/>
      <c r="CP517" s="1"/>
      <c r="CQ517" s="1"/>
      <c r="CR517" s="1"/>
      <c r="CS517" s="1"/>
      <c r="CT517" s="1"/>
      <c r="CU517" s="1"/>
      <c r="CV517" s="1"/>
      <c r="CW517" s="1"/>
      <c r="CX517" s="1"/>
      <c r="CY517" s="1"/>
      <c r="CZ517" s="1"/>
      <c r="DA517" s="1"/>
      <c r="DB517" s="1"/>
      <c r="DC517" s="1"/>
      <c r="DD517" s="1"/>
      <c r="DE517" s="1"/>
      <c r="DF517" s="1"/>
      <c r="DG517" s="1"/>
      <c r="DH517" s="1"/>
      <c r="DI517" s="1"/>
      <c r="DJ517" s="1"/>
      <c r="DK517" s="1"/>
      <c r="DL517" s="1"/>
      <c r="DM517" s="1"/>
      <c r="DN517" s="1"/>
      <c r="DO517" s="1"/>
      <c r="DP517" s="1"/>
      <c r="DQ517" s="1"/>
      <c r="DR517" s="1"/>
      <c r="DS517" s="1"/>
      <c r="DT517" s="1"/>
      <c r="DU517" s="1"/>
      <c r="DV517" s="1"/>
      <c r="DW517" s="1"/>
      <c r="DX517" s="1"/>
      <c r="DY517" s="1"/>
      <c r="DZ517" s="1"/>
      <c r="EA517" s="1"/>
      <c r="EB517" s="1"/>
      <c r="EC517" s="1"/>
      <c r="ED517" s="1"/>
      <c r="EE517" s="1"/>
      <c r="EF517" s="1"/>
      <c r="EG517" s="1"/>
      <c r="EH517" s="1"/>
      <c r="EI517" s="1"/>
      <c r="EJ517" s="1"/>
      <c r="EK517" s="1"/>
      <c r="EL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c r="BR518" s="1"/>
      <c r="BS518" s="1"/>
      <c r="BT518" s="1"/>
      <c r="BU518" s="1"/>
      <c r="BV518" s="1"/>
      <c r="BW518" s="1"/>
      <c r="BX518" s="1"/>
      <c r="BY518" s="1"/>
      <c r="BZ518" s="1"/>
      <c r="CA518" s="1"/>
      <c r="CB518" s="1"/>
      <c r="CC518" s="1"/>
      <c r="CD518" s="1"/>
      <c r="CE518" s="1"/>
      <c r="CF518" s="1"/>
      <c r="CG518" s="1"/>
      <c r="CH518" s="1"/>
      <c r="CI518" s="1"/>
      <c r="CJ518" s="1"/>
      <c r="CK518" s="1"/>
      <c r="CL518" s="1"/>
      <c r="CM518" s="1"/>
      <c r="CN518" s="1"/>
      <c r="CO518" s="1"/>
      <c r="CP518" s="1"/>
      <c r="CQ518" s="1"/>
      <c r="CR518" s="1"/>
      <c r="CS518" s="1"/>
      <c r="CT518" s="1"/>
      <c r="CU518" s="1"/>
      <c r="CV518" s="1"/>
      <c r="CW518" s="1"/>
      <c r="CX518" s="1"/>
      <c r="CY518" s="1"/>
      <c r="CZ518" s="1"/>
      <c r="DA518" s="1"/>
      <c r="DB518" s="1"/>
      <c r="DC518" s="1"/>
      <c r="DD518" s="1"/>
      <c r="DE518" s="1"/>
      <c r="DF518" s="1"/>
      <c r="DG518" s="1"/>
      <c r="DH518" s="1"/>
      <c r="DI518" s="1"/>
      <c r="DJ518" s="1"/>
      <c r="DK518" s="1"/>
      <c r="DL518" s="1"/>
      <c r="DM518" s="1"/>
      <c r="DN518" s="1"/>
      <c r="DO518" s="1"/>
      <c r="DP518" s="1"/>
      <c r="DQ518" s="1"/>
      <c r="DR518" s="1"/>
      <c r="DS518" s="1"/>
      <c r="DT518" s="1"/>
      <c r="DU518" s="1"/>
      <c r="DV518" s="1"/>
      <c r="DW518" s="1"/>
      <c r="DX518" s="1"/>
      <c r="DY518" s="1"/>
      <c r="DZ518" s="1"/>
      <c r="EA518" s="1"/>
      <c r="EB518" s="1"/>
      <c r="EC518" s="1"/>
      <c r="ED518" s="1"/>
      <c r="EE518" s="1"/>
      <c r="EF518" s="1"/>
      <c r="EG518" s="1"/>
      <c r="EH518" s="1"/>
      <c r="EI518" s="1"/>
      <c r="EJ518" s="1"/>
      <c r="EK518" s="1"/>
      <c r="EL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c r="BR519" s="1"/>
      <c r="BS519" s="1"/>
      <c r="BT519" s="1"/>
      <c r="BU519" s="1"/>
      <c r="BV519" s="1"/>
      <c r="BW519" s="1"/>
      <c r="BX519" s="1"/>
      <c r="BY519" s="1"/>
      <c r="BZ519" s="1"/>
      <c r="CA519" s="1"/>
      <c r="CB519" s="1"/>
      <c r="CC519" s="1"/>
      <c r="CD519" s="1"/>
      <c r="CE519" s="1"/>
      <c r="CF519" s="1"/>
      <c r="CG519" s="1"/>
      <c r="CH519" s="1"/>
      <c r="CI519" s="1"/>
      <c r="CJ519" s="1"/>
      <c r="CK519" s="1"/>
      <c r="CL519" s="1"/>
      <c r="CM519" s="1"/>
      <c r="CN519" s="1"/>
      <c r="CO519" s="1"/>
      <c r="CP519" s="1"/>
      <c r="CQ519" s="1"/>
      <c r="CR519" s="1"/>
      <c r="CS519" s="1"/>
      <c r="CT519" s="1"/>
      <c r="CU519" s="1"/>
      <c r="CV519" s="1"/>
      <c r="CW519" s="1"/>
      <c r="CX519" s="1"/>
      <c r="CY519" s="1"/>
      <c r="CZ519" s="1"/>
      <c r="DA519" s="1"/>
      <c r="DB519" s="1"/>
      <c r="DC519" s="1"/>
      <c r="DD519" s="1"/>
      <c r="DE519" s="1"/>
      <c r="DF519" s="1"/>
      <c r="DG519" s="1"/>
      <c r="DH519" s="1"/>
      <c r="DI519" s="1"/>
      <c r="DJ519" s="1"/>
      <c r="DK519" s="1"/>
      <c r="DL519" s="1"/>
      <c r="DM519" s="1"/>
      <c r="DN519" s="1"/>
      <c r="DO519" s="1"/>
      <c r="DP519" s="1"/>
      <c r="DQ519" s="1"/>
      <c r="DR519" s="1"/>
      <c r="DS519" s="1"/>
      <c r="DT519" s="1"/>
      <c r="DU519" s="1"/>
      <c r="DV519" s="1"/>
      <c r="DW519" s="1"/>
      <c r="DX519" s="1"/>
      <c r="DY519" s="1"/>
      <c r="DZ519" s="1"/>
      <c r="EA519" s="1"/>
      <c r="EB519" s="1"/>
      <c r="EC519" s="1"/>
      <c r="ED519" s="1"/>
      <c r="EE519" s="1"/>
      <c r="EF519" s="1"/>
      <c r="EG519" s="1"/>
      <c r="EH519" s="1"/>
      <c r="EI519" s="1"/>
      <c r="EJ519" s="1"/>
      <c r="EK519" s="1"/>
      <c r="EL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c r="BR520" s="1"/>
      <c r="BS520" s="1"/>
      <c r="BT520" s="1"/>
      <c r="BU520" s="1"/>
      <c r="BV520" s="1"/>
      <c r="BW520" s="1"/>
      <c r="BX520" s="1"/>
      <c r="BY520" s="1"/>
      <c r="BZ520" s="1"/>
      <c r="CA520" s="1"/>
      <c r="CB520" s="1"/>
      <c r="CC520" s="1"/>
      <c r="CD520" s="1"/>
      <c r="CE520" s="1"/>
      <c r="CF520" s="1"/>
      <c r="CG520" s="1"/>
      <c r="CH520" s="1"/>
      <c r="CI520" s="1"/>
      <c r="CJ520" s="1"/>
      <c r="CK520" s="1"/>
      <c r="CL520" s="1"/>
      <c r="CM520" s="1"/>
      <c r="CN520" s="1"/>
      <c r="CO520" s="1"/>
      <c r="CP520" s="1"/>
      <c r="CQ520" s="1"/>
      <c r="CR520" s="1"/>
      <c r="CS520" s="1"/>
      <c r="CT520" s="1"/>
      <c r="CU520" s="1"/>
      <c r="CV520" s="1"/>
      <c r="CW520" s="1"/>
      <c r="CX520" s="1"/>
      <c r="CY520" s="1"/>
      <c r="CZ520" s="1"/>
      <c r="DA520" s="1"/>
      <c r="DB520" s="1"/>
      <c r="DC520" s="1"/>
      <c r="DD520" s="1"/>
      <c r="DE520" s="1"/>
      <c r="DF520" s="1"/>
      <c r="DG520" s="1"/>
      <c r="DH520" s="1"/>
      <c r="DI520" s="1"/>
      <c r="DJ520" s="1"/>
      <c r="DK520" s="1"/>
      <c r="DL520" s="1"/>
      <c r="DM520" s="1"/>
      <c r="DN520" s="1"/>
      <c r="DO520" s="1"/>
      <c r="DP520" s="1"/>
      <c r="DQ520" s="1"/>
      <c r="DR520" s="1"/>
      <c r="DS520" s="1"/>
      <c r="DT520" s="1"/>
      <c r="DU520" s="1"/>
      <c r="DV520" s="1"/>
      <c r="DW520" s="1"/>
      <c r="DX520" s="1"/>
      <c r="DY520" s="1"/>
      <c r="DZ520" s="1"/>
      <c r="EA520" s="1"/>
      <c r="EB520" s="1"/>
      <c r="EC520" s="1"/>
      <c r="ED520" s="1"/>
      <c r="EE520" s="1"/>
      <c r="EF520" s="1"/>
      <c r="EG520" s="1"/>
      <c r="EH520" s="1"/>
      <c r="EI520" s="1"/>
      <c r="EJ520" s="1"/>
      <c r="EK520" s="1"/>
      <c r="EL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c r="BR521" s="1"/>
      <c r="BS521" s="1"/>
      <c r="BT521" s="1"/>
      <c r="BU521" s="1"/>
      <c r="BV521" s="1"/>
      <c r="BW521" s="1"/>
      <c r="BX521" s="1"/>
      <c r="BY521" s="1"/>
      <c r="BZ521" s="1"/>
      <c r="CA521" s="1"/>
      <c r="CB521" s="1"/>
      <c r="CC521" s="1"/>
      <c r="CD521" s="1"/>
      <c r="CE521" s="1"/>
      <c r="CF521" s="1"/>
      <c r="CG521" s="1"/>
      <c r="CH521" s="1"/>
      <c r="CI521" s="1"/>
      <c r="CJ521" s="1"/>
      <c r="CK521" s="1"/>
      <c r="CL521" s="1"/>
      <c r="CM521" s="1"/>
      <c r="CN521" s="1"/>
      <c r="CO521" s="1"/>
      <c r="CP521" s="1"/>
      <c r="CQ521" s="1"/>
      <c r="CR521" s="1"/>
      <c r="CS521" s="1"/>
      <c r="CT521" s="1"/>
      <c r="CU521" s="1"/>
      <c r="CV521" s="1"/>
      <c r="CW521" s="1"/>
      <c r="CX521" s="1"/>
      <c r="CY521" s="1"/>
      <c r="CZ521" s="1"/>
      <c r="DA521" s="1"/>
      <c r="DB521" s="1"/>
      <c r="DC521" s="1"/>
      <c r="DD521" s="1"/>
      <c r="DE521" s="1"/>
      <c r="DF521" s="1"/>
      <c r="DG521" s="1"/>
      <c r="DH521" s="1"/>
      <c r="DI521" s="1"/>
      <c r="DJ521" s="1"/>
      <c r="DK521" s="1"/>
      <c r="DL521" s="1"/>
      <c r="DM521" s="1"/>
      <c r="DN521" s="1"/>
      <c r="DO521" s="1"/>
      <c r="DP521" s="1"/>
      <c r="DQ521" s="1"/>
      <c r="DR521" s="1"/>
      <c r="DS521" s="1"/>
      <c r="DT521" s="1"/>
      <c r="DU521" s="1"/>
      <c r="DV521" s="1"/>
      <c r="DW521" s="1"/>
      <c r="DX521" s="1"/>
      <c r="DY521" s="1"/>
      <c r="DZ521" s="1"/>
      <c r="EA521" s="1"/>
      <c r="EB521" s="1"/>
      <c r="EC521" s="1"/>
      <c r="ED521" s="1"/>
      <c r="EE521" s="1"/>
      <c r="EF521" s="1"/>
      <c r="EG521" s="1"/>
      <c r="EH521" s="1"/>
      <c r="EI521" s="1"/>
      <c r="EJ521" s="1"/>
      <c r="EK521" s="1"/>
      <c r="EL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c r="BR522" s="1"/>
      <c r="BS522" s="1"/>
      <c r="BT522" s="1"/>
      <c r="BU522" s="1"/>
      <c r="BV522" s="1"/>
      <c r="BW522" s="1"/>
      <c r="BX522" s="1"/>
      <c r="BY522" s="1"/>
      <c r="BZ522" s="1"/>
      <c r="CA522" s="1"/>
      <c r="CB522" s="1"/>
      <c r="CC522" s="1"/>
      <c r="CD522" s="1"/>
      <c r="CE522" s="1"/>
      <c r="CF522" s="1"/>
      <c r="CG522" s="1"/>
      <c r="CH522" s="1"/>
      <c r="CI522" s="1"/>
      <c r="CJ522" s="1"/>
      <c r="CK522" s="1"/>
      <c r="CL522" s="1"/>
      <c r="CM522" s="1"/>
      <c r="CN522" s="1"/>
      <c r="CO522" s="1"/>
      <c r="CP522" s="1"/>
      <c r="CQ522" s="1"/>
      <c r="CR522" s="1"/>
      <c r="CS522" s="1"/>
      <c r="CT522" s="1"/>
      <c r="CU522" s="1"/>
      <c r="CV522" s="1"/>
      <c r="CW522" s="1"/>
      <c r="CX522" s="1"/>
      <c r="CY522" s="1"/>
      <c r="CZ522" s="1"/>
      <c r="DA522" s="1"/>
      <c r="DB522" s="1"/>
      <c r="DC522" s="1"/>
      <c r="DD522" s="1"/>
      <c r="DE522" s="1"/>
      <c r="DF522" s="1"/>
      <c r="DG522" s="1"/>
      <c r="DH522" s="1"/>
      <c r="DI522" s="1"/>
      <c r="DJ522" s="1"/>
      <c r="DK522" s="1"/>
      <c r="DL522" s="1"/>
      <c r="DM522" s="1"/>
      <c r="DN522" s="1"/>
      <c r="DO522" s="1"/>
      <c r="DP522" s="1"/>
      <c r="DQ522" s="1"/>
      <c r="DR522" s="1"/>
      <c r="DS522" s="1"/>
      <c r="DT522" s="1"/>
      <c r="DU522" s="1"/>
      <c r="DV522" s="1"/>
      <c r="DW522" s="1"/>
      <c r="DX522" s="1"/>
      <c r="DY522" s="1"/>
      <c r="DZ522" s="1"/>
      <c r="EA522" s="1"/>
      <c r="EB522" s="1"/>
      <c r="EC522" s="1"/>
      <c r="ED522" s="1"/>
      <c r="EE522" s="1"/>
      <c r="EF522" s="1"/>
      <c r="EG522" s="1"/>
      <c r="EH522" s="1"/>
      <c r="EI522" s="1"/>
      <c r="EJ522" s="1"/>
      <c r="EK522" s="1"/>
      <c r="EL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c r="BR523" s="1"/>
      <c r="BS523" s="1"/>
      <c r="BT523" s="1"/>
      <c r="BU523" s="1"/>
      <c r="BV523" s="1"/>
      <c r="BW523" s="1"/>
      <c r="BX523" s="1"/>
      <c r="BY523" s="1"/>
      <c r="BZ523" s="1"/>
      <c r="CA523" s="1"/>
      <c r="CB523" s="1"/>
      <c r="CC523" s="1"/>
      <c r="CD523" s="1"/>
      <c r="CE523" s="1"/>
      <c r="CF523" s="1"/>
      <c r="CG523" s="1"/>
      <c r="CH523" s="1"/>
      <c r="CI523" s="1"/>
      <c r="CJ523" s="1"/>
      <c r="CK523" s="1"/>
      <c r="CL523" s="1"/>
      <c r="CM523" s="1"/>
      <c r="CN523" s="1"/>
      <c r="CO523" s="1"/>
      <c r="CP523" s="1"/>
      <c r="CQ523" s="1"/>
      <c r="CR523" s="1"/>
      <c r="CS523" s="1"/>
      <c r="CT523" s="1"/>
      <c r="CU523" s="1"/>
      <c r="CV523" s="1"/>
      <c r="CW523" s="1"/>
      <c r="CX523" s="1"/>
      <c r="CY523" s="1"/>
      <c r="CZ523" s="1"/>
      <c r="DA523" s="1"/>
      <c r="DB523" s="1"/>
      <c r="DC523" s="1"/>
      <c r="DD523" s="1"/>
      <c r="DE523" s="1"/>
      <c r="DF523" s="1"/>
      <c r="DG523" s="1"/>
      <c r="DH523" s="1"/>
      <c r="DI523" s="1"/>
      <c r="DJ523" s="1"/>
      <c r="DK523" s="1"/>
      <c r="DL523" s="1"/>
      <c r="DM523" s="1"/>
      <c r="DN523" s="1"/>
      <c r="DO523" s="1"/>
      <c r="DP523" s="1"/>
      <c r="DQ523" s="1"/>
      <c r="DR523" s="1"/>
      <c r="DS523" s="1"/>
      <c r="DT523" s="1"/>
      <c r="DU523" s="1"/>
      <c r="DV523" s="1"/>
      <c r="DW523" s="1"/>
      <c r="DX523" s="1"/>
      <c r="DY523" s="1"/>
      <c r="DZ523" s="1"/>
      <c r="EA523" s="1"/>
      <c r="EB523" s="1"/>
      <c r="EC523" s="1"/>
      <c r="ED523" s="1"/>
      <c r="EE523" s="1"/>
      <c r="EF523" s="1"/>
      <c r="EG523" s="1"/>
      <c r="EH523" s="1"/>
      <c r="EI523" s="1"/>
      <c r="EJ523" s="1"/>
      <c r="EK523" s="1"/>
      <c r="EL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c r="BR524" s="1"/>
      <c r="BS524" s="1"/>
      <c r="BT524" s="1"/>
      <c r="BU524" s="1"/>
      <c r="BV524" s="1"/>
      <c r="BW524" s="1"/>
      <c r="BX524" s="1"/>
      <c r="BY524" s="1"/>
      <c r="BZ524" s="1"/>
      <c r="CA524" s="1"/>
      <c r="CB524" s="1"/>
      <c r="CC524" s="1"/>
      <c r="CD524" s="1"/>
      <c r="CE524" s="1"/>
      <c r="CF524" s="1"/>
      <c r="CG524" s="1"/>
      <c r="CH524" s="1"/>
      <c r="CI524" s="1"/>
      <c r="CJ524" s="1"/>
      <c r="CK524" s="1"/>
      <c r="CL524" s="1"/>
      <c r="CM524" s="1"/>
      <c r="CN524" s="1"/>
      <c r="CO524" s="1"/>
      <c r="CP524" s="1"/>
      <c r="CQ524" s="1"/>
      <c r="CR524" s="1"/>
      <c r="CS524" s="1"/>
      <c r="CT524" s="1"/>
      <c r="CU524" s="1"/>
      <c r="CV524" s="1"/>
      <c r="CW524" s="1"/>
      <c r="CX524" s="1"/>
      <c r="CY524" s="1"/>
      <c r="CZ524" s="1"/>
      <c r="DA524" s="1"/>
      <c r="DB524" s="1"/>
      <c r="DC524" s="1"/>
      <c r="DD524" s="1"/>
      <c r="DE524" s="1"/>
      <c r="DF524" s="1"/>
      <c r="DG524" s="1"/>
      <c r="DH524" s="1"/>
      <c r="DI524" s="1"/>
      <c r="DJ524" s="1"/>
      <c r="DK524" s="1"/>
      <c r="DL524" s="1"/>
      <c r="DM524" s="1"/>
      <c r="DN524" s="1"/>
      <c r="DO524" s="1"/>
      <c r="DP524" s="1"/>
      <c r="DQ524" s="1"/>
      <c r="DR524" s="1"/>
      <c r="DS524" s="1"/>
      <c r="DT524" s="1"/>
      <c r="DU524" s="1"/>
      <c r="DV524" s="1"/>
      <c r="DW524" s="1"/>
      <c r="DX524" s="1"/>
      <c r="DY524" s="1"/>
      <c r="DZ524" s="1"/>
      <c r="EA524" s="1"/>
      <c r="EB524" s="1"/>
      <c r="EC524" s="1"/>
      <c r="ED524" s="1"/>
      <c r="EE524" s="1"/>
      <c r="EF524" s="1"/>
      <c r="EG524" s="1"/>
      <c r="EH524" s="1"/>
      <c r="EI524" s="1"/>
      <c r="EJ524" s="1"/>
      <c r="EK524" s="1"/>
      <c r="EL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c r="BR525" s="1"/>
      <c r="BS525" s="1"/>
      <c r="BT525" s="1"/>
      <c r="BU525" s="1"/>
      <c r="BV525" s="1"/>
      <c r="BW525" s="1"/>
      <c r="BX525" s="1"/>
      <c r="BY525" s="1"/>
      <c r="BZ525" s="1"/>
      <c r="CA525" s="1"/>
      <c r="CB525" s="1"/>
      <c r="CC525" s="1"/>
      <c r="CD525" s="1"/>
      <c r="CE525" s="1"/>
      <c r="CF525" s="1"/>
      <c r="CG525" s="1"/>
      <c r="CH525" s="1"/>
      <c r="CI525" s="1"/>
      <c r="CJ525" s="1"/>
      <c r="CK525" s="1"/>
      <c r="CL525" s="1"/>
      <c r="CM525" s="1"/>
      <c r="CN525" s="1"/>
      <c r="CO525" s="1"/>
      <c r="CP525" s="1"/>
      <c r="CQ525" s="1"/>
      <c r="CR525" s="1"/>
      <c r="CS525" s="1"/>
      <c r="CT525" s="1"/>
      <c r="CU525" s="1"/>
      <c r="CV525" s="1"/>
      <c r="CW525" s="1"/>
      <c r="CX525" s="1"/>
      <c r="CY525" s="1"/>
      <c r="CZ525" s="1"/>
      <c r="DA525" s="1"/>
      <c r="DB525" s="1"/>
      <c r="DC525" s="1"/>
      <c r="DD525" s="1"/>
      <c r="DE525" s="1"/>
      <c r="DF525" s="1"/>
      <c r="DG525" s="1"/>
      <c r="DH525" s="1"/>
      <c r="DI525" s="1"/>
      <c r="DJ525" s="1"/>
      <c r="DK525" s="1"/>
      <c r="DL525" s="1"/>
      <c r="DM525" s="1"/>
      <c r="DN525" s="1"/>
      <c r="DO525" s="1"/>
      <c r="DP525" s="1"/>
      <c r="DQ525" s="1"/>
      <c r="DR525" s="1"/>
      <c r="DS525" s="1"/>
      <c r="DT525" s="1"/>
      <c r="DU525" s="1"/>
      <c r="DV525" s="1"/>
      <c r="DW525" s="1"/>
      <c r="DX525" s="1"/>
      <c r="DY525" s="1"/>
      <c r="DZ525" s="1"/>
      <c r="EA525" s="1"/>
      <c r="EB525" s="1"/>
      <c r="EC525" s="1"/>
      <c r="ED525" s="1"/>
      <c r="EE525" s="1"/>
      <c r="EF525" s="1"/>
      <c r="EG525" s="1"/>
      <c r="EH525" s="1"/>
      <c r="EI525" s="1"/>
      <c r="EJ525" s="1"/>
      <c r="EK525" s="1"/>
      <c r="EL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c r="BR526" s="1"/>
      <c r="BS526" s="1"/>
      <c r="BT526" s="1"/>
      <c r="BU526" s="1"/>
      <c r="BV526" s="1"/>
      <c r="BW526" s="1"/>
      <c r="BX526" s="1"/>
      <c r="BY526" s="1"/>
      <c r="BZ526" s="1"/>
      <c r="CA526" s="1"/>
      <c r="CB526" s="1"/>
      <c r="CC526" s="1"/>
      <c r="CD526" s="1"/>
      <c r="CE526" s="1"/>
      <c r="CF526" s="1"/>
      <c r="CG526" s="1"/>
      <c r="CH526" s="1"/>
      <c r="CI526" s="1"/>
      <c r="CJ526" s="1"/>
      <c r="CK526" s="1"/>
      <c r="CL526" s="1"/>
      <c r="CM526" s="1"/>
      <c r="CN526" s="1"/>
      <c r="CO526" s="1"/>
      <c r="CP526" s="1"/>
      <c r="CQ526" s="1"/>
      <c r="CR526" s="1"/>
      <c r="CS526" s="1"/>
      <c r="CT526" s="1"/>
      <c r="CU526" s="1"/>
      <c r="CV526" s="1"/>
      <c r="CW526" s="1"/>
      <c r="CX526" s="1"/>
      <c r="CY526" s="1"/>
      <c r="CZ526" s="1"/>
      <c r="DA526" s="1"/>
      <c r="DB526" s="1"/>
      <c r="DC526" s="1"/>
      <c r="DD526" s="1"/>
      <c r="DE526" s="1"/>
      <c r="DF526" s="1"/>
      <c r="DG526" s="1"/>
      <c r="DH526" s="1"/>
      <c r="DI526" s="1"/>
      <c r="DJ526" s="1"/>
      <c r="DK526" s="1"/>
      <c r="DL526" s="1"/>
      <c r="DM526" s="1"/>
      <c r="DN526" s="1"/>
      <c r="DO526" s="1"/>
      <c r="DP526" s="1"/>
      <c r="DQ526" s="1"/>
      <c r="DR526" s="1"/>
      <c r="DS526" s="1"/>
      <c r="DT526" s="1"/>
      <c r="DU526" s="1"/>
      <c r="DV526" s="1"/>
      <c r="DW526" s="1"/>
      <c r="DX526" s="1"/>
      <c r="DY526" s="1"/>
      <c r="DZ526" s="1"/>
      <c r="EA526" s="1"/>
      <c r="EB526" s="1"/>
      <c r="EC526" s="1"/>
      <c r="ED526" s="1"/>
      <c r="EE526" s="1"/>
      <c r="EF526" s="1"/>
      <c r="EG526" s="1"/>
      <c r="EH526" s="1"/>
      <c r="EI526" s="1"/>
      <c r="EJ526" s="1"/>
      <c r="EK526" s="1"/>
      <c r="EL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c r="BR527" s="1"/>
      <c r="BS527" s="1"/>
      <c r="BT527" s="1"/>
      <c r="BU527" s="1"/>
      <c r="BV527" s="1"/>
      <c r="BW527" s="1"/>
      <c r="BX527" s="1"/>
      <c r="BY527" s="1"/>
      <c r="BZ527" s="1"/>
      <c r="CA527" s="1"/>
      <c r="CB527" s="1"/>
      <c r="CC527" s="1"/>
      <c r="CD527" s="1"/>
      <c r="CE527" s="1"/>
      <c r="CF527" s="1"/>
      <c r="CG527" s="1"/>
      <c r="CH527" s="1"/>
      <c r="CI527" s="1"/>
      <c r="CJ527" s="1"/>
      <c r="CK527" s="1"/>
      <c r="CL527" s="1"/>
      <c r="CM527" s="1"/>
      <c r="CN527" s="1"/>
      <c r="CO527" s="1"/>
      <c r="CP527" s="1"/>
      <c r="CQ527" s="1"/>
      <c r="CR527" s="1"/>
      <c r="CS527" s="1"/>
      <c r="CT527" s="1"/>
      <c r="CU527" s="1"/>
      <c r="CV527" s="1"/>
      <c r="CW527" s="1"/>
      <c r="CX527" s="1"/>
      <c r="CY527" s="1"/>
      <c r="CZ527" s="1"/>
      <c r="DA527" s="1"/>
      <c r="DB527" s="1"/>
      <c r="DC527" s="1"/>
      <c r="DD527" s="1"/>
      <c r="DE527" s="1"/>
      <c r="DF527" s="1"/>
      <c r="DG527" s="1"/>
      <c r="DH527" s="1"/>
      <c r="DI527" s="1"/>
      <c r="DJ527" s="1"/>
      <c r="DK527" s="1"/>
      <c r="DL527" s="1"/>
      <c r="DM527" s="1"/>
      <c r="DN527" s="1"/>
      <c r="DO527" s="1"/>
      <c r="DP527" s="1"/>
      <c r="DQ527" s="1"/>
      <c r="DR527" s="1"/>
      <c r="DS527" s="1"/>
      <c r="DT527" s="1"/>
      <c r="DU527" s="1"/>
      <c r="DV527" s="1"/>
      <c r="DW527" s="1"/>
      <c r="DX527" s="1"/>
      <c r="DY527" s="1"/>
      <c r="DZ527" s="1"/>
      <c r="EA527" s="1"/>
      <c r="EB527" s="1"/>
      <c r="EC527" s="1"/>
      <c r="ED527" s="1"/>
      <c r="EE527" s="1"/>
      <c r="EF527" s="1"/>
      <c r="EG527" s="1"/>
      <c r="EH527" s="1"/>
      <c r="EI527" s="1"/>
      <c r="EJ527" s="1"/>
      <c r="EK527" s="1"/>
      <c r="EL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c r="BR528" s="1"/>
      <c r="BS528" s="1"/>
      <c r="BT528" s="1"/>
      <c r="BU528" s="1"/>
      <c r="BV528" s="1"/>
      <c r="BW528" s="1"/>
      <c r="BX528" s="1"/>
      <c r="BY528" s="1"/>
      <c r="BZ528" s="1"/>
      <c r="CA528" s="1"/>
      <c r="CB528" s="1"/>
      <c r="CC528" s="1"/>
      <c r="CD528" s="1"/>
      <c r="CE528" s="1"/>
      <c r="CF528" s="1"/>
      <c r="CG528" s="1"/>
      <c r="CH528" s="1"/>
      <c r="CI528" s="1"/>
      <c r="CJ528" s="1"/>
      <c r="CK528" s="1"/>
      <c r="CL528" s="1"/>
      <c r="CM528" s="1"/>
      <c r="CN528" s="1"/>
      <c r="CO528" s="1"/>
      <c r="CP528" s="1"/>
      <c r="CQ528" s="1"/>
      <c r="CR528" s="1"/>
      <c r="CS528" s="1"/>
      <c r="CT528" s="1"/>
      <c r="CU528" s="1"/>
      <c r="CV528" s="1"/>
      <c r="CW528" s="1"/>
      <c r="CX528" s="1"/>
      <c r="CY528" s="1"/>
      <c r="CZ528" s="1"/>
      <c r="DA528" s="1"/>
      <c r="DB528" s="1"/>
      <c r="DC528" s="1"/>
      <c r="DD528" s="1"/>
      <c r="DE528" s="1"/>
      <c r="DF528" s="1"/>
      <c r="DG528" s="1"/>
      <c r="DH528" s="1"/>
      <c r="DI528" s="1"/>
      <c r="DJ528" s="1"/>
      <c r="DK528" s="1"/>
      <c r="DL528" s="1"/>
      <c r="DM528" s="1"/>
      <c r="DN528" s="1"/>
      <c r="DO528" s="1"/>
      <c r="DP528" s="1"/>
      <c r="DQ528" s="1"/>
      <c r="DR528" s="1"/>
      <c r="DS528" s="1"/>
      <c r="DT528" s="1"/>
      <c r="DU528" s="1"/>
      <c r="DV528" s="1"/>
      <c r="DW528" s="1"/>
      <c r="DX528" s="1"/>
      <c r="DY528" s="1"/>
      <c r="DZ528" s="1"/>
      <c r="EA528" s="1"/>
      <c r="EB528" s="1"/>
      <c r="EC528" s="1"/>
      <c r="ED528" s="1"/>
      <c r="EE528" s="1"/>
      <c r="EF528" s="1"/>
      <c r="EG528" s="1"/>
      <c r="EH528" s="1"/>
      <c r="EI528" s="1"/>
      <c r="EJ528" s="1"/>
      <c r="EK528" s="1"/>
      <c r="EL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c r="BR529" s="1"/>
      <c r="BS529" s="1"/>
      <c r="BT529" s="1"/>
      <c r="BU529" s="1"/>
      <c r="BV529" s="1"/>
      <c r="BW529" s="1"/>
      <c r="BX529" s="1"/>
      <c r="BY529" s="1"/>
      <c r="BZ529" s="1"/>
      <c r="CA529" s="1"/>
      <c r="CB529" s="1"/>
      <c r="CC529" s="1"/>
      <c r="CD529" s="1"/>
      <c r="CE529" s="1"/>
      <c r="CF529" s="1"/>
      <c r="CG529" s="1"/>
      <c r="CH529" s="1"/>
      <c r="CI529" s="1"/>
      <c r="CJ529" s="1"/>
      <c r="CK529" s="1"/>
      <c r="CL529" s="1"/>
      <c r="CM529" s="1"/>
      <c r="CN529" s="1"/>
      <c r="CO529" s="1"/>
      <c r="CP529" s="1"/>
      <c r="CQ529" s="1"/>
      <c r="CR529" s="1"/>
      <c r="CS529" s="1"/>
      <c r="CT529" s="1"/>
      <c r="CU529" s="1"/>
      <c r="CV529" s="1"/>
      <c r="CW529" s="1"/>
      <c r="CX529" s="1"/>
      <c r="CY529" s="1"/>
      <c r="CZ529" s="1"/>
      <c r="DA529" s="1"/>
      <c r="DB529" s="1"/>
      <c r="DC529" s="1"/>
      <c r="DD529" s="1"/>
      <c r="DE529" s="1"/>
      <c r="DF529" s="1"/>
      <c r="DG529" s="1"/>
      <c r="DH529" s="1"/>
      <c r="DI529" s="1"/>
      <c r="DJ529" s="1"/>
      <c r="DK529" s="1"/>
      <c r="DL529" s="1"/>
      <c r="DM529" s="1"/>
      <c r="DN529" s="1"/>
      <c r="DO529" s="1"/>
      <c r="DP529" s="1"/>
      <c r="DQ529" s="1"/>
      <c r="DR529" s="1"/>
      <c r="DS529" s="1"/>
      <c r="DT529" s="1"/>
      <c r="DU529" s="1"/>
      <c r="DV529" s="1"/>
      <c r="DW529" s="1"/>
      <c r="DX529" s="1"/>
      <c r="DY529" s="1"/>
      <c r="DZ529" s="1"/>
      <c r="EA529" s="1"/>
      <c r="EB529" s="1"/>
      <c r="EC529" s="1"/>
      <c r="ED529" s="1"/>
      <c r="EE529" s="1"/>
      <c r="EF529" s="1"/>
      <c r="EG529" s="1"/>
      <c r="EH529" s="1"/>
      <c r="EI529" s="1"/>
      <c r="EJ529" s="1"/>
      <c r="EK529" s="1"/>
      <c r="EL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c r="BR530" s="1"/>
      <c r="BS530" s="1"/>
      <c r="BT530" s="1"/>
      <c r="BU530" s="1"/>
      <c r="BV530" s="1"/>
      <c r="BW530" s="1"/>
      <c r="BX530" s="1"/>
      <c r="BY530" s="1"/>
      <c r="BZ530" s="1"/>
      <c r="CA530" s="1"/>
      <c r="CB530" s="1"/>
      <c r="CC530" s="1"/>
      <c r="CD530" s="1"/>
      <c r="CE530" s="1"/>
      <c r="CF530" s="1"/>
      <c r="CG530" s="1"/>
      <c r="CH530" s="1"/>
      <c r="CI530" s="1"/>
      <c r="CJ530" s="1"/>
      <c r="CK530" s="1"/>
      <c r="CL530" s="1"/>
      <c r="CM530" s="1"/>
      <c r="CN530" s="1"/>
      <c r="CO530" s="1"/>
      <c r="CP530" s="1"/>
      <c r="CQ530" s="1"/>
      <c r="CR530" s="1"/>
      <c r="CS530" s="1"/>
      <c r="CT530" s="1"/>
      <c r="CU530" s="1"/>
      <c r="CV530" s="1"/>
      <c r="CW530" s="1"/>
      <c r="CX530" s="1"/>
      <c r="CY530" s="1"/>
      <c r="CZ530" s="1"/>
      <c r="DA530" s="1"/>
      <c r="DB530" s="1"/>
      <c r="DC530" s="1"/>
      <c r="DD530" s="1"/>
      <c r="DE530" s="1"/>
      <c r="DF530" s="1"/>
      <c r="DG530" s="1"/>
      <c r="DH530" s="1"/>
      <c r="DI530" s="1"/>
      <c r="DJ530" s="1"/>
      <c r="DK530" s="1"/>
      <c r="DL530" s="1"/>
      <c r="DM530" s="1"/>
      <c r="DN530" s="1"/>
      <c r="DO530" s="1"/>
      <c r="DP530" s="1"/>
      <c r="DQ530" s="1"/>
      <c r="DR530" s="1"/>
      <c r="DS530" s="1"/>
      <c r="DT530" s="1"/>
      <c r="DU530" s="1"/>
      <c r="DV530" s="1"/>
      <c r="DW530" s="1"/>
      <c r="DX530" s="1"/>
      <c r="DY530" s="1"/>
      <c r="DZ530" s="1"/>
      <c r="EA530" s="1"/>
      <c r="EB530" s="1"/>
      <c r="EC530" s="1"/>
      <c r="ED530" s="1"/>
      <c r="EE530" s="1"/>
      <c r="EF530" s="1"/>
      <c r="EG530" s="1"/>
      <c r="EH530" s="1"/>
      <c r="EI530" s="1"/>
      <c r="EJ530" s="1"/>
      <c r="EK530" s="1"/>
      <c r="EL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c r="BR531" s="1"/>
      <c r="BS531" s="1"/>
      <c r="BT531" s="1"/>
      <c r="BU531" s="1"/>
      <c r="BV531" s="1"/>
      <c r="BW531" s="1"/>
      <c r="BX531" s="1"/>
      <c r="BY531" s="1"/>
      <c r="BZ531" s="1"/>
      <c r="CA531" s="1"/>
      <c r="CB531" s="1"/>
      <c r="CC531" s="1"/>
      <c r="CD531" s="1"/>
      <c r="CE531" s="1"/>
      <c r="CF531" s="1"/>
      <c r="CG531" s="1"/>
      <c r="CH531" s="1"/>
      <c r="CI531" s="1"/>
      <c r="CJ531" s="1"/>
      <c r="CK531" s="1"/>
      <c r="CL531" s="1"/>
      <c r="CM531" s="1"/>
      <c r="CN531" s="1"/>
      <c r="CO531" s="1"/>
      <c r="CP531" s="1"/>
      <c r="CQ531" s="1"/>
      <c r="CR531" s="1"/>
      <c r="CS531" s="1"/>
      <c r="CT531" s="1"/>
      <c r="CU531" s="1"/>
      <c r="CV531" s="1"/>
      <c r="CW531" s="1"/>
      <c r="CX531" s="1"/>
      <c r="CY531" s="1"/>
      <c r="CZ531" s="1"/>
      <c r="DA531" s="1"/>
      <c r="DB531" s="1"/>
      <c r="DC531" s="1"/>
      <c r="DD531" s="1"/>
      <c r="DE531" s="1"/>
      <c r="DF531" s="1"/>
      <c r="DG531" s="1"/>
      <c r="DH531" s="1"/>
      <c r="DI531" s="1"/>
      <c r="DJ531" s="1"/>
      <c r="DK531" s="1"/>
      <c r="DL531" s="1"/>
      <c r="DM531" s="1"/>
      <c r="DN531" s="1"/>
      <c r="DO531" s="1"/>
      <c r="DP531" s="1"/>
      <c r="DQ531" s="1"/>
      <c r="DR531" s="1"/>
      <c r="DS531" s="1"/>
      <c r="DT531" s="1"/>
      <c r="DU531" s="1"/>
      <c r="DV531" s="1"/>
      <c r="DW531" s="1"/>
      <c r="DX531" s="1"/>
      <c r="DY531" s="1"/>
      <c r="DZ531" s="1"/>
      <c r="EA531" s="1"/>
      <c r="EB531" s="1"/>
      <c r="EC531" s="1"/>
      <c r="ED531" s="1"/>
      <c r="EE531" s="1"/>
      <c r="EF531" s="1"/>
      <c r="EG531" s="1"/>
      <c r="EH531" s="1"/>
      <c r="EI531" s="1"/>
      <c r="EJ531" s="1"/>
      <c r="EK531" s="1"/>
      <c r="EL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c r="BR532" s="1"/>
      <c r="BS532" s="1"/>
      <c r="BT532" s="1"/>
      <c r="BU532" s="1"/>
      <c r="BV532" s="1"/>
      <c r="BW532" s="1"/>
      <c r="BX532" s="1"/>
      <c r="BY532" s="1"/>
      <c r="BZ532" s="1"/>
      <c r="CA532" s="1"/>
      <c r="CB532" s="1"/>
      <c r="CC532" s="1"/>
      <c r="CD532" s="1"/>
      <c r="CE532" s="1"/>
      <c r="CF532" s="1"/>
      <c r="CG532" s="1"/>
      <c r="CH532" s="1"/>
      <c r="CI532" s="1"/>
      <c r="CJ532" s="1"/>
      <c r="CK532" s="1"/>
      <c r="CL532" s="1"/>
      <c r="CM532" s="1"/>
      <c r="CN532" s="1"/>
      <c r="CO532" s="1"/>
      <c r="CP532" s="1"/>
      <c r="CQ532" s="1"/>
      <c r="CR532" s="1"/>
      <c r="CS532" s="1"/>
      <c r="CT532" s="1"/>
      <c r="CU532" s="1"/>
      <c r="CV532" s="1"/>
      <c r="CW532" s="1"/>
      <c r="CX532" s="1"/>
      <c r="CY532" s="1"/>
      <c r="CZ532" s="1"/>
      <c r="DA532" s="1"/>
      <c r="DB532" s="1"/>
      <c r="DC532" s="1"/>
      <c r="DD532" s="1"/>
      <c r="DE532" s="1"/>
      <c r="DF532" s="1"/>
      <c r="DG532" s="1"/>
      <c r="DH532" s="1"/>
      <c r="DI532" s="1"/>
      <c r="DJ532" s="1"/>
      <c r="DK532" s="1"/>
      <c r="DL532" s="1"/>
      <c r="DM532" s="1"/>
      <c r="DN532" s="1"/>
      <c r="DO532" s="1"/>
      <c r="DP532" s="1"/>
      <c r="DQ532" s="1"/>
      <c r="DR532" s="1"/>
      <c r="DS532" s="1"/>
      <c r="DT532" s="1"/>
      <c r="DU532" s="1"/>
      <c r="DV532" s="1"/>
      <c r="DW532" s="1"/>
      <c r="DX532" s="1"/>
      <c r="DY532" s="1"/>
      <c r="DZ532" s="1"/>
      <c r="EA532" s="1"/>
      <c r="EB532" s="1"/>
      <c r="EC532" s="1"/>
      <c r="ED532" s="1"/>
      <c r="EE532" s="1"/>
      <c r="EF532" s="1"/>
      <c r="EG532" s="1"/>
      <c r="EH532" s="1"/>
      <c r="EI532" s="1"/>
      <c r="EJ532" s="1"/>
      <c r="EK532" s="1"/>
      <c r="EL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c r="BR533" s="1"/>
      <c r="BS533" s="1"/>
      <c r="BT533" s="1"/>
      <c r="BU533" s="1"/>
      <c r="BV533" s="1"/>
      <c r="BW533" s="1"/>
      <c r="BX533" s="1"/>
      <c r="BY533" s="1"/>
      <c r="BZ533" s="1"/>
      <c r="CA533" s="1"/>
      <c r="CB533" s="1"/>
      <c r="CC533" s="1"/>
      <c r="CD533" s="1"/>
      <c r="CE533" s="1"/>
      <c r="CF533" s="1"/>
      <c r="CG533" s="1"/>
      <c r="CH533" s="1"/>
      <c r="CI533" s="1"/>
      <c r="CJ533" s="1"/>
      <c r="CK533" s="1"/>
      <c r="CL533" s="1"/>
      <c r="CM533" s="1"/>
      <c r="CN533" s="1"/>
      <c r="CO533" s="1"/>
      <c r="CP533" s="1"/>
      <c r="CQ533" s="1"/>
      <c r="CR533" s="1"/>
      <c r="CS533" s="1"/>
      <c r="CT533" s="1"/>
      <c r="CU533" s="1"/>
      <c r="CV533" s="1"/>
      <c r="CW533" s="1"/>
      <c r="CX533" s="1"/>
      <c r="CY533" s="1"/>
      <c r="CZ533" s="1"/>
      <c r="DA533" s="1"/>
      <c r="DB533" s="1"/>
      <c r="DC533" s="1"/>
      <c r="DD533" s="1"/>
      <c r="DE533" s="1"/>
      <c r="DF533" s="1"/>
      <c r="DG533" s="1"/>
      <c r="DH533" s="1"/>
      <c r="DI533" s="1"/>
      <c r="DJ533" s="1"/>
      <c r="DK533" s="1"/>
      <c r="DL533" s="1"/>
      <c r="DM533" s="1"/>
      <c r="DN533" s="1"/>
      <c r="DO533" s="1"/>
      <c r="DP533" s="1"/>
      <c r="DQ533" s="1"/>
      <c r="DR533" s="1"/>
      <c r="DS533" s="1"/>
      <c r="DT533" s="1"/>
      <c r="DU533" s="1"/>
      <c r="DV533" s="1"/>
      <c r="DW533" s="1"/>
      <c r="DX533" s="1"/>
      <c r="DY533" s="1"/>
      <c r="DZ533" s="1"/>
      <c r="EA533" s="1"/>
      <c r="EB533" s="1"/>
      <c r="EC533" s="1"/>
      <c r="ED533" s="1"/>
      <c r="EE533" s="1"/>
      <c r="EF533" s="1"/>
      <c r="EG533" s="1"/>
      <c r="EH533" s="1"/>
      <c r="EI533" s="1"/>
      <c r="EJ533" s="1"/>
      <c r="EK533" s="1"/>
      <c r="EL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c r="BR534" s="1"/>
      <c r="BS534" s="1"/>
      <c r="BT534" s="1"/>
      <c r="BU534" s="1"/>
      <c r="BV534" s="1"/>
      <c r="BW534" s="1"/>
      <c r="BX534" s="1"/>
      <c r="BY534" s="1"/>
      <c r="BZ534" s="1"/>
      <c r="CA534" s="1"/>
      <c r="CB534" s="1"/>
      <c r="CC534" s="1"/>
      <c r="CD534" s="1"/>
      <c r="CE534" s="1"/>
      <c r="CF534" s="1"/>
      <c r="CG534" s="1"/>
      <c r="CH534" s="1"/>
      <c r="CI534" s="1"/>
      <c r="CJ534" s="1"/>
      <c r="CK534" s="1"/>
      <c r="CL534" s="1"/>
      <c r="CM534" s="1"/>
      <c r="CN534" s="1"/>
      <c r="CO534" s="1"/>
      <c r="CP534" s="1"/>
      <c r="CQ534" s="1"/>
      <c r="CR534" s="1"/>
      <c r="CS534" s="1"/>
      <c r="CT534" s="1"/>
      <c r="CU534" s="1"/>
      <c r="CV534" s="1"/>
      <c r="CW534" s="1"/>
      <c r="CX534" s="1"/>
      <c r="CY534" s="1"/>
      <c r="CZ534" s="1"/>
      <c r="DA534" s="1"/>
      <c r="DB534" s="1"/>
      <c r="DC534" s="1"/>
      <c r="DD534" s="1"/>
      <c r="DE534" s="1"/>
      <c r="DF534" s="1"/>
      <c r="DG534" s="1"/>
      <c r="DH534" s="1"/>
      <c r="DI534" s="1"/>
      <c r="DJ534" s="1"/>
      <c r="DK534" s="1"/>
      <c r="DL534" s="1"/>
      <c r="DM534" s="1"/>
      <c r="DN534" s="1"/>
      <c r="DO534" s="1"/>
      <c r="DP534" s="1"/>
      <c r="DQ534" s="1"/>
      <c r="DR534" s="1"/>
      <c r="DS534" s="1"/>
      <c r="DT534" s="1"/>
      <c r="DU534" s="1"/>
      <c r="DV534" s="1"/>
      <c r="DW534" s="1"/>
      <c r="DX534" s="1"/>
      <c r="DY534" s="1"/>
      <c r="DZ534" s="1"/>
      <c r="EA534" s="1"/>
      <c r="EB534" s="1"/>
      <c r="EC534" s="1"/>
      <c r="ED534" s="1"/>
      <c r="EE534" s="1"/>
      <c r="EF534" s="1"/>
      <c r="EG534" s="1"/>
      <c r="EH534" s="1"/>
      <c r="EI534" s="1"/>
      <c r="EJ534" s="1"/>
      <c r="EK534" s="1"/>
      <c r="EL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c r="BR535" s="1"/>
      <c r="BS535" s="1"/>
      <c r="BT535" s="1"/>
      <c r="BU535" s="1"/>
      <c r="BV535" s="1"/>
      <c r="BW535" s="1"/>
      <c r="BX535" s="1"/>
      <c r="BY535" s="1"/>
      <c r="BZ535" s="1"/>
      <c r="CA535" s="1"/>
      <c r="CB535" s="1"/>
      <c r="CC535" s="1"/>
      <c r="CD535" s="1"/>
      <c r="CE535" s="1"/>
      <c r="CF535" s="1"/>
      <c r="CG535" s="1"/>
      <c r="CH535" s="1"/>
      <c r="CI535" s="1"/>
      <c r="CJ535" s="1"/>
      <c r="CK535" s="1"/>
      <c r="CL535" s="1"/>
      <c r="CM535" s="1"/>
      <c r="CN535" s="1"/>
      <c r="CO535" s="1"/>
      <c r="CP535" s="1"/>
      <c r="CQ535" s="1"/>
      <c r="CR535" s="1"/>
      <c r="CS535" s="1"/>
      <c r="CT535" s="1"/>
      <c r="CU535" s="1"/>
      <c r="CV535" s="1"/>
      <c r="CW535" s="1"/>
      <c r="CX535" s="1"/>
      <c r="CY535" s="1"/>
      <c r="CZ535" s="1"/>
      <c r="DA535" s="1"/>
      <c r="DB535" s="1"/>
      <c r="DC535" s="1"/>
      <c r="DD535" s="1"/>
      <c r="DE535" s="1"/>
      <c r="DF535" s="1"/>
      <c r="DG535" s="1"/>
      <c r="DH535" s="1"/>
      <c r="DI535" s="1"/>
      <c r="DJ535" s="1"/>
      <c r="DK535" s="1"/>
      <c r="DL535" s="1"/>
      <c r="DM535" s="1"/>
      <c r="DN535" s="1"/>
      <c r="DO535" s="1"/>
      <c r="DP535" s="1"/>
      <c r="DQ535" s="1"/>
      <c r="DR535" s="1"/>
      <c r="DS535" s="1"/>
      <c r="DT535" s="1"/>
      <c r="DU535" s="1"/>
      <c r="DV535" s="1"/>
      <c r="DW535" s="1"/>
      <c r="DX535" s="1"/>
      <c r="DY535" s="1"/>
      <c r="DZ535" s="1"/>
      <c r="EA535" s="1"/>
      <c r="EB535" s="1"/>
      <c r="EC535" s="1"/>
      <c r="ED535" s="1"/>
      <c r="EE535" s="1"/>
      <c r="EF535" s="1"/>
      <c r="EG535" s="1"/>
      <c r="EH535" s="1"/>
      <c r="EI535" s="1"/>
      <c r="EJ535" s="1"/>
      <c r="EK535" s="1"/>
      <c r="EL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c r="BR536" s="1"/>
      <c r="BS536" s="1"/>
      <c r="BT536" s="1"/>
      <c r="BU536" s="1"/>
      <c r="BV536" s="1"/>
      <c r="BW536" s="1"/>
      <c r="BX536" s="1"/>
      <c r="BY536" s="1"/>
      <c r="BZ536" s="1"/>
      <c r="CA536" s="1"/>
      <c r="CB536" s="1"/>
      <c r="CC536" s="1"/>
      <c r="CD536" s="1"/>
      <c r="CE536" s="1"/>
      <c r="CF536" s="1"/>
      <c r="CG536" s="1"/>
      <c r="CH536" s="1"/>
      <c r="CI536" s="1"/>
      <c r="CJ536" s="1"/>
      <c r="CK536" s="1"/>
      <c r="CL536" s="1"/>
      <c r="CM536" s="1"/>
      <c r="CN536" s="1"/>
      <c r="CO536" s="1"/>
      <c r="CP536" s="1"/>
      <c r="CQ536" s="1"/>
      <c r="CR536" s="1"/>
      <c r="CS536" s="1"/>
      <c r="CT536" s="1"/>
      <c r="CU536" s="1"/>
      <c r="CV536" s="1"/>
      <c r="CW536" s="1"/>
      <c r="CX536" s="1"/>
      <c r="CY536" s="1"/>
      <c r="CZ536" s="1"/>
      <c r="DA536" s="1"/>
      <c r="DB536" s="1"/>
      <c r="DC536" s="1"/>
      <c r="DD536" s="1"/>
      <c r="DE536" s="1"/>
      <c r="DF536" s="1"/>
      <c r="DG536" s="1"/>
      <c r="DH536" s="1"/>
      <c r="DI536" s="1"/>
      <c r="DJ536" s="1"/>
      <c r="DK536" s="1"/>
      <c r="DL536" s="1"/>
      <c r="DM536" s="1"/>
      <c r="DN536" s="1"/>
      <c r="DO536" s="1"/>
      <c r="DP536" s="1"/>
      <c r="DQ536" s="1"/>
      <c r="DR536" s="1"/>
      <c r="DS536" s="1"/>
      <c r="DT536" s="1"/>
      <c r="DU536" s="1"/>
      <c r="DV536" s="1"/>
      <c r="DW536" s="1"/>
      <c r="DX536" s="1"/>
      <c r="DY536" s="1"/>
      <c r="DZ536" s="1"/>
      <c r="EA536" s="1"/>
      <c r="EB536" s="1"/>
      <c r="EC536" s="1"/>
      <c r="ED536" s="1"/>
      <c r="EE536" s="1"/>
      <c r="EF536" s="1"/>
      <c r="EG536" s="1"/>
      <c r="EH536" s="1"/>
      <c r="EI536" s="1"/>
      <c r="EJ536" s="1"/>
      <c r="EK536" s="1"/>
      <c r="EL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c r="BR537" s="1"/>
      <c r="BS537" s="1"/>
      <c r="BT537" s="1"/>
      <c r="BU537" s="1"/>
      <c r="BV537" s="1"/>
      <c r="BW537" s="1"/>
      <c r="BX537" s="1"/>
      <c r="BY537" s="1"/>
      <c r="BZ537" s="1"/>
      <c r="CA537" s="1"/>
      <c r="CB537" s="1"/>
      <c r="CC537" s="1"/>
      <c r="CD537" s="1"/>
      <c r="CE537" s="1"/>
      <c r="CF537" s="1"/>
      <c r="CG537" s="1"/>
      <c r="CH537" s="1"/>
      <c r="CI537" s="1"/>
      <c r="CJ537" s="1"/>
      <c r="CK537" s="1"/>
      <c r="CL537" s="1"/>
      <c r="CM537" s="1"/>
      <c r="CN537" s="1"/>
      <c r="CO537" s="1"/>
      <c r="CP537" s="1"/>
      <c r="CQ537" s="1"/>
      <c r="CR537" s="1"/>
      <c r="CS537" s="1"/>
      <c r="CT537" s="1"/>
      <c r="CU537" s="1"/>
      <c r="CV537" s="1"/>
      <c r="CW537" s="1"/>
      <c r="CX537" s="1"/>
      <c r="CY537" s="1"/>
      <c r="CZ537" s="1"/>
      <c r="DA537" s="1"/>
      <c r="DB537" s="1"/>
      <c r="DC537" s="1"/>
      <c r="DD537" s="1"/>
      <c r="DE537" s="1"/>
      <c r="DF537" s="1"/>
      <c r="DG537" s="1"/>
      <c r="DH537" s="1"/>
      <c r="DI537" s="1"/>
      <c r="DJ537" s="1"/>
      <c r="DK537" s="1"/>
      <c r="DL537" s="1"/>
      <c r="DM537" s="1"/>
      <c r="DN537" s="1"/>
      <c r="DO537" s="1"/>
      <c r="DP537" s="1"/>
      <c r="DQ537" s="1"/>
      <c r="DR537" s="1"/>
      <c r="DS537" s="1"/>
      <c r="DT537" s="1"/>
      <c r="DU537" s="1"/>
      <c r="DV537" s="1"/>
      <c r="DW537" s="1"/>
      <c r="DX537" s="1"/>
      <c r="DY537" s="1"/>
      <c r="DZ537" s="1"/>
      <c r="EA537" s="1"/>
      <c r="EB537" s="1"/>
      <c r="EC537" s="1"/>
      <c r="ED537" s="1"/>
      <c r="EE537" s="1"/>
      <c r="EF537" s="1"/>
      <c r="EG537" s="1"/>
      <c r="EH537" s="1"/>
      <c r="EI537" s="1"/>
      <c r="EJ537" s="1"/>
      <c r="EK537" s="1"/>
      <c r="EL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c r="BR538" s="1"/>
      <c r="BS538" s="1"/>
      <c r="BT538" s="1"/>
      <c r="BU538" s="1"/>
      <c r="BV538" s="1"/>
      <c r="BW538" s="1"/>
      <c r="BX538" s="1"/>
      <c r="BY538" s="1"/>
      <c r="BZ538" s="1"/>
      <c r="CA538" s="1"/>
      <c r="CB538" s="1"/>
      <c r="CC538" s="1"/>
      <c r="CD538" s="1"/>
      <c r="CE538" s="1"/>
      <c r="CF538" s="1"/>
      <c r="CG538" s="1"/>
      <c r="CH538" s="1"/>
      <c r="CI538" s="1"/>
      <c r="CJ538" s="1"/>
      <c r="CK538" s="1"/>
      <c r="CL538" s="1"/>
      <c r="CM538" s="1"/>
      <c r="CN538" s="1"/>
      <c r="CO538" s="1"/>
      <c r="CP538" s="1"/>
      <c r="CQ538" s="1"/>
      <c r="CR538" s="1"/>
      <c r="CS538" s="1"/>
      <c r="CT538" s="1"/>
      <c r="CU538" s="1"/>
      <c r="CV538" s="1"/>
      <c r="CW538" s="1"/>
      <c r="CX538" s="1"/>
      <c r="CY538" s="1"/>
      <c r="CZ538" s="1"/>
      <c r="DA538" s="1"/>
      <c r="DB538" s="1"/>
      <c r="DC538" s="1"/>
      <c r="DD538" s="1"/>
      <c r="DE538" s="1"/>
      <c r="DF538" s="1"/>
      <c r="DG538" s="1"/>
      <c r="DH538" s="1"/>
      <c r="DI538" s="1"/>
      <c r="DJ538" s="1"/>
      <c r="DK538" s="1"/>
      <c r="DL538" s="1"/>
      <c r="DM538" s="1"/>
      <c r="DN538" s="1"/>
      <c r="DO538" s="1"/>
      <c r="DP538" s="1"/>
      <c r="DQ538" s="1"/>
      <c r="DR538" s="1"/>
      <c r="DS538" s="1"/>
      <c r="DT538" s="1"/>
      <c r="DU538" s="1"/>
      <c r="DV538" s="1"/>
      <c r="DW538" s="1"/>
      <c r="DX538" s="1"/>
      <c r="DY538" s="1"/>
      <c r="DZ538" s="1"/>
      <c r="EA538" s="1"/>
      <c r="EB538" s="1"/>
      <c r="EC538" s="1"/>
      <c r="ED538" s="1"/>
      <c r="EE538" s="1"/>
      <c r="EF538" s="1"/>
      <c r="EG538" s="1"/>
      <c r="EH538" s="1"/>
      <c r="EI538" s="1"/>
      <c r="EJ538" s="1"/>
      <c r="EK538" s="1"/>
      <c r="EL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c r="BR539" s="1"/>
      <c r="BS539" s="1"/>
      <c r="BT539" s="1"/>
      <c r="BU539" s="1"/>
      <c r="BV539" s="1"/>
      <c r="BW539" s="1"/>
      <c r="BX539" s="1"/>
      <c r="BY539" s="1"/>
      <c r="BZ539" s="1"/>
      <c r="CA539" s="1"/>
      <c r="CB539" s="1"/>
      <c r="CC539" s="1"/>
      <c r="CD539" s="1"/>
      <c r="CE539" s="1"/>
      <c r="CF539" s="1"/>
      <c r="CG539" s="1"/>
      <c r="CH539" s="1"/>
      <c r="CI539" s="1"/>
      <c r="CJ539" s="1"/>
      <c r="CK539" s="1"/>
      <c r="CL539" s="1"/>
      <c r="CM539" s="1"/>
      <c r="CN539" s="1"/>
      <c r="CO539" s="1"/>
      <c r="CP539" s="1"/>
      <c r="CQ539" s="1"/>
      <c r="CR539" s="1"/>
      <c r="CS539" s="1"/>
      <c r="CT539" s="1"/>
      <c r="CU539" s="1"/>
      <c r="CV539" s="1"/>
      <c r="CW539" s="1"/>
      <c r="CX539" s="1"/>
      <c r="CY539" s="1"/>
      <c r="CZ539" s="1"/>
      <c r="DA539" s="1"/>
      <c r="DB539" s="1"/>
      <c r="DC539" s="1"/>
      <c r="DD539" s="1"/>
      <c r="DE539" s="1"/>
      <c r="DF539" s="1"/>
      <c r="DG539" s="1"/>
      <c r="DH539" s="1"/>
      <c r="DI539" s="1"/>
      <c r="DJ539" s="1"/>
      <c r="DK539" s="1"/>
      <c r="DL539" s="1"/>
      <c r="DM539" s="1"/>
      <c r="DN539" s="1"/>
      <c r="DO539" s="1"/>
      <c r="DP539" s="1"/>
      <c r="DQ539" s="1"/>
      <c r="DR539" s="1"/>
      <c r="DS539" s="1"/>
      <c r="DT539" s="1"/>
      <c r="DU539" s="1"/>
      <c r="DV539" s="1"/>
      <c r="DW539" s="1"/>
      <c r="DX539" s="1"/>
      <c r="DY539" s="1"/>
      <c r="DZ539" s="1"/>
      <c r="EA539" s="1"/>
      <c r="EB539" s="1"/>
      <c r="EC539" s="1"/>
      <c r="ED539" s="1"/>
      <c r="EE539" s="1"/>
      <c r="EF539" s="1"/>
      <c r="EG539" s="1"/>
      <c r="EH539" s="1"/>
      <c r="EI539" s="1"/>
      <c r="EJ539" s="1"/>
      <c r="EK539" s="1"/>
      <c r="EL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c r="BR540" s="1"/>
      <c r="BS540" s="1"/>
      <c r="BT540" s="1"/>
      <c r="BU540" s="1"/>
      <c r="BV540" s="1"/>
      <c r="BW540" s="1"/>
      <c r="BX540" s="1"/>
      <c r="BY540" s="1"/>
      <c r="BZ540" s="1"/>
      <c r="CA540" s="1"/>
      <c r="CB540" s="1"/>
      <c r="CC540" s="1"/>
      <c r="CD540" s="1"/>
      <c r="CE540" s="1"/>
      <c r="CF540" s="1"/>
      <c r="CG540" s="1"/>
      <c r="CH540" s="1"/>
      <c r="CI540" s="1"/>
      <c r="CJ540" s="1"/>
      <c r="CK540" s="1"/>
      <c r="CL540" s="1"/>
      <c r="CM540" s="1"/>
      <c r="CN540" s="1"/>
      <c r="CO540" s="1"/>
      <c r="CP540" s="1"/>
      <c r="CQ540" s="1"/>
      <c r="CR540" s="1"/>
      <c r="CS540" s="1"/>
      <c r="CT540" s="1"/>
      <c r="CU540" s="1"/>
      <c r="CV540" s="1"/>
      <c r="CW540" s="1"/>
      <c r="CX540" s="1"/>
      <c r="CY540" s="1"/>
      <c r="CZ540" s="1"/>
      <c r="DA540" s="1"/>
      <c r="DB540" s="1"/>
      <c r="DC540" s="1"/>
      <c r="DD540" s="1"/>
      <c r="DE540" s="1"/>
      <c r="DF540" s="1"/>
      <c r="DG540" s="1"/>
      <c r="DH540" s="1"/>
      <c r="DI540" s="1"/>
      <c r="DJ540" s="1"/>
      <c r="DK540" s="1"/>
      <c r="DL540" s="1"/>
      <c r="DM540" s="1"/>
      <c r="DN540" s="1"/>
      <c r="DO540" s="1"/>
      <c r="DP540" s="1"/>
      <c r="DQ540" s="1"/>
      <c r="DR540" s="1"/>
      <c r="DS540" s="1"/>
      <c r="DT540" s="1"/>
      <c r="DU540" s="1"/>
      <c r="DV540" s="1"/>
      <c r="DW540" s="1"/>
      <c r="DX540" s="1"/>
      <c r="DY540" s="1"/>
      <c r="DZ540" s="1"/>
      <c r="EA540" s="1"/>
      <c r="EB540" s="1"/>
      <c r="EC540" s="1"/>
      <c r="ED540" s="1"/>
      <c r="EE540" s="1"/>
      <c r="EF540" s="1"/>
      <c r="EG540" s="1"/>
      <c r="EH540" s="1"/>
      <c r="EI540" s="1"/>
      <c r="EJ540" s="1"/>
      <c r="EK540" s="1"/>
      <c r="EL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c r="BR541" s="1"/>
      <c r="BS541" s="1"/>
      <c r="BT541" s="1"/>
      <c r="BU541" s="1"/>
      <c r="BV541" s="1"/>
      <c r="BW541" s="1"/>
      <c r="BX541" s="1"/>
      <c r="BY541" s="1"/>
      <c r="BZ541" s="1"/>
      <c r="CA541" s="1"/>
      <c r="CB541" s="1"/>
      <c r="CC541" s="1"/>
      <c r="CD541" s="1"/>
      <c r="CE541" s="1"/>
      <c r="CF541" s="1"/>
      <c r="CG541" s="1"/>
      <c r="CH541" s="1"/>
      <c r="CI541" s="1"/>
      <c r="CJ541" s="1"/>
      <c r="CK541" s="1"/>
      <c r="CL541" s="1"/>
      <c r="CM541" s="1"/>
      <c r="CN541" s="1"/>
      <c r="CO541" s="1"/>
      <c r="CP541" s="1"/>
      <c r="CQ541" s="1"/>
      <c r="CR541" s="1"/>
      <c r="CS541" s="1"/>
      <c r="CT541" s="1"/>
      <c r="CU541" s="1"/>
      <c r="CV541" s="1"/>
      <c r="CW541" s="1"/>
      <c r="CX541" s="1"/>
      <c r="CY541" s="1"/>
      <c r="CZ541" s="1"/>
      <c r="DA541" s="1"/>
      <c r="DB541" s="1"/>
      <c r="DC541" s="1"/>
      <c r="DD541" s="1"/>
      <c r="DE541" s="1"/>
      <c r="DF541" s="1"/>
      <c r="DG541" s="1"/>
      <c r="DH541" s="1"/>
      <c r="DI541" s="1"/>
      <c r="DJ541" s="1"/>
      <c r="DK541" s="1"/>
      <c r="DL541" s="1"/>
      <c r="DM541" s="1"/>
      <c r="DN541" s="1"/>
      <c r="DO541" s="1"/>
      <c r="DP541" s="1"/>
      <c r="DQ541" s="1"/>
      <c r="DR541" s="1"/>
      <c r="DS541" s="1"/>
      <c r="DT541" s="1"/>
      <c r="DU541" s="1"/>
      <c r="DV541" s="1"/>
      <c r="DW541" s="1"/>
      <c r="DX541" s="1"/>
      <c r="DY541" s="1"/>
      <c r="DZ541" s="1"/>
      <c r="EA541" s="1"/>
      <c r="EB541" s="1"/>
      <c r="EC541" s="1"/>
      <c r="ED541" s="1"/>
      <c r="EE541" s="1"/>
      <c r="EF541" s="1"/>
      <c r="EG541" s="1"/>
      <c r="EH541" s="1"/>
      <c r="EI541" s="1"/>
      <c r="EJ541" s="1"/>
      <c r="EK541" s="1"/>
      <c r="EL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c r="BR542" s="1"/>
      <c r="BS542" s="1"/>
      <c r="BT542" s="1"/>
      <c r="BU542" s="1"/>
      <c r="BV542" s="1"/>
      <c r="BW542" s="1"/>
      <c r="BX542" s="1"/>
      <c r="BY542" s="1"/>
      <c r="BZ542" s="1"/>
      <c r="CA542" s="1"/>
      <c r="CB542" s="1"/>
      <c r="CC542" s="1"/>
      <c r="CD542" s="1"/>
      <c r="CE542" s="1"/>
      <c r="CF542" s="1"/>
      <c r="CG542" s="1"/>
      <c r="CH542" s="1"/>
      <c r="CI542" s="1"/>
      <c r="CJ542" s="1"/>
      <c r="CK542" s="1"/>
      <c r="CL542" s="1"/>
      <c r="CM542" s="1"/>
      <c r="CN542" s="1"/>
      <c r="CO542" s="1"/>
      <c r="CP542" s="1"/>
      <c r="CQ542" s="1"/>
      <c r="CR542" s="1"/>
      <c r="CS542" s="1"/>
      <c r="CT542" s="1"/>
      <c r="CU542" s="1"/>
      <c r="CV542" s="1"/>
      <c r="CW542" s="1"/>
      <c r="CX542" s="1"/>
      <c r="CY542" s="1"/>
      <c r="CZ542" s="1"/>
      <c r="DA542" s="1"/>
      <c r="DB542" s="1"/>
      <c r="DC542" s="1"/>
      <c r="DD542" s="1"/>
      <c r="DE542" s="1"/>
      <c r="DF542" s="1"/>
      <c r="DG542" s="1"/>
      <c r="DH542" s="1"/>
      <c r="DI542" s="1"/>
      <c r="DJ542" s="1"/>
      <c r="DK542" s="1"/>
      <c r="DL542" s="1"/>
      <c r="DM542" s="1"/>
      <c r="DN542" s="1"/>
      <c r="DO542" s="1"/>
      <c r="DP542" s="1"/>
      <c r="DQ542" s="1"/>
      <c r="DR542" s="1"/>
      <c r="DS542" s="1"/>
      <c r="DT542" s="1"/>
      <c r="DU542" s="1"/>
      <c r="DV542" s="1"/>
      <c r="DW542" s="1"/>
      <c r="DX542" s="1"/>
      <c r="DY542" s="1"/>
      <c r="DZ542" s="1"/>
      <c r="EA542" s="1"/>
      <c r="EB542" s="1"/>
      <c r="EC542" s="1"/>
      <c r="ED542" s="1"/>
      <c r="EE542" s="1"/>
      <c r="EF542" s="1"/>
      <c r="EG542" s="1"/>
      <c r="EH542" s="1"/>
      <c r="EI542" s="1"/>
      <c r="EJ542" s="1"/>
      <c r="EK542" s="1"/>
      <c r="EL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c r="BR543" s="1"/>
      <c r="BS543" s="1"/>
      <c r="BT543" s="1"/>
      <c r="BU543" s="1"/>
      <c r="BV543" s="1"/>
      <c r="BW543" s="1"/>
      <c r="BX543" s="1"/>
      <c r="BY543" s="1"/>
      <c r="BZ543" s="1"/>
      <c r="CA543" s="1"/>
      <c r="CB543" s="1"/>
      <c r="CC543" s="1"/>
      <c r="CD543" s="1"/>
      <c r="CE543" s="1"/>
      <c r="CF543" s="1"/>
      <c r="CG543" s="1"/>
      <c r="CH543" s="1"/>
      <c r="CI543" s="1"/>
      <c r="CJ543" s="1"/>
      <c r="CK543" s="1"/>
      <c r="CL543" s="1"/>
      <c r="CM543" s="1"/>
      <c r="CN543" s="1"/>
      <c r="CO543" s="1"/>
      <c r="CP543" s="1"/>
      <c r="CQ543" s="1"/>
      <c r="CR543" s="1"/>
      <c r="CS543" s="1"/>
      <c r="CT543" s="1"/>
      <c r="CU543" s="1"/>
      <c r="CV543" s="1"/>
      <c r="CW543" s="1"/>
      <c r="CX543" s="1"/>
      <c r="CY543" s="1"/>
      <c r="CZ543" s="1"/>
      <c r="DA543" s="1"/>
      <c r="DB543" s="1"/>
      <c r="DC543" s="1"/>
      <c r="DD543" s="1"/>
      <c r="DE543" s="1"/>
      <c r="DF543" s="1"/>
      <c r="DG543" s="1"/>
      <c r="DH543" s="1"/>
      <c r="DI543" s="1"/>
      <c r="DJ543" s="1"/>
      <c r="DK543" s="1"/>
      <c r="DL543" s="1"/>
      <c r="DM543" s="1"/>
      <c r="DN543" s="1"/>
      <c r="DO543" s="1"/>
      <c r="DP543" s="1"/>
      <c r="DQ543" s="1"/>
      <c r="DR543" s="1"/>
      <c r="DS543" s="1"/>
      <c r="DT543" s="1"/>
      <c r="DU543" s="1"/>
      <c r="DV543" s="1"/>
      <c r="DW543" s="1"/>
      <c r="DX543" s="1"/>
      <c r="DY543" s="1"/>
      <c r="DZ543" s="1"/>
      <c r="EA543" s="1"/>
      <c r="EB543" s="1"/>
      <c r="EC543" s="1"/>
      <c r="ED543" s="1"/>
      <c r="EE543" s="1"/>
      <c r="EF543" s="1"/>
      <c r="EG543" s="1"/>
      <c r="EH543" s="1"/>
      <c r="EI543" s="1"/>
      <c r="EJ543" s="1"/>
      <c r="EK543" s="1"/>
      <c r="EL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c r="BR544" s="1"/>
      <c r="BS544" s="1"/>
      <c r="BT544" s="1"/>
      <c r="BU544" s="1"/>
      <c r="BV544" s="1"/>
      <c r="BW544" s="1"/>
      <c r="BX544" s="1"/>
      <c r="BY544" s="1"/>
      <c r="BZ544" s="1"/>
      <c r="CA544" s="1"/>
      <c r="CB544" s="1"/>
      <c r="CC544" s="1"/>
      <c r="CD544" s="1"/>
      <c r="CE544" s="1"/>
      <c r="CF544" s="1"/>
      <c r="CG544" s="1"/>
      <c r="CH544" s="1"/>
      <c r="CI544" s="1"/>
      <c r="CJ544" s="1"/>
      <c r="CK544" s="1"/>
      <c r="CL544" s="1"/>
      <c r="CM544" s="1"/>
      <c r="CN544" s="1"/>
      <c r="CO544" s="1"/>
      <c r="CP544" s="1"/>
      <c r="CQ544" s="1"/>
      <c r="CR544" s="1"/>
      <c r="CS544" s="1"/>
      <c r="CT544" s="1"/>
      <c r="CU544" s="1"/>
      <c r="CV544" s="1"/>
      <c r="CW544" s="1"/>
      <c r="CX544" s="1"/>
      <c r="CY544" s="1"/>
      <c r="CZ544" s="1"/>
      <c r="DA544" s="1"/>
      <c r="DB544" s="1"/>
      <c r="DC544" s="1"/>
      <c r="DD544" s="1"/>
      <c r="DE544" s="1"/>
      <c r="DF544" s="1"/>
      <c r="DG544" s="1"/>
      <c r="DH544" s="1"/>
      <c r="DI544" s="1"/>
      <c r="DJ544" s="1"/>
      <c r="DK544" s="1"/>
      <c r="DL544" s="1"/>
      <c r="DM544" s="1"/>
      <c r="DN544" s="1"/>
      <c r="DO544" s="1"/>
      <c r="DP544" s="1"/>
      <c r="DQ544" s="1"/>
      <c r="DR544" s="1"/>
      <c r="DS544" s="1"/>
      <c r="DT544" s="1"/>
      <c r="DU544" s="1"/>
      <c r="DV544" s="1"/>
      <c r="DW544" s="1"/>
      <c r="DX544" s="1"/>
      <c r="DY544" s="1"/>
      <c r="DZ544" s="1"/>
      <c r="EA544" s="1"/>
      <c r="EB544" s="1"/>
      <c r="EC544" s="1"/>
      <c r="ED544" s="1"/>
      <c r="EE544" s="1"/>
      <c r="EF544" s="1"/>
      <c r="EG544" s="1"/>
      <c r="EH544" s="1"/>
      <c r="EI544" s="1"/>
      <c r="EJ544" s="1"/>
      <c r="EK544" s="1"/>
      <c r="EL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c r="BR545" s="1"/>
      <c r="BS545" s="1"/>
      <c r="BT545" s="1"/>
      <c r="BU545" s="1"/>
      <c r="BV545" s="1"/>
      <c r="BW545" s="1"/>
      <c r="BX545" s="1"/>
      <c r="BY545" s="1"/>
      <c r="BZ545" s="1"/>
      <c r="CA545" s="1"/>
      <c r="CB545" s="1"/>
      <c r="CC545" s="1"/>
      <c r="CD545" s="1"/>
      <c r="CE545" s="1"/>
      <c r="CF545" s="1"/>
      <c r="CG545" s="1"/>
      <c r="CH545" s="1"/>
      <c r="CI545" s="1"/>
      <c r="CJ545" s="1"/>
      <c r="CK545" s="1"/>
      <c r="CL545" s="1"/>
      <c r="CM545" s="1"/>
      <c r="CN545" s="1"/>
      <c r="CO545" s="1"/>
      <c r="CP545" s="1"/>
      <c r="CQ545" s="1"/>
      <c r="CR545" s="1"/>
      <c r="CS545" s="1"/>
      <c r="CT545" s="1"/>
      <c r="CU545" s="1"/>
      <c r="CV545" s="1"/>
      <c r="CW545" s="1"/>
      <c r="CX545" s="1"/>
      <c r="CY545" s="1"/>
      <c r="CZ545" s="1"/>
      <c r="DA545" s="1"/>
      <c r="DB545" s="1"/>
      <c r="DC545" s="1"/>
      <c r="DD545" s="1"/>
      <c r="DE545" s="1"/>
      <c r="DF545" s="1"/>
      <c r="DG545" s="1"/>
      <c r="DH545" s="1"/>
      <c r="DI545" s="1"/>
      <c r="DJ545" s="1"/>
      <c r="DK545" s="1"/>
      <c r="DL545" s="1"/>
      <c r="DM545" s="1"/>
      <c r="DN545" s="1"/>
      <c r="DO545" s="1"/>
      <c r="DP545" s="1"/>
      <c r="DQ545" s="1"/>
      <c r="DR545" s="1"/>
      <c r="DS545" s="1"/>
      <c r="DT545" s="1"/>
      <c r="DU545" s="1"/>
      <c r="DV545" s="1"/>
      <c r="DW545" s="1"/>
      <c r="DX545" s="1"/>
      <c r="DY545" s="1"/>
      <c r="DZ545" s="1"/>
      <c r="EA545" s="1"/>
      <c r="EB545" s="1"/>
      <c r="EC545" s="1"/>
      <c r="ED545" s="1"/>
      <c r="EE545" s="1"/>
      <c r="EF545" s="1"/>
      <c r="EG545" s="1"/>
      <c r="EH545" s="1"/>
      <c r="EI545" s="1"/>
      <c r="EJ545" s="1"/>
      <c r="EK545" s="1"/>
      <c r="EL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c r="BR546" s="1"/>
      <c r="BS546" s="1"/>
      <c r="BT546" s="1"/>
      <c r="BU546" s="1"/>
      <c r="BV546" s="1"/>
      <c r="BW546" s="1"/>
      <c r="BX546" s="1"/>
      <c r="BY546" s="1"/>
      <c r="BZ546" s="1"/>
      <c r="CA546" s="1"/>
      <c r="CB546" s="1"/>
      <c r="CC546" s="1"/>
      <c r="CD546" s="1"/>
      <c r="CE546" s="1"/>
      <c r="CF546" s="1"/>
      <c r="CG546" s="1"/>
      <c r="CH546" s="1"/>
      <c r="CI546" s="1"/>
      <c r="CJ546" s="1"/>
      <c r="CK546" s="1"/>
      <c r="CL546" s="1"/>
      <c r="CM546" s="1"/>
      <c r="CN546" s="1"/>
      <c r="CO546" s="1"/>
      <c r="CP546" s="1"/>
      <c r="CQ546" s="1"/>
      <c r="CR546" s="1"/>
      <c r="CS546" s="1"/>
      <c r="CT546" s="1"/>
      <c r="CU546" s="1"/>
      <c r="CV546" s="1"/>
      <c r="CW546" s="1"/>
      <c r="CX546" s="1"/>
      <c r="CY546" s="1"/>
      <c r="CZ546" s="1"/>
      <c r="DA546" s="1"/>
      <c r="DB546" s="1"/>
      <c r="DC546" s="1"/>
      <c r="DD546" s="1"/>
      <c r="DE546" s="1"/>
      <c r="DF546" s="1"/>
      <c r="DG546" s="1"/>
      <c r="DH546" s="1"/>
      <c r="DI546" s="1"/>
      <c r="DJ546" s="1"/>
      <c r="DK546" s="1"/>
      <c r="DL546" s="1"/>
      <c r="DM546" s="1"/>
      <c r="DN546" s="1"/>
      <c r="DO546" s="1"/>
      <c r="DP546" s="1"/>
      <c r="DQ546" s="1"/>
      <c r="DR546" s="1"/>
      <c r="DS546" s="1"/>
      <c r="DT546" s="1"/>
      <c r="DU546" s="1"/>
      <c r="DV546" s="1"/>
      <c r="DW546" s="1"/>
      <c r="DX546" s="1"/>
      <c r="DY546" s="1"/>
      <c r="DZ546" s="1"/>
      <c r="EA546" s="1"/>
      <c r="EB546" s="1"/>
      <c r="EC546" s="1"/>
      <c r="ED546" s="1"/>
      <c r="EE546" s="1"/>
      <c r="EF546" s="1"/>
      <c r="EG546" s="1"/>
      <c r="EH546" s="1"/>
      <c r="EI546" s="1"/>
      <c r="EJ546" s="1"/>
      <c r="EK546" s="1"/>
      <c r="EL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c r="BR547" s="1"/>
      <c r="BS547" s="1"/>
      <c r="BT547" s="1"/>
      <c r="BU547" s="1"/>
      <c r="BV547" s="1"/>
      <c r="BW547" s="1"/>
      <c r="BX547" s="1"/>
      <c r="BY547" s="1"/>
      <c r="BZ547" s="1"/>
      <c r="CA547" s="1"/>
      <c r="CB547" s="1"/>
      <c r="CC547" s="1"/>
      <c r="CD547" s="1"/>
      <c r="CE547" s="1"/>
      <c r="CF547" s="1"/>
      <c r="CG547" s="1"/>
      <c r="CH547" s="1"/>
      <c r="CI547" s="1"/>
      <c r="CJ547" s="1"/>
      <c r="CK547" s="1"/>
      <c r="CL547" s="1"/>
      <c r="CM547" s="1"/>
      <c r="CN547" s="1"/>
      <c r="CO547" s="1"/>
      <c r="CP547" s="1"/>
      <c r="CQ547" s="1"/>
      <c r="CR547" s="1"/>
      <c r="CS547" s="1"/>
      <c r="CT547" s="1"/>
      <c r="CU547" s="1"/>
      <c r="CV547" s="1"/>
      <c r="CW547" s="1"/>
      <c r="CX547" s="1"/>
      <c r="CY547" s="1"/>
      <c r="CZ547" s="1"/>
      <c r="DA547" s="1"/>
      <c r="DB547" s="1"/>
      <c r="DC547" s="1"/>
      <c r="DD547" s="1"/>
      <c r="DE547" s="1"/>
      <c r="DF547" s="1"/>
      <c r="DG547" s="1"/>
      <c r="DH547" s="1"/>
      <c r="DI547" s="1"/>
      <c r="DJ547" s="1"/>
      <c r="DK547" s="1"/>
      <c r="DL547" s="1"/>
      <c r="DM547" s="1"/>
      <c r="DN547" s="1"/>
      <c r="DO547" s="1"/>
      <c r="DP547" s="1"/>
      <c r="DQ547" s="1"/>
      <c r="DR547" s="1"/>
      <c r="DS547" s="1"/>
      <c r="DT547" s="1"/>
      <c r="DU547" s="1"/>
      <c r="DV547" s="1"/>
      <c r="DW547" s="1"/>
      <c r="DX547" s="1"/>
      <c r="DY547" s="1"/>
      <c r="DZ547" s="1"/>
      <c r="EA547" s="1"/>
      <c r="EB547" s="1"/>
      <c r="EC547" s="1"/>
      <c r="ED547" s="1"/>
      <c r="EE547" s="1"/>
      <c r="EF547" s="1"/>
      <c r="EG547" s="1"/>
      <c r="EH547" s="1"/>
      <c r="EI547" s="1"/>
      <c r="EJ547" s="1"/>
      <c r="EK547" s="1"/>
      <c r="EL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c r="BR548" s="1"/>
      <c r="BS548" s="1"/>
      <c r="BT548" s="1"/>
      <c r="BU548" s="1"/>
      <c r="BV548" s="1"/>
      <c r="BW548" s="1"/>
      <c r="BX548" s="1"/>
      <c r="BY548" s="1"/>
      <c r="BZ548" s="1"/>
      <c r="CA548" s="1"/>
      <c r="CB548" s="1"/>
      <c r="CC548" s="1"/>
      <c r="CD548" s="1"/>
      <c r="CE548" s="1"/>
      <c r="CF548" s="1"/>
      <c r="CG548" s="1"/>
      <c r="CH548" s="1"/>
      <c r="CI548" s="1"/>
      <c r="CJ548" s="1"/>
      <c r="CK548" s="1"/>
      <c r="CL548" s="1"/>
      <c r="CM548" s="1"/>
      <c r="CN548" s="1"/>
      <c r="CO548" s="1"/>
      <c r="CP548" s="1"/>
      <c r="CQ548" s="1"/>
      <c r="CR548" s="1"/>
      <c r="CS548" s="1"/>
      <c r="CT548" s="1"/>
      <c r="CU548" s="1"/>
      <c r="CV548" s="1"/>
      <c r="CW548" s="1"/>
      <c r="CX548" s="1"/>
      <c r="CY548" s="1"/>
      <c r="CZ548" s="1"/>
      <c r="DA548" s="1"/>
      <c r="DB548" s="1"/>
      <c r="DC548" s="1"/>
      <c r="DD548" s="1"/>
      <c r="DE548" s="1"/>
      <c r="DF548" s="1"/>
      <c r="DG548" s="1"/>
      <c r="DH548" s="1"/>
      <c r="DI548" s="1"/>
      <c r="DJ548" s="1"/>
      <c r="DK548" s="1"/>
      <c r="DL548" s="1"/>
      <c r="DM548" s="1"/>
      <c r="DN548" s="1"/>
      <c r="DO548" s="1"/>
      <c r="DP548" s="1"/>
      <c r="DQ548" s="1"/>
      <c r="DR548" s="1"/>
      <c r="DS548" s="1"/>
      <c r="DT548" s="1"/>
      <c r="DU548" s="1"/>
      <c r="DV548" s="1"/>
      <c r="DW548" s="1"/>
      <c r="DX548" s="1"/>
      <c r="DY548" s="1"/>
      <c r="DZ548" s="1"/>
      <c r="EA548" s="1"/>
      <c r="EB548" s="1"/>
      <c r="EC548" s="1"/>
      <c r="ED548" s="1"/>
      <c r="EE548" s="1"/>
      <c r="EF548" s="1"/>
      <c r="EG548" s="1"/>
      <c r="EH548" s="1"/>
      <c r="EI548" s="1"/>
      <c r="EJ548" s="1"/>
      <c r="EK548" s="1"/>
      <c r="EL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c r="BR549" s="1"/>
      <c r="BS549" s="1"/>
      <c r="BT549" s="1"/>
      <c r="BU549" s="1"/>
      <c r="BV549" s="1"/>
      <c r="BW549" s="1"/>
      <c r="BX549" s="1"/>
      <c r="BY549" s="1"/>
      <c r="BZ549" s="1"/>
      <c r="CA549" s="1"/>
      <c r="CB549" s="1"/>
      <c r="CC549" s="1"/>
      <c r="CD549" s="1"/>
      <c r="CE549" s="1"/>
      <c r="CF549" s="1"/>
      <c r="CG549" s="1"/>
      <c r="CH549" s="1"/>
      <c r="CI549" s="1"/>
      <c r="CJ549" s="1"/>
      <c r="CK549" s="1"/>
      <c r="CL549" s="1"/>
      <c r="CM549" s="1"/>
      <c r="CN549" s="1"/>
      <c r="CO549" s="1"/>
      <c r="CP549" s="1"/>
      <c r="CQ549" s="1"/>
      <c r="CR549" s="1"/>
      <c r="CS549" s="1"/>
      <c r="CT549" s="1"/>
      <c r="CU549" s="1"/>
      <c r="CV549" s="1"/>
      <c r="CW549" s="1"/>
      <c r="CX549" s="1"/>
      <c r="CY549" s="1"/>
      <c r="CZ549" s="1"/>
      <c r="DA549" s="1"/>
      <c r="DB549" s="1"/>
      <c r="DC549" s="1"/>
      <c r="DD549" s="1"/>
      <c r="DE549" s="1"/>
      <c r="DF549" s="1"/>
      <c r="DG549" s="1"/>
      <c r="DH549" s="1"/>
      <c r="DI549" s="1"/>
      <c r="DJ549" s="1"/>
      <c r="DK549" s="1"/>
      <c r="DL549" s="1"/>
      <c r="DM549" s="1"/>
      <c r="DN549" s="1"/>
      <c r="DO549" s="1"/>
      <c r="DP549" s="1"/>
      <c r="DQ549" s="1"/>
      <c r="DR549" s="1"/>
      <c r="DS549" s="1"/>
      <c r="DT549" s="1"/>
      <c r="DU549" s="1"/>
      <c r="DV549" s="1"/>
      <c r="DW549" s="1"/>
      <c r="DX549" s="1"/>
      <c r="DY549" s="1"/>
      <c r="DZ549" s="1"/>
      <c r="EA549" s="1"/>
      <c r="EB549" s="1"/>
      <c r="EC549" s="1"/>
      <c r="ED549" s="1"/>
      <c r="EE549" s="1"/>
      <c r="EF549" s="1"/>
      <c r="EG549" s="1"/>
      <c r="EH549" s="1"/>
      <c r="EI549" s="1"/>
      <c r="EJ549" s="1"/>
      <c r="EK549" s="1"/>
      <c r="EL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c r="BR550" s="1"/>
      <c r="BS550" s="1"/>
      <c r="BT550" s="1"/>
      <c r="BU550" s="1"/>
      <c r="BV550" s="1"/>
      <c r="BW550" s="1"/>
      <c r="BX550" s="1"/>
      <c r="BY550" s="1"/>
      <c r="BZ550" s="1"/>
      <c r="CA550" s="1"/>
      <c r="CB550" s="1"/>
      <c r="CC550" s="1"/>
      <c r="CD550" s="1"/>
      <c r="CE550" s="1"/>
      <c r="CF550" s="1"/>
      <c r="CG550" s="1"/>
      <c r="CH550" s="1"/>
      <c r="CI550" s="1"/>
      <c r="CJ550" s="1"/>
      <c r="CK550" s="1"/>
      <c r="CL550" s="1"/>
      <c r="CM550" s="1"/>
      <c r="CN550" s="1"/>
      <c r="CO550" s="1"/>
      <c r="CP550" s="1"/>
      <c r="CQ550" s="1"/>
      <c r="CR550" s="1"/>
      <c r="CS550" s="1"/>
      <c r="CT550" s="1"/>
      <c r="CU550" s="1"/>
      <c r="CV550" s="1"/>
      <c r="CW550" s="1"/>
      <c r="CX550" s="1"/>
      <c r="CY550" s="1"/>
      <c r="CZ550" s="1"/>
      <c r="DA550" s="1"/>
      <c r="DB550" s="1"/>
      <c r="DC550" s="1"/>
      <c r="DD550" s="1"/>
      <c r="DE550" s="1"/>
      <c r="DF550" s="1"/>
      <c r="DG550" s="1"/>
      <c r="DH550" s="1"/>
      <c r="DI550" s="1"/>
      <c r="DJ550" s="1"/>
      <c r="DK550" s="1"/>
      <c r="DL550" s="1"/>
      <c r="DM550" s="1"/>
      <c r="DN550" s="1"/>
      <c r="DO550" s="1"/>
      <c r="DP550" s="1"/>
      <c r="DQ550" s="1"/>
      <c r="DR550" s="1"/>
      <c r="DS550" s="1"/>
      <c r="DT550" s="1"/>
      <c r="DU550" s="1"/>
      <c r="DV550" s="1"/>
      <c r="DW550" s="1"/>
      <c r="DX550" s="1"/>
      <c r="DY550" s="1"/>
      <c r="DZ550" s="1"/>
      <c r="EA550" s="1"/>
      <c r="EB550" s="1"/>
      <c r="EC550" s="1"/>
      <c r="ED550" s="1"/>
      <c r="EE550" s="1"/>
      <c r="EF550" s="1"/>
      <c r="EG550" s="1"/>
      <c r="EH550" s="1"/>
      <c r="EI550" s="1"/>
      <c r="EJ550" s="1"/>
      <c r="EK550" s="1"/>
      <c r="EL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c r="BR551" s="1"/>
      <c r="BS551" s="1"/>
      <c r="BT551" s="1"/>
      <c r="BU551" s="1"/>
      <c r="BV551" s="1"/>
      <c r="BW551" s="1"/>
      <c r="BX551" s="1"/>
      <c r="BY551" s="1"/>
      <c r="BZ551" s="1"/>
      <c r="CA551" s="1"/>
      <c r="CB551" s="1"/>
      <c r="CC551" s="1"/>
      <c r="CD551" s="1"/>
      <c r="CE551" s="1"/>
      <c r="CF551" s="1"/>
      <c r="CG551" s="1"/>
      <c r="CH551" s="1"/>
      <c r="CI551" s="1"/>
      <c r="CJ551" s="1"/>
      <c r="CK551" s="1"/>
      <c r="CL551" s="1"/>
      <c r="CM551" s="1"/>
      <c r="CN551" s="1"/>
      <c r="CO551" s="1"/>
      <c r="CP551" s="1"/>
      <c r="CQ551" s="1"/>
      <c r="CR551" s="1"/>
      <c r="CS551" s="1"/>
      <c r="CT551" s="1"/>
      <c r="CU551" s="1"/>
      <c r="CV551" s="1"/>
      <c r="CW551" s="1"/>
      <c r="CX551" s="1"/>
      <c r="CY551" s="1"/>
      <c r="CZ551" s="1"/>
      <c r="DA551" s="1"/>
      <c r="DB551" s="1"/>
      <c r="DC551" s="1"/>
      <c r="DD551" s="1"/>
      <c r="DE551" s="1"/>
      <c r="DF551" s="1"/>
      <c r="DG551" s="1"/>
      <c r="DH551" s="1"/>
      <c r="DI551" s="1"/>
      <c r="DJ551" s="1"/>
      <c r="DK551" s="1"/>
      <c r="DL551" s="1"/>
      <c r="DM551" s="1"/>
      <c r="DN551" s="1"/>
      <c r="DO551" s="1"/>
      <c r="DP551" s="1"/>
      <c r="DQ551" s="1"/>
      <c r="DR551" s="1"/>
      <c r="DS551" s="1"/>
      <c r="DT551" s="1"/>
      <c r="DU551" s="1"/>
      <c r="DV551" s="1"/>
      <c r="DW551" s="1"/>
      <c r="DX551" s="1"/>
      <c r="DY551" s="1"/>
      <c r="DZ551" s="1"/>
      <c r="EA551" s="1"/>
      <c r="EB551" s="1"/>
      <c r="EC551" s="1"/>
      <c r="ED551" s="1"/>
      <c r="EE551" s="1"/>
      <c r="EF551" s="1"/>
      <c r="EG551" s="1"/>
      <c r="EH551" s="1"/>
      <c r="EI551" s="1"/>
      <c r="EJ551" s="1"/>
      <c r="EK551" s="1"/>
      <c r="EL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c r="BR552" s="1"/>
      <c r="BS552" s="1"/>
      <c r="BT552" s="1"/>
      <c r="BU552" s="1"/>
      <c r="BV552" s="1"/>
      <c r="BW552" s="1"/>
      <c r="BX552" s="1"/>
      <c r="BY552" s="1"/>
      <c r="BZ552" s="1"/>
      <c r="CA552" s="1"/>
      <c r="CB552" s="1"/>
      <c r="CC552" s="1"/>
      <c r="CD552" s="1"/>
      <c r="CE552" s="1"/>
      <c r="CF552" s="1"/>
      <c r="CG552" s="1"/>
      <c r="CH552" s="1"/>
      <c r="CI552" s="1"/>
      <c r="CJ552" s="1"/>
      <c r="CK552" s="1"/>
      <c r="CL552" s="1"/>
      <c r="CM552" s="1"/>
      <c r="CN552" s="1"/>
      <c r="CO552" s="1"/>
      <c r="CP552" s="1"/>
      <c r="CQ552" s="1"/>
      <c r="CR552" s="1"/>
      <c r="CS552" s="1"/>
      <c r="CT552" s="1"/>
      <c r="CU552" s="1"/>
      <c r="CV552" s="1"/>
      <c r="CW552" s="1"/>
      <c r="CX552" s="1"/>
      <c r="CY552" s="1"/>
      <c r="CZ552" s="1"/>
      <c r="DA552" s="1"/>
      <c r="DB552" s="1"/>
      <c r="DC552" s="1"/>
      <c r="DD552" s="1"/>
      <c r="DE552" s="1"/>
      <c r="DF552" s="1"/>
      <c r="DG552" s="1"/>
      <c r="DH552" s="1"/>
      <c r="DI552" s="1"/>
      <c r="DJ552" s="1"/>
      <c r="DK552" s="1"/>
      <c r="DL552" s="1"/>
      <c r="DM552" s="1"/>
      <c r="DN552" s="1"/>
      <c r="DO552" s="1"/>
      <c r="DP552" s="1"/>
      <c r="DQ552" s="1"/>
      <c r="DR552" s="1"/>
      <c r="DS552" s="1"/>
      <c r="DT552" s="1"/>
      <c r="DU552" s="1"/>
      <c r="DV552" s="1"/>
      <c r="DW552" s="1"/>
      <c r="DX552" s="1"/>
      <c r="DY552" s="1"/>
      <c r="DZ552" s="1"/>
      <c r="EA552" s="1"/>
      <c r="EB552" s="1"/>
      <c r="EC552" s="1"/>
      <c r="ED552" s="1"/>
      <c r="EE552" s="1"/>
      <c r="EF552" s="1"/>
      <c r="EG552" s="1"/>
      <c r="EH552" s="1"/>
      <c r="EI552" s="1"/>
      <c r="EJ552" s="1"/>
      <c r="EK552" s="1"/>
      <c r="EL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c r="BR553" s="1"/>
      <c r="BS553" s="1"/>
      <c r="BT553" s="1"/>
      <c r="BU553" s="1"/>
      <c r="BV553" s="1"/>
      <c r="BW553" s="1"/>
      <c r="BX553" s="1"/>
      <c r="BY553" s="1"/>
      <c r="BZ553" s="1"/>
      <c r="CA553" s="1"/>
      <c r="CB553" s="1"/>
      <c r="CC553" s="1"/>
      <c r="CD553" s="1"/>
      <c r="CE553" s="1"/>
      <c r="CF553" s="1"/>
      <c r="CG553" s="1"/>
      <c r="CH553" s="1"/>
      <c r="CI553" s="1"/>
      <c r="CJ553" s="1"/>
      <c r="CK553" s="1"/>
      <c r="CL553" s="1"/>
      <c r="CM553" s="1"/>
      <c r="CN553" s="1"/>
      <c r="CO553" s="1"/>
      <c r="CP553" s="1"/>
      <c r="CQ553" s="1"/>
      <c r="CR553" s="1"/>
      <c r="CS553" s="1"/>
      <c r="CT553" s="1"/>
      <c r="CU553" s="1"/>
      <c r="CV553" s="1"/>
      <c r="CW553" s="1"/>
      <c r="CX553" s="1"/>
      <c r="CY553" s="1"/>
      <c r="CZ553" s="1"/>
      <c r="DA553" s="1"/>
      <c r="DB553" s="1"/>
      <c r="DC553" s="1"/>
      <c r="DD553" s="1"/>
      <c r="DE553" s="1"/>
      <c r="DF553" s="1"/>
      <c r="DG553" s="1"/>
      <c r="DH553" s="1"/>
      <c r="DI553" s="1"/>
      <c r="DJ553" s="1"/>
      <c r="DK553" s="1"/>
      <c r="DL553" s="1"/>
      <c r="DM553" s="1"/>
      <c r="DN553" s="1"/>
      <c r="DO553" s="1"/>
      <c r="DP553" s="1"/>
      <c r="DQ553" s="1"/>
      <c r="DR553" s="1"/>
      <c r="DS553" s="1"/>
      <c r="DT553" s="1"/>
      <c r="DU553" s="1"/>
      <c r="DV553" s="1"/>
      <c r="DW553" s="1"/>
      <c r="DX553" s="1"/>
      <c r="DY553" s="1"/>
      <c r="DZ553" s="1"/>
      <c r="EA553" s="1"/>
      <c r="EB553" s="1"/>
      <c r="EC553" s="1"/>
      <c r="ED553" s="1"/>
      <c r="EE553" s="1"/>
      <c r="EF553" s="1"/>
      <c r="EG553" s="1"/>
      <c r="EH553" s="1"/>
      <c r="EI553" s="1"/>
      <c r="EJ553" s="1"/>
      <c r="EK553" s="1"/>
      <c r="EL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c r="BR554" s="1"/>
      <c r="BS554" s="1"/>
      <c r="BT554" s="1"/>
      <c r="BU554" s="1"/>
      <c r="BV554" s="1"/>
      <c r="BW554" s="1"/>
      <c r="BX554" s="1"/>
      <c r="BY554" s="1"/>
      <c r="BZ554" s="1"/>
      <c r="CA554" s="1"/>
      <c r="CB554" s="1"/>
      <c r="CC554" s="1"/>
      <c r="CD554" s="1"/>
      <c r="CE554" s="1"/>
      <c r="CF554" s="1"/>
      <c r="CG554" s="1"/>
      <c r="CH554" s="1"/>
      <c r="CI554" s="1"/>
      <c r="CJ554" s="1"/>
      <c r="CK554" s="1"/>
      <c r="CL554" s="1"/>
      <c r="CM554" s="1"/>
      <c r="CN554" s="1"/>
      <c r="CO554" s="1"/>
      <c r="CP554" s="1"/>
      <c r="CQ554" s="1"/>
      <c r="CR554" s="1"/>
      <c r="CS554" s="1"/>
      <c r="CT554" s="1"/>
      <c r="CU554" s="1"/>
      <c r="CV554" s="1"/>
      <c r="CW554" s="1"/>
      <c r="CX554" s="1"/>
      <c r="CY554" s="1"/>
      <c r="CZ554" s="1"/>
      <c r="DA554" s="1"/>
      <c r="DB554" s="1"/>
      <c r="DC554" s="1"/>
      <c r="DD554" s="1"/>
      <c r="DE554" s="1"/>
      <c r="DF554" s="1"/>
      <c r="DG554" s="1"/>
      <c r="DH554" s="1"/>
      <c r="DI554" s="1"/>
      <c r="DJ554" s="1"/>
      <c r="DK554" s="1"/>
      <c r="DL554" s="1"/>
      <c r="DM554" s="1"/>
      <c r="DN554" s="1"/>
      <c r="DO554" s="1"/>
      <c r="DP554" s="1"/>
      <c r="DQ554" s="1"/>
      <c r="DR554" s="1"/>
      <c r="DS554" s="1"/>
      <c r="DT554" s="1"/>
      <c r="DU554" s="1"/>
      <c r="DV554" s="1"/>
      <c r="DW554" s="1"/>
      <c r="DX554" s="1"/>
      <c r="DY554" s="1"/>
      <c r="DZ554" s="1"/>
      <c r="EA554" s="1"/>
      <c r="EB554" s="1"/>
      <c r="EC554" s="1"/>
      <c r="ED554" s="1"/>
      <c r="EE554" s="1"/>
      <c r="EF554" s="1"/>
      <c r="EG554" s="1"/>
      <c r="EH554" s="1"/>
      <c r="EI554" s="1"/>
      <c r="EJ554" s="1"/>
      <c r="EK554" s="1"/>
      <c r="EL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c r="BR555" s="1"/>
      <c r="BS555" s="1"/>
      <c r="BT555" s="1"/>
      <c r="BU555" s="1"/>
      <c r="BV555" s="1"/>
      <c r="BW555" s="1"/>
      <c r="BX555" s="1"/>
      <c r="BY555" s="1"/>
      <c r="BZ555" s="1"/>
      <c r="CA555" s="1"/>
      <c r="CB555" s="1"/>
      <c r="CC555" s="1"/>
      <c r="CD555" s="1"/>
      <c r="CE555" s="1"/>
      <c r="CF555" s="1"/>
      <c r="CG555" s="1"/>
      <c r="CH555" s="1"/>
      <c r="CI555" s="1"/>
      <c r="CJ555" s="1"/>
      <c r="CK555" s="1"/>
      <c r="CL555" s="1"/>
      <c r="CM555" s="1"/>
      <c r="CN555" s="1"/>
      <c r="CO555" s="1"/>
      <c r="CP555" s="1"/>
      <c r="CQ555" s="1"/>
      <c r="CR555" s="1"/>
      <c r="CS555" s="1"/>
      <c r="CT555" s="1"/>
      <c r="CU555" s="1"/>
      <c r="CV555" s="1"/>
      <c r="CW555" s="1"/>
      <c r="CX555" s="1"/>
      <c r="CY555" s="1"/>
      <c r="CZ555" s="1"/>
      <c r="DA555" s="1"/>
      <c r="DB555" s="1"/>
      <c r="DC555" s="1"/>
      <c r="DD555" s="1"/>
      <c r="DE555" s="1"/>
      <c r="DF555" s="1"/>
      <c r="DG555" s="1"/>
      <c r="DH555" s="1"/>
      <c r="DI555" s="1"/>
      <c r="DJ555" s="1"/>
      <c r="DK555" s="1"/>
      <c r="DL555" s="1"/>
      <c r="DM555" s="1"/>
      <c r="DN555" s="1"/>
      <c r="DO555" s="1"/>
      <c r="DP555" s="1"/>
      <c r="DQ555" s="1"/>
      <c r="DR555" s="1"/>
      <c r="DS555" s="1"/>
      <c r="DT555" s="1"/>
      <c r="DU555" s="1"/>
      <c r="DV555" s="1"/>
      <c r="DW555" s="1"/>
      <c r="DX555" s="1"/>
      <c r="DY555" s="1"/>
      <c r="DZ555" s="1"/>
      <c r="EA555" s="1"/>
      <c r="EB555" s="1"/>
      <c r="EC555" s="1"/>
      <c r="ED555" s="1"/>
      <c r="EE555" s="1"/>
      <c r="EF555" s="1"/>
      <c r="EG555" s="1"/>
      <c r="EH555" s="1"/>
      <c r="EI555" s="1"/>
      <c r="EJ555" s="1"/>
      <c r="EK555" s="1"/>
      <c r="EL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c r="BR556" s="1"/>
      <c r="BS556" s="1"/>
      <c r="BT556" s="1"/>
      <c r="BU556" s="1"/>
      <c r="BV556" s="1"/>
      <c r="BW556" s="1"/>
      <c r="BX556" s="1"/>
      <c r="BY556" s="1"/>
      <c r="BZ556" s="1"/>
      <c r="CA556" s="1"/>
      <c r="CB556" s="1"/>
      <c r="CC556" s="1"/>
      <c r="CD556" s="1"/>
      <c r="CE556" s="1"/>
      <c r="CF556" s="1"/>
      <c r="CG556" s="1"/>
      <c r="CH556" s="1"/>
      <c r="CI556" s="1"/>
      <c r="CJ556" s="1"/>
      <c r="CK556" s="1"/>
      <c r="CL556" s="1"/>
      <c r="CM556" s="1"/>
      <c r="CN556" s="1"/>
      <c r="CO556" s="1"/>
      <c r="CP556" s="1"/>
      <c r="CQ556" s="1"/>
      <c r="CR556" s="1"/>
      <c r="CS556" s="1"/>
      <c r="CT556" s="1"/>
      <c r="CU556" s="1"/>
      <c r="CV556" s="1"/>
      <c r="CW556" s="1"/>
      <c r="CX556" s="1"/>
      <c r="CY556" s="1"/>
      <c r="CZ556" s="1"/>
      <c r="DA556" s="1"/>
      <c r="DB556" s="1"/>
      <c r="DC556" s="1"/>
      <c r="DD556" s="1"/>
      <c r="DE556" s="1"/>
      <c r="DF556" s="1"/>
      <c r="DG556" s="1"/>
      <c r="DH556" s="1"/>
      <c r="DI556" s="1"/>
      <c r="DJ556" s="1"/>
      <c r="DK556" s="1"/>
      <c r="DL556" s="1"/>
      <c r="DM556" s="1"/>
      <c r="DN556" s="1"/>
      <c r="DO556" s="1"/>
      <c r="DP556" s="1"/>
      <c r="DQ556" s="1"/>
      <c r="DR556" s="1"/>
      <c r="DS556" s="1"/>
      <c r="DT556" s="1"/>
      <c r="DU556" s="1"/>
      <c r="DV556" s="1"/>
      <c r="DW556" s="1"/>
      <c r="DX556" s="1"/>
      <c r="DY556" s="1"/>
      <c r="DZ556" s="1"/>
      <c r="EA556" s="1"/>
      <c r="EB556" s="1"/>
      <c r="EC556" s="1"/>
      <c r="ED556" s="1"/>
      <c r="EE556" s="1"/>
      <c r="EF556" s="1"/>
      <c r="EG556" s="1"/>
      <c r="EH556" s="1"/>
      <c r="EI556" s="1"/>
      <c r="EJ556" s="1"/>
      <c r="EK556" s="1"/>
      <c r="EL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c r="BR557" s="1"/>
      <c r="BS557" s="1"/>
      <c r="BT557" s="1"/>
      <c r="BU557" s="1"/>
      <c r="BV557" s="1"/>
      <c r="BW557" s="1"/>
      <c r="BX557" s="1"/>
      <c r="BY557" s="1"/>
      <c r="BZ557" s="1"/>
      <c r="CA557" s="1"/>
      <c r="CB557" s="1"/>
      <c r="CC557" s="1"/>
      <c r="CD557" s="1"/>
      <c r="CE557" s="1"/>
      <c r="CF557" s="1"/>
      <c r="CG557" s="1"/>
      <c r="CH557" s="1"/>
      <c r="CI557" s="1"/>
      <c r="CJ557" s="1"/>
      <c r="CK557" s="1"/>
      <c r="CL557" s="1"/>
      <c r="CM557" s="1"/>
      <c r="CN557" s="1"/>
      <c r="CO557" s="1"/>
      <c r="CP557" s="1"/>
      <c r="CQ557" s="1"/>
      <c r="CR557" s="1"/>
      <c r="CS557" s="1"/>
      <c r="CT557" s="1"/>
      <c r="CU557" s="1"/>
      <c r="CV557" s="1"/>
      <c r="CW557" s="1"/>
      <c r="CX557" s="1"/>
      <c r="CY557" s="1"/>
      <c r="CZ557" s="1"/>
      <c r="DA557" s="1"/>
      <c r="DB557" s="1"/>
      <c r="DC557" s="1"/>
      <c r="DD557" s="1"/>
      <c r="DE557" s="1"/>
      <c r="DF557" s="1"/>
      <c r="DG557" s="1"/>
      <c r="DH557" s="1"/>
      <c r="DI557" s="1"/>
      <c r="DJ557" s="1"/>
      <c r="DK557" s="1"/>
      <c r="DL557" s="1"/>
      <c r="DM557" s="1"/>
      <c r="DN557" s="1"/>
      <c r="DO557" s="1"/>
      <c r="DP557" s="1"/>
      <c r="DQ557" s="1"/>
      <c r="DR557" s="1"/>
      <c r="DS557" s="1"/>
      <c r="DT557" s="1"/>
      <c r="DU557" s="1"/>
      <c r="DV557" s="1"/>
      <c r="DW557" s="1"/>
      <c r="DX557" s="1"/>
      <c r="DY557" s="1"/>
      <c r="DZ557" s="1"/>
      <c r="EA557" s="1"/>
      <c r="EB557" s="1"/>
      <c r="EC557" s="1"/>
      <c r="ED557" s="1"/>
      <c r="EE557" s="1"/>
      <c r="EF557" s="1"/>
      <c r="EG557" s="1"/>
      <c r="EH557" s="1"/>
      <c r="EI557" s="1"/>
      <c r="EJ557" s="1"/>
      <c r="EK557" s="1"/>
      <c r="EL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c r="BR558" s="1"/>
      <c r="BS558" s="1"/>
      <c r="BT558" s="1"/>
      <c r="BU558" s="1"/>
      <c r="BV558" s="1"/>
      <c r="BW558" s="1"/>
      <c r="BX558" s="1"/>
      <c r="BY558" s="1"/>
      <c r="BZ558" s="1"/>
      <c r="CA558" s="1"/>
      <c r="CB558" s="1"/>
      <c r="CC558" s="1"/>
      <c r="CD558" s="1"/>
      <c r="CE558" s="1"/>
      <c r="CF558" s="1"/>
      <c r="CG558" s="1"/>
      <c r="CH558" s="1"/>
      <c r="CI558" s="1"/>
      <c r="CJ558" s="1"/>
      <c r="CK558" s="1"/>
      <c r="CL558" s="1"/>
      <c r="CM558" s="1"/>
      <c r="CN558" s="1"/>
      <c r="CO558" s="1"/>
      <c r="CP558" s="1"/>
      <c r="CQ558" s="1"/>
      <c r="CR558" s="1"/>
      <c r="CS558" s="1"/>
      <c r="CT558" s="1"/>
      <c r="CU558" s="1"/>
      <c r="CV558" s="1"/>
      <c r="CW558" s="1"/>
      <c r="CX558" s="1"/>
      <c r="CY558" s="1"/>
      <c r="CZ558" s="1"/>
      <c r="DA558" s="1"/>
      <c r="DB558" s="1"/>
      <c r="DC558" s="1"/>
      <c r="DD558" s="1"/>
      <c r="DE558" s="1"/>
      <c r="DF558" s="1"/>
      <c r="DG558" s="1"/>
      <c r="DH558" s="1"/>
      <c r="DI558" s="1"/>
      <c r="DJ558" s="1"/>
      <c r="DK558" s="1"/>
      <c r="DL558" s="1"/>
      <c r="DM558" s="1"/>
      <c r="DN558" s="1"/>
      <c r="DO558" s="1"/>
      <c r="DP558" s="1"/>
      <c r="DQ558" s="1"/>
      <c r="DR558" s="1"/>
      <c r="DS558" s="1"/>
      <c r="DT558" s="1"/>
      <c r="DU558" s="1"/>
      <c r="DV558" s="1"/>
      <c r="DW558" s="1"/>
      <c r="DX558" s="1"/>
      <c r="DY558" s="1"/>
      <c r="DZ558" s="1"/>
      <c r="EA558" s="1"/>
      <c r="EB558" s="1"/>
      <c r="EC558" s="1"/>
      <c r="ED558" s="1"/>
      <c r="EE558" s="1"/>
      <c r="EF558" s="1"/>
      <c r="EG558" s="1"/>
      <c r="EH558" s="1"/>
      <c r="EI558" s="1"/>
      <c r="EJ558" s="1"/>
      <c r="EK558" s="1"/>
      <c r="EL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c r="BR559" s="1"/>
      <c r="BS559" s="1"/>
      <c r="BT559" s="1"/>
      <c r="BU559" s="1"/>
      <c r="BV559" s="1"/>
      <c r="BW559" s="1"/>
      <c r="BX559" s="1"/>
      <c r="BY559" s="1"/>
      <c r="BZ559" s="1"/>
      <c r="CA559" s="1"/>
      <c r="CB559" s="1"/>
      <c r="CC559" s="1"/>
      <c r="CD559" s="1"/>
      <c r="CE559" s="1"/>
      <c r="CF559" s="1"/>
      <c r="CG559" s="1"/>
      <c r="CH559" s="1"/>
      <c r="CI559" s="1"/>
      <c r="CJ559" s="1"/>
      <c r="CK559" s="1"/>
      <c r="CL559" s="1"/>
      <c r="CM559" s="1"/>
      <c r="CN559" s="1"/>
      <c r="CO559" s="1"/>
      <c r="CP559" s="1"/>
      <c r="CQ559" s="1"/>
      <c r="CR559" s="1"/>
      <c r="CS559" s="1"/>
      <c r="CT559" s="1"/>
      <c r="CU559" s="1"/>
      <c r="CV559" s="1"/>
      <c r="CW559" s="1"/>
      <c r="CX559" s="1"/>
      <c r="CY559" s="1"/>
      <c r="CZ559" s="1"/>
      <c r="DA559" s="1"/>
      <c r="DB559" s="1"/>
      <c r="DC559" s="1"/>
      <c r="DD559" s="1"/>
      <c r="DE559" s="1"/>
      <c r="DF559" s="1"/>
      <c r="DG559" s="1"/>
      <c r="DH559" s="1"/>
      <c r="DI559" s="1"/>
      <c r="DJ559" s="1"/>
      <c r="DK559" s="1"/>
      <c r="DL559" s="1"/>
      <c r="DM559" s="1"/>
      <c r="DN559" s="1"/>
      <c r="DO559" s="1"/>
      <c r="DP559" s="1"/>
      <c r="DQ559" s="1"/>
      <c r="DR559" s="1"/>
      <c r="DS559" s="1"/>
      <c r="DT559" s="1"/>
      <c r="DU559" s="1"/>
      <c r="DV559" s="1"/>
      <c r="DW559" s="1"/>
      <c r="DX559" s="1"/>
      <c r="DY559" s="1"/>
      <c r="DZ559" s="1"/>
      <c r="EA559" s="1"/>
      <c r="EB559" s="1"/>
      <c r="EC559" s="1"/>
      <c r="ED559" s="1"/>
      <c r="EE559" s="1"/>
      <c r="EF559" s="1"/>
      <c r="EG559" s="1"/>
      <c r="EH559" s="1"/>
      <c r="EI559" s="1"/>
      <c r="EJ559" s="1"/>
      <c r="EK559" s="1"/>
      <c r="EL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c r="BR560" s="1"/>
      <c r="BS560" s="1"/>
      <c r="BT560" s="1"/>
      <c r="BU560" s="1"/>
      <c r="BV560" s="1"/>
      <c r="BW560" s="1"/>
      <c r="BX560" s="1"/>
      <c r="BY560" s="1"/>
      <c r="BZ560" s="1"/>
      <c r="CA560" s="1"/>
      <c r="CB560" s="1"/>
      <c r="CC560" s="1"/>
      <c r="CD560" s="1"/>
      <c r="CE560" s="1"/>
      <c r="CF560" s="1"/>
      <c r="CG560" s="1"/>
      <c r="CH560" s="1"/>
      <c r="CI560" s="1"/>
      <c r="CJ560" s="1"/>
      <c r="CK560" s="1"/>
      <c r="CL560" s="1"/>
      <c r="CM560" s="1"/>
      <c r="CN560" s="1"/>
      <c r="CO560" s="1"/>
      <c r="CP560" s="1"/>
      <c r="CQ560" s="1"/>
      <c r="CR560" s="1"/>
      <c r="CS560" s="1"/>
      <c r="CT560" s="1"/>
      <c r="CU560" s="1"/>
      <c r="CV560" s="1"/>
      <c r="CW560" s="1"/>
      <c r="CX560" s="1"/>
      <c r="CY560" s="1"/>
      <c r="CZ560" s="1"/>
      <c r="DA560" s="1"/>
      <c r="DB560" s="1"/>
      <c r="DC560" s="1"/>
      <c r="DD560" s="1"/>
      <c r="DE560" s="1"/>
      <c r="DF560" s="1"/>
      <c r="DG560" s="1"/>
      <c r="DH560" s="1"/>
      <c r="DI560" s="1"/>
      <c r="DJ560" s="1"/>
      <c r="DK560" s="1"/>
      <c r="DL560" s="1"/>
      <c r="DM560" s="1"/>
      <c r="DN560" s="1"/>
      <c r="DO560" s="1"/>
      <c r="DP560" s="1"/>
      <c r="DQ560" s="1"/>
      <c r="DR560" s="1"/>
      <c r="DS560" s="1"/>
      <c r="DT560" s="1"/>
      <c r="DU560" s="1"/>
      <c r="DV560" s="1"/>
      <c r="DW560" s="1"/>
      <c r="DX560" s="1"/>
      <c r="DY560" s="1"/>
      <c r="DZ560" s="1"/>
      <c r="EA560" s="1"/>
      <c r="EB560" s="1"/>
      <c r="EC560" s="1"/>
      <c r="ED560" s="1"/>
      <c r="EE560" s="1"/>
      <c r="EF560" s="1"/>
      <c r="EG560" s="1"/>
      <c r="EH560" s="1"/>
      <c r="EI560" s="1"/>
      <c r="EJ560" s="1"/>
      <c r="EK560" s="1"/>
      <c r="EL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c r="BR561" s="1"/>
      <c r="BS561" s="1"/>
      <c r="BT561" s="1"/>
      <c r="BU561" s="1"/>
      <c r="BV561" s="1"/>
      <c r="BW561" s="1"/>
      <c r="BX561" s="1"/>
      <c r="BY561" s="1"/>
      <c r="BZ561" s="1"/>
      <c r="CA561" s="1"/>
      <c r="CB561" s="1"/>
      <c r="CC561" s="1"/>
      <c r="CD561" s="1"/>
      <c r="CE561" s="1"/>
      <c r="CF561" s="1"/>
      <c r="CG561" s="1"/>
      <c r="CH561" s="1"/>
      <c r="CI561" s="1"/>
      <c r="CJ561" s="1"/>
      <c r="CK561" s="1"/>
      <c r="CL561" s="1"/>
      <c r="CM561" s="1"/>
      <c r="CN561" s="1"/>
      <c r="CO561" s="1"/>
      <c r="CP561" s="1"/>
      <c r="CQ561" s="1"/>
      <c r="CR561" s="1"/>
      <c r="CS561" s="1"/>
      <c r="CT561" s="1"/>
      <c r="CU561" s="1"/>
      <c r="CV561" s="1"/>
      <c r="CW561" s="1"/>
      <c r="CX561" s="1"/>
      <c r="CY561" s="1"/>
      <c r="CZ561" s="1"/>
      <c r="DA561" s="1"/>
      <c r="DB561" s="1"/>
      <c r="DC561" s="1"/>
      <c r="DD561" s="1"/>
      <c r="DE561" s="1"/>
      <c r="DF561" s="1"/>
      <c r="DG561" s="1"/>
      <c r="DH561" s="1"/>
      <c r="DI561" s="1"/>
      <c r="DJ561" s="1"/>
      <c r="DK561" s="1"/>
      <c r="DL561" s="1"/>
      <c r="DM561" s="1"/>
      <c r="DN561" s="1"/>
      <c r="DO561" s="1"/>
      <c r="DP561" s="1"/>
      <c r="DQ561" s="1"/>
      <c r="DR561" s="1"/>
      <c r="DS561" s="1"/>
      <c r="DT561" s="1"/>
      <c r="DU561" s="1"/>
      <c r="DV561" s="1"/>
      <c r="DW561" s="1"/>
      <c r="DX561" s="1"/>
      <c r="DY561" s="1"/>
      <c r="DZ561" s="1"/>
      <c r="EA561" s="1"/>
      <c r="EB561" s="1"/>
      <c r="EC561" s="1"/>
      <c r="ED561" s="1"/>
      <c r="EE561" s="1"/>
      <c r="EF561" s="1"/>
      <c r="EG561" s="1"/>
      <c r="EH561" s="1"/>
      <c r="EI561" s="1"/>
      <c r="EJ561" s="1"/>
      <c r="EK561" s="1"/>
      <c r="EL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c r="BR562" s="1"/>
      <c r="BS562" s="1"/>
      <c r="BT562" s="1"/>
      <c r="BU562" s="1"/>
      <c r="BV562" s="1"/>
      <c r="BW562" s="1"/>
      <c r="BX562" s="1"/>
      <c r="BY562" s="1"/>
      <c r="BZ562" s="1"/>
      <c r="CA562" s="1"/>
      <c r="CB562" s="1"/>
      <c r="CC562" s="1"/>
      <c r="CD562" s="1"/>
      <c r="CE562" s="1"/>
      <c r="CF562" s="1"/>
      <c r="CG562" s="1"/>
      <c r="CH562" s="1"/>
      <c r="CI562" s="1"/>
      <c r="CJ562" s="1"/>
      <c r="CK562" s="1"/>
      <c r="CL562" s="1"/>
      <c r="CM562" s="1"/>
      <c r="CN562" s="1"/>
      <c r="CO562" s="1"/>
      <c r="CP562" s="1"/>
      <c r="CQ562" s="1"/>
      <c r="CR562" s="1"/>
      <c r="CS562" s="1"/>
      <c r="CT562" s="1"/>
      <c r="CU562" s="1"/>
      <c r="CV562" s="1"/>
      <c r="CW562" s="1"/>
      <c r="CX562" s="1"/>
      <c r="CY562" s="1"/>
      <c r="CZ562" s="1"/>
      <c r="DA562" s="1"/>
      <c r="DB562" s="1"/>
      <c r="DC562" s="1"/>
      <c r="DD562" s="1"/>
      <c r="DE562" s="1"/>
      <c r="DF562" s="1"/>
      <c r="DG562" s="1"/>
      <c r="DH562" s="1"/>
      <c r="DI562" s="1"/>
      <c r="DJ562" s="1"/>
      <c r="DK562" s="1"/>
      <c r="DL562" s="1"/>
      <c r="DM562" s="1"/>
      <c r="DN562" s="1"/>
      <c r="DO562" s="1"/>
      <c r="DP562" s="1"/>
      <c r="DQ562" s="1"/>
      <c r="DR562" s="1"/>
      <c r="DS562" s="1"/>
      <c r="DT562" s="1"/>
      <c r="DU562" s="1"/>
      <c r="DV562" s="1"/>
      <c r="DW562" s="1"/>
      <c r="DX562" s="1"/>
      <c r="DY562" s="1"/>
      <c r="DZ562" s="1"/>
      <c r="EA562" s="1"/>
      <c r="EB562" s="1"/>
      <c r="EC562" s="1"/>
      <c r="ED562" s="1"/>
      <c r="EE562" s="1"/>
      <c r="EF562" s="1"/>
      <c r="EG562" s="1"/>
      <c r="EH562" s="1"/>
      <c r="EI562" s="1"/>
      <c r="EJ562" s="1"/>
      <c r="EK562" s="1"/>
      <c r="EL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c r="BR563" s="1"/>
      <c r="BS563" s="1"/>
      <c r="BT563" s="1"/>
      <c r="BU563" s="1"/>
      <c r="BV563" s="1"/>
      <c r="BW563" s="1"/>
      <c r="BX563" s="1"/>
      <c r="BY563" s="1"/>
      <c r="BZ563" s="1"/>
      <c r="CA563" s="1"/>
      <c r="CB563" s="1"/>
      <c r="CC563" s="1"/>
      <c r="CD563" s="1"/>
      <c r="CE563" s="1"/>
      <c r="CF563" s="1"/>
      <c r="CG563" s="1"/>
      <c r="CH563" s="1"/>
      <c r="CI563" s="1"/>
      <c r="CJ563" s="1"/>
      <c r="CK563" s="1"/>
      <c r="CL563" s="1"/>
      <c r="CM563" s="1"/>
      <c r="CN563" s="1"/>
      <c r="CO563" s="1"/>
      <c r="CP563" s="1"/>
      <c r="CQ563" s="1"/>
      <c r="CR563" s="1"/>
      <c r="CS563" s="1"/>
      <c r="CT563" s="1"/>
      <c r="CU563" s="1"/>
      <c r="CV563" s="1"/>
      <c r="CW563" s="1"/>
      <c r="CX563" s="1"/>
      <c r="CY563" s="1"/>
      <c r="CZ563" s="1"/>
      <c r="DA563" s="1"/>
      <c r="DB563" s="1"/>
      <c r="DC563" s="1"/>
      <c r="DD563" s="1"/>
      <c r="DE563" s="1"/>
      <c r="DF563" s="1"/>
      <c r="DG563" s="1"/>
      <c r="DH563" s="1"/>
      <c r="DI563" s="1"/>
      <c r="DJ563" s="1"/>
      <c r="DK563" s="1"/>
      <c r="DL563" s="1"/>
      <c r="DM563" s="1"/>
      <c r="DN563" s="1"/>
      <c r="DO563" s="1"/>
      <c r="DP563" s="1"/>
      <c r="DQ563" s="1"/>
      <c r="DR563" s="1"/>
      <c r="DS563" s="1"/>
      <c r="DT563" s="1"/>
      <c r="DU563" s="1"/>
      <c r="DV563" s="1"/>
      <c r="DW563" s="1"/>
      <c r="DX563" s="1"/>
      <c r="DY563" s="1"/>
      <c r="DZ563" s="1"/>
      <c r="EA563" s="1"/>
      <c r="EB563" s="1"/>
      <c r="EC563" s="1"/>
      <c r="ED563" s="1"/>
      <c r="EE563" s="1"/>
      <c r="EF563" s="1"/>
      <c r="EG563" s="1"/>
      <c r="EH563" s="1"/>
      <c r="EI563" s="1"/>
      <c r="EJ563" s="1"/>
      <c r="EK563" s="1"/>
      <c r="EL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c r="BR564" s="1"/>
      <c r="BS564" s="1"/>
      <c r="BT564" s="1"/>
      <c r="BU564" s="1"/>
      <c r="BV564" s="1"/>
      <c r="BW564" s="1"/>
      <c r="BX564" s="1"/>
      <c r="BY564" s="1"/>
      <c r="BZ564" s="1"/>
      <c r="CA564" s="1"/>
      <c r="CB564" s="1"/>
      <c r="CC564" s="1"/>
      <c r="CD564" s="1"/>
      <c r="CE564" s="1"/>
      <c r="CF564" s="1"/>
      <c r="CG564" s="1"/>
      <c r="CH564" s="1"/>
      <c r="CI564" s="1"/>
      <c r="CJ564" s="1"/>
      <c r="CK564" s="1"/>
      <c r="CL564" s="1"/>
      <c r="CM564" s="1"/>
      <c r="CN564" s="1"/>
      <c r="CO564" s="1"/>
      <c r="CP564" s="1"/>
      <c r="CQ564" s="1"/>
      <c r="CR564" s="1"/>
      <c r="CS564" s="1"/>
      <c r="CT564" s="1"/>
      <c r="CU564" s="1"/>
      <c r="CV564" s="1"/>
      <c r="CW564" s="1"/>
      <c r="CX564" s="1"/>
      <c r="CY564" s="1"/>
      <c r="CZ564" s="1"/>
      <c r="DA564" s="1"/>
      <c r="DB564" s="1"/>
      <c r="DC564" s="1"/>
      <c r="DD564" s="1"/>
      <c r="DE564" s="1"/>
      <c r="DF564" s="1"/>
      <c r="DG564" s="1"/>
      <c r="DH564" s="1"/>
      <c r="DI564" s="1"/>
      <c r="DJ564" s="1"/>
      <c r="DK564" s="1"/>
      <c r="DL564" s="1"/>
      <c r="DM564" s="1"/>
      <c r="DN564" s="1"/>
      <c r="DO564" s="1"/>
      <c r="DP564" s="1"/>
      <c r="DQ564" s="1"/>
      <c r="DR564" s="1"/>
      <c r="DS564" s="1"/>
      <c r="DT564" s="1"/>
      <c r="DU564" s="1"/>
      <c r="DV564" s="1"/>
      <c r="DW564" s="1"/>
      <c r="DX564" s="1"/>
      <c r="DY564" s="1"/>
      <c r="DZ564" s="1"/>
      <c r="EA564" s="1"/>
      <c r="EB564" s="1"/>
      <c r="EC564" s="1"/>
      <c r="ED564" s="1"/>
      <c r="EE564" s="1"/>
      <c r="EF564" s="1"/>
      <c r="EG564" s="1"/>
      <c r="EH564" s="1"/>
      <c r="EI564" s="1"/>
      <c r="EJ564" s="1"/>
      <c r="EK564" s="1"/>
      <c r="EL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c r="BR565" s="1"/>
      <c r="BS565" s="1"/>
      <c r="BT565" s="1"/>
      <c r="BU565" s="1"/>
      <c r="BV565" s="1"/>
      <c r="BW565" s="1"/>
      <c r="BX565" s="1"/>
      <c r="BY565" s="1"/>
      <c r="BZ565" s="1"/>
      <c r="CA565" s="1"/>
      <c r="CB565" s="1"/>
      <c r="CC565" s="1"/>
      <c r="CD565" s="1"/>
      <c r="CE565" s="1"/>
      <c r="CF565" s="1"/>
      <c r="CG565" s="1"/>
      <c r="CH565" s="1"/>
      <c r="CI565" s="1"/>
      <c r="CJ565" s="1"/>
      <c r="CK565" s="1"/>
      <c r="CL565" s="1"/>
      <c r="CM565" s="1"/>
      <c r="CN565" s="1"/>
      <c r="CO565" s="1"/>
      <c r="CP565" s="1"/>
      <c r="CQ565" s="1"/>
      <c r="CR565" s="1"/>
      <c r="CS565" s="1"/>
      <c r="CT565" s="1"/>
      <c r="CU565" s="1"/>
      <c r="CV565" s="1"/>
      <c r="CW565" s="1"/>
      <c r="CX565" s="1"/>
      <c r="CY565" s="1"/>
      <c r="CZ565" s="1"/>
      <c r="DA565" s="1"/>
      <c r="DB565" s="1"/>
      <c r="DC565" s="1"/>
      <c r="DD565" s="1"/>
      <c r="DE565" s="1"/>
      <c r="DF565" s="1"/>
      <c r="DG565" s="1"/>
      <c r="DH565" s="1"/>
      <c r="DI565" s="1"/>
      <c r="DJ565" s="1"/>
      <c r="DK565" s="1"/>
      <c r="DL565" s="1"/>
      <c r="DM565" s="1"/>
      <c r="DN565" s="1"/>
      <c r="DO565" s="1"/>
      <c r="DP565" s="1"/>
      <c r="DQ565" s="1"/>
      <c r="DR565" s="1"/>
      <c r="DS565" s="1"/>
      <c r="DT565" s="1"/>
      <c r="DU565" s="1"/>
      <c r="DV565" s="1"/>
      <c r="DW565" s="1"/>
      <c r="DX565" s="1"/>
      <c r="DY565" s="1"/>
      <c r="DZ565" s="1"/>
      <c r="EA565" s="1"/>
      <c r="EB565" s="1"/>
      <c r="EC565" s="1"/>
      <c r="ED565" s="1"/>
      <c r="EE565" s="1"/>
      <c r="EF565" s="1"/>
      <c r="EG565" s="1"/>
      <c r="EH565" s="1"/>
      <c r="EI565" s="1"/>
      <c r="EJ565" s="1"/>
      <c r="EK565" s="1"/>
      <c r="EL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c r="BR566" s="1"/>
      <c r="BS566" s="1"/>
      <c r="BT566" s="1"/>
      <c r="BU566" s="1"/>
      <c r="BV566" s="1"/>
      <c r="BW566" s="1"/>
      <c r="BX566" s="1"/>
      <c r="BY566" s="1"/>
      <c r="BZ566" s="1"/>
      <c r="CA566" s="1"/>
      <c r="CB566" s="1"/>
      <c r="CC566" s="1"/>
      <c r="CD566" s="1"/>
      <c r="CE566" s="1"/>
      <c r="CF566" s="1"/>
      <c r="CG566" s="1"/>
      <c r="CH566" s="1"/>
      <c r="CI566" s="1"/>
      <c r="CJ566" s="1"/>
      <c r="CK566" s="1"/>
      <c r="CL566" s="1"/>
      <c r="CM566" s="1"/>
      <c r="CN566" s="1"/>
      <c r="CO566" s="1"/>
      <c r="CP566" s="1"/>
      <c r="CQ566" s="1"/>
      <c r="CR566" s="1"/>
      <c r="CS566" s="1"/>
      <c r="CT566" s="1"/>
      <c r="CU566" s="1"/>
      <c r="CV566" s="1"/>
      <c r="CW566" s="1"/>
      <c r="CX566" s="1"/>
      <c r="CY566" s="1"/>
      <c r="CZ566" s="1"/>
      <c r="DA566" s="1"/>
      <c r="DB566" s="1"/>
      <c r="DC566" s="1"/>
      <c r="DD566" s="1"/>
      <c r="DE566" s="1"/>
      <c r="DF566" s="1"/>
      <c r="DG566" s="1"/>
      <c r="DH566" s="1"/>
      <c r="DI566" s="1"/>
      <c r="DJ566" s="1"/>
      <c r="DK566" s="1"/>
      <c r="DL566" s="1"/>
      <c r="DM566" s="1"/>
      <c r="DN566" s="1"/>
      <c r="DO566" s="1"/>
      <c r="DP566" s="1"/>
      <c r="DQ566" s="1"/>
      <c r="DR566" s="1"/>
      <c r="DS566" s="1"/>
      <c r="DT566" s="1"/>
      <c r="DU566" s="1"/>
      <c r="DV566" s="1"/>
      <c r="DW566" s="1"/>
      <c r="DX566" s="1"/>
      <c r="DY566" s="1"/>
      <c r="DZ566" s="1"/>
      <c r="EA566" s="1"/>
      <c r="EB566" s="1"/>
      <c r="EC566" s="1"/>
      <c r="ED566" s="1"/>
      <c r="EE566" s="1"/>
      <c r="EF566" s="1"/>
      <c r="EG566" s="1"/>
      <c r="EH566" s="1"/>
      <c r="EI566" s="1"/>
      <c r="EJ566" s="1"/>
      <c r="EK566" s="1"/>
      <c r="EL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c r="BR567" s="1"/>
      <c r="BS567" s="1"/>
      <c r="BT567" s="1"/>
      <c r="BU567" s="1"/>
      <c r="BV567" s="1"/>
      <c r="BW567" s="1"/>
      <c r="BX567" s="1"/>
      <c r="BY567" s="1"/>
      <c r="BZ567" s="1"/>
      <c r="CA567" s="1"/>
      <c r="CB567" s="1"/>
      <c r="CC567" s="1"/>
      <c r="CD567" s="1"/>
      <c r="CE567" s="1"/>
      <c r="CF567" s="1"/>
      <c r="CG567" s="1"/>
      <c r="CH567" s="1"/>
      <c r="CI567" s="1"/>
      <c r="CJ567" s="1"/>
      <c r="CK567" s="1"/>
      <c r="CL567" s="1"/>
      <c r="CM567" s="1"/>
      <c r="CN567" s="1"/>
      <c r="CO567" s="1"/>
      <c r="CP567" s="1"/>
      <c r="CQ567" s="1"/>
      <c r="CR567" s="1"/>
      <c r="CS567" s="1"/>
      <c r="CT567" s="1"/>
      <c r="CU567" s="1"/>
      <c r="CV567" s="1"/>
      <c r="CW567" s="1"/>
      <c r="CX567" s="1"/>
      <c r="CY567" s="1"/>
      <c r="CZ567" s="1"/>
      <c r="DA567" s="1"/>
      <c r="DB567" s="1"/>
      <c r="DC567" s="1"/>
      <c r="DD567" s="1"/>
      <c r="DE567" s="1"/>
      <c r="DF567" s="1"/>
      <c r="DG567" s="1"/>
      <c r="DH567" s="1"/>
      <c r="DI567" s="1"/>
      <c r="DJ567" s="1"/>
      <c r="DK567" s="1"/>
      <c r="DL567" s="1"/>
      <c r="DM567" s="1"/>
      <c r="DN567" s="1"/>
      <c r="DO567" s="1"/>
      <c r="DP567" s="1"/>
      <c r="DQ567" s="1"/>
      <c r="DR567" s="1"/>
      <c r="DS567" s="1"/>
      <c r="DT567" s="1"/>
      <c r="DU567" s="1"/>
      <c r="DV567" s="1"/>
      <c r="DW567" s="1"/>
      <c r="DX567" s="1"/>
      <c r="DY567" s="1"/>
      <c r="DZ567" s="1"/>
      <c r="EA567" s="1"/>
      <c r="EB567" s="1"/>
      <c r="EC567" s="1"/>
      <c r="ED567" s="1"/>
      <c r="EE567" s="1"/>
      <c r="EF567" s="1"/>
      <c r="EG567" s="1"/>
      <c r="EH567" s="1"/>
      <c r="EI567" s="1"/>
      <c r="EJ567" s="1"/>
      <c r="EK567" s="1"/>
      <c r="EL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c r="BR568" s="1"/>
      <c r="BS568" s="1"/>
      <c r="BT568" s="1"/>
      <c r="BU568" s="1"/>
      <c r="BV568" s="1"/>
      <c r="BW568" s="1"/>
      <c r="BX568" s="1"/>
      <c r="BY568" s="1"/>
      <c r="BZ568" s="1"/>
      <c r="CA568" s="1"/>
      <c r="CB568" s="1"/>
      <c r="CC568" s="1"/>
      <c r="CD568" s="1"/>
      <c r="CE568" s="1"/>
      <c r="CF568" s="1"/>
      <c r="CG568" s="1"/>
      <c r="CH568" s="1"/>
      <c r="CI568" s="1"/>
      <c r="CJ568" s="1"/>
      <c r="CK568" s="1"/>
      <c r="CL568" s="1"/>
      <c r="CM568" s="1"/>
      <c r="CN568" s="1"/>
      <c r="CO568" s="1"/>
      <c r="CP568" s="1"/>
      <c r="CQ568" s="1"/>
      <c r="CR568" s="1"/>
      <c r="CS568" s="1"/>
      <c r="CT568" s="1"/>
      <c r="CU568" s="1"/>
      <c r="CV568" s="1"/>
      <c r="CW568" s="1"/>
      <c r="CX568" s="1"/>
      <c r="CY568" s="1"/>
      <c r="CZ568" s="1"/>
      <c r="DA568" s="1"/>
      <c r="DB568" s="1"/>
      <c r="DC568" s="1"/>
      <c r="DD568" s="1"/>
      <c r="DE568" s="1"/>
      <c r="DF568" s="1"/>
      <c r="DG568" s="1"/>
      <c r="DH568" s="1"/>
      <c r="DI568" s="1"/>
      <c r="DJ568" s="1"/>
      <c r="DK568" s="1"/>
      <c r="DL568" s="1"/>
      <c r="DM568" s="1"/>
      <c r="DN568" s="1"/>
      <c r="DO568" s="1"/>
      <c r="DP568" s="1"/>
      <c r="DQ568" s="1"/>
      <c r="DR568" s="1"/>
      <c r="DS568" s="1"/>
      <c r="DT568" s="1"/>
      <c r="DU568" s="1"/>
      <c r="DV568" s="1"/>
      <c r="DW568" s="1"/>
      <c r="DX568" s="1"/>
      <c r="DY568" s="1"/>
      <c r="DZ568" s="1"/>
      <c r="EA568" s="1"/>
      <c r="EB568" s="1"/>
      <c r="EC568" s="1"/>
      <c r="ED568" s="1"/>
      <c r="EE568" s="1"/>
      <c r="EF568" s="1"/>
      <c r="EG568" s="1"/>
      <c r="EH568" s="1"/>
      <c r="EI568" s="1"/>
      <c r="EJ568" s="1"/>
      <c r="EK568" s="1"/>
      <c r="EL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c r="BR569" s="1"/>
      <c r="BS569" s="1"/>
      <c r="BT569" s="1"/>
      <c r="BU569" s="1"/>
      <c r="BV569" s="1"/>
      <c r="BW569" s="1"/>
      <c r="BX569" s="1"/>
      <c r="BY569" s="1"/>
      <c r="BZ569" s="1"/>
      <c r="CA569" s="1"/>
      <c r="CB569" s="1"/>
      <c r="CC569" s="1"/>
      <c r="CD569" s="1"/>
      <c r="CE569" s="1"/>
      <c r="CF569" s="1"/>
      <c r="CG569" s="1"/>
      <c r="CH569" s="1"/>
      <c r="CI569" s="1"/>
      <c r="CJ569" s="1"/>
      <c r="CK569" s="1"/>
      <c r="CL569" s="1"/>
      <c r="CM569" s="1"/>
      <c r="CN569" s="1"/>
      <c r="CO569" s="1"/>
      <c r="CP569" s="1"/>
      <c r="CQ569" s="1"/>
      <c r="CR569" s="1"/>
      <c r="CS569" s="1"/>
      <c r="CT569" s="1"/>
      <c r="CU569" s="1"/>
      <c r="CV569" s="1"/>
      <c r="CW569" s="1"/>
      <c r="CX569" s="1"/>
      <c r="CY569" s="1"/>
      <c r="CZ569" s="1"/>
      <c r="DA569" s="1"/>
      <c r="DB569" s="1"/>
      <c r="DC569" s="1"/>
      <c r="DD569" s="1"/>
      <c r="DE569" s="1"/>
      <c r="DF569" s="1"/>
      <c r="DG569" s="1"/>
      <c r="DH569" s="1"/>
      <c r="DI569" s="1"/>
      <c r="DJ569" s="1"/>
      <c r="DK569" s="1"/>
      <c r="DL569" s="1"/>
      <c r="DM569" s="1"/>
      <c r="DN569" s="1"/>
      <c r="DO569" s="1"/>
      <c r="DP569" s="1"/>
      <c r="DQ569" s="1"/>
      <c r="DR569" s="1"/>
      <c r="DS569" s="1"/>
      <c r="DT569" s="1"/>
      <c r="DU569" s="1"/>
      <c r="DV569" s="1"/>
      <c r="DW569" s="1"/>
      <c r="DX569" s="1"/>
      <c r="DY569" s="1"/>
      <c r="DZ569" s="1"/>
      <c r="EA569" s="1"/>
      <c r="EB569" s="1"/>
      <c r="EC569" s="1"/>
      <c r="ED569" s="1"/>
      <c r="EE569" s="1"/>
      <c r="EF569" s="1"/>
      <c r="EG569" s="1"/>
      <c r="EH569" s="1"/>
      <c r="EI569" s="1"/>
      <c r="EJ569" s="1"/>
      <c r="EK569" s="1"/>
      <c r="EL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c r="BR570" s="1"/>
      <c r="BS570" s="1"/>
      <c r="BT570" s="1"/>
      <c r="BU570" s="1"/>
      <c r="BV570" s="1"/>
      <c r="BW570" s="1"/>
      <c r="BX570" s="1"/>
      <c r="BY570" s="1"/>
      <c r="BZ570" s="1"/>
      <c r="CA570" s="1"/>
      <c r="CB570" s="1"/>
      <c r="CC570" s="1"/>
      <c r="CD570" s="1"/>
      <c r="CE570" s="1"/>
      <c r="CF570" s="1"/>
      <c r="CG570" s="1"/>
      <c r="CH570" s="1"/>
      <c r="CI570" s="1"/>
      <c r="CJ570" s="1"/>
      <c r="CK570" s="1"/>
      <c r="CL570" s="1"/>
      <c r="CM570" s="1"/>
      <c r="CN570" s="1"/>
      <c r="CO570" s="1"/>
      <c r="CP570" s="1"/>
      <c r="CQ570" s="1"/>
      <c r="CR570" s="1"/>
      <c r="CS570" s="1"/>
      <c r="CT570" s="1"/>
      <c r="CU570" s="1"/>
      <c r="CV570" s="1"/>
      <c r="CW570" s="1"/>
      <c r="CX570" s="1"/>
      <c r="CY570" s="1"/>
      <c r="CZ570" s="1"/>
      <c r="DA570" s="1"/>
      <c r="DB570" s="1"/>
      <c r="DC570" s="1"/>
      <c r="DD570" s="1"/>
      <c r="DE570" s="1"/>
      <c r="DF570" s="1"/>
      <c r="DG570" s="1"/>
      <c r="DH570" s="1"/>
      <c r="DI570" s="1"/>
      <c r="DJ570" s="1"/>
      <c r="DK570" s="1"/>
      <c r="DL570" s="1"/>
      <c r="DM570" s="1"/>
      <c r="DN570" s="1"/>
      <c r="DO570" s="1"/>
      <c r="DP570" s="1"/>
      <c r="DQ570" s="1"/>
      <c r="DR570" s="1"/>
      <c r="DS570" s="1"/>
      <c r="DT570" s="1"/>
      <c r="DU570" s="1"/>
      <c r="DV570" s="1"/>
      <c r="DW570" s="1"/>
      <c r="DX570" s="1"/>
      <c r="DY570" s="1"/>
      <c r="DZ570" s="1"/>
      <c r="EA570" s="1"/>
      <c r="EB570" s="1"/>
      <c r="EC570" s="1"/>
      <c r="ED570" s="1"/>
      <c r="EE570" s="1"/>
      <c r="EF570" s="1"/>
      <c r="EG570" s="1"/>
      <c r="EH570" s="1"/>
      <c r="EI570" s="1"/>
      <c r="EJ570" s="1"/>
      <c r="EK570" s="1"/>
      <c r="EL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c r="BR571" s="1"/>
      <c r="BS571" s="1"/>
      <c r="BT571" s="1"/>
      <c r="BU571" s="1"/>
      <c r="BV571" s="1"/>
      <c r="BW571" s="1"/>
      <c r="BX571" s="1"/>
      <c r="BY571" s="1"/>
      <c r="BZ571" s="1"/>
      <c r="CA571" s="1"/>
      <c r="CB571" s="1"/>
      <c r="CC571" s="1"/>
      <c r="CD571" s="1"/>
      <c r="CE571" s="1"/>
      <c r="CF571" s="1"/>
      <c r="CG571" s="1"/>
      <c r="CH571" s="1"/>
      <c r="CI571" s="1"/>
      <c r="CJ571" s="1"/>
      <c r="CK571" s="1"/>
      <c r="CL571" s="1"/>
      <c r="CM571" s="1"/>
      <c r="CN571" s="1"/>
      <c r="CO571" s="1"/>
      <c r="CP571" s="1"/>
      <c r="CQ571" s="1"/>
      <c r="CR571" s="1"/>
      <c r="CS571" s="1"/>
      <c r="CT571" s="1"/>
      <c r="CU571" s="1"/>
      <c r="CV571" s="1"/>
      <c r="CW571" s="1"/>
      <c r="CX571" s="1"/>
      <c r="CY571" s="1"/>
      <c r="CZ571" s="1"/>
      <c r="DA571" s="1"/>
      <c r="DB571" s="1"/>
      <c r="DC571" s="1"/>
      <c r="DD571" s="1"/>
      <c r="DE571" s="1"/>
      <c r="DF571" s="1"/>
      <c r="DG571" s="1"/>
      <c r="DH571" s="1"/>
      <c r="DI571" s="1"/>
      <c r="DJ571" s="1"/>
      <c r="DK571" s="1"/>
      <c r="DL571" s="1"/>
      <c r="DM571" s="1"/>
      <c r="DN571" s="1"/>
      <c r="DO571" s="1"/>
      <c r="DP571" s="1"/>
      <c r="DQ571" s="1"/>
      <c r="DR571" s="1"/>
      <c r="DS571" s="1"/>
      <c r="DT571" s="1"/>
      <c r="DU571" s="1"/>
      <c r="DV571" s="1"/>
      <c r="DW571" s="1"/>
      <c r="DX571" s="1"/>
      <c r="DY571" s="1"/>
      <c r="DZ571" s="1"/>
      <c r="EA571" s="1"/>
      <c r="EB571" s="1"/>
      <c r="EC571" s="1"/>
      <c r="ED571" s="1"/>
      <c r="EE571" s="1"/>
      <c r="EF571" s="1"/>
      <c r="EG571" s="1"/>
      <c r="EH571" s="1"/>
      <c r="EI571" s="1"/>
      <c r="EJ571" s="1"/>
      <c r="EK571" s="1"/>
      <c r="EL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c r="BR572" s="1"/>
      <c r="BS572" s="1"/>
      <c r="BT572" s="1"/>
      <c r="BU572" s="1"/>
      <c r="BV572" s="1"/>
      <c r="BW572" s="1"/>
      <c r="BX572" s="1"/>
      <c r="BY572" s="1"/>
      <c r="BZ572" s="1"/>
      <c r="CA572" s="1"/>
      <c r="CB572" s="1"/>
      <c r="CC572" s="1"/>
      <c r="CD572" s="1"/>
      <c r="CE572" s="1"/>
      <c r="CF572" s="1"/>
      <c r="CG572" s="1"/>
      <c r="CH572" s="1"/>
      <c r="CI572" s="1"/>
      <c r="CJ572" s="1"/>
      <c r="CK572" s="1"/>
      <c r="CL572" s="1"/>
      <c r="CM572" s="1"/>
      <c r="CN572" s="1"/>
      <c r="CO572" s="1"/>
      <c r="CP572" s="1"/>
      <c r="CQ572" s="1"/>
      <c r="CR572" s="1"/>
      <c r="CS572" s="1"/>
      <c r="CT572" s="1"/>
      <c r="CU572" s="1"/>
      <c r="CV572" s="1"/>
      <c r="CW572" s="1"/>
      <c r="CX572" s="1"/>
      <c r="CY572" s="1"/>
      <c r="CZ572" s="1"/>
      <c r="DA572" s="1"/>
      <c r="DB572" s="1"/>
      <c r="DC572" s="1"/>
      <c r="DD572" s="1"/>
      <c r="DE572" s="1"/>
      <c r="DF572" s="1"/>
      <c r="DG572" s="1"/>
      <c r="DH572" s="1"/>
      <c r="DI572" s="1"/>
      <c r="DJ572" s="1"/>
      <c r="DK572" s="1"/>
      <c r="DL572" s="1"/>
      <c r="DM572" s="1"/>
      <c r="DN572" s="1"/>
      <c r="DO572" s="1"/>
      <c r="DP572" s="1"/>
      <c r="DQ572" s="1"/>
      <c r="DR572" s="1"/>
      <c r="DS572" s="1"/>
      <c r="DT572" s="1"/>
      <c r="DU572" s="1"/>
      <c r="DV572" s="1"/>
      <c r="DW572" s="1"/>
      <c r="DX572" s="1"/>
      <c r="DY572" s="1"/>
      <c r="DZ572" s="1"/>
      <c r="EA572" s="1"/>
      <c r="EB572" s="1"/>
      <c r="EC572" s="1"/>
      <c r="ED572" s="1"/>
      <c r="EE572" s="1"/>
      <c r="EF572" s="1"/>
      <c r="EG572" s="1"/>
      <c r="EH572" s="1"/>
      <c r="EI572" s="1"/>
      <c r="EJ572" s="1"/>
      <c r="EK572" s="1"/>
      <c r="EL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c r="BR573" s="1"/>
      <c r="BS573" s="1"/>
      <c r="BT573" s="1"/>
      <c r="BU573" s="1"/>
      <c r="BV573" s="1"/>
      <c r="BW573" s="1"/>
      <c r="BX573" s="1"/>
      <c r="BY573" s="1"/>
      <c r="BZ573" s="1"/>
      <c r="CA573" s="1"/>
      <c r="CB573" s="1"/>
      <c r="CC573" s="1"/>
      <c r="CD573" s="1"/>
      <c r="CE573" s="1"/>
      <c r="CF573" s="1"/>
      <c r="CG573" s="1"/>
      <c r="CH573" s="1"/>
      <c r="CI573" s="1"/>
      <c r="CJ573" s="1"/>
      <c r="CK573" s="1"/>
      <c r="CL573" s="1"/>
      <c r="CM573" s="1"/>
      <c r="CN573" s="1"/>
      <c r="CO573" s="1"/>
      <c r="CP573" s="1"/>
      <c r="CQ573" s="1"/>
      <c r="CR573" s="1"/>
      <c r="CS573" s="1"/>
      <c r="CT573" s="1"/>
      <c r="CU573" s="1"/>
      <c r="CV573" s="1"/>
      <c r="CW573" s="1"/>
      <c r="CX573" s="1"/>
      <c r="CY573" s="1"/>
      <c r="CZ573" s="1"/>
      <c r="DA573" s="1"/>
      <c r="DB573" s="1"/>
      <c r="DC573" s="1"/>
      <c r="DD573" s="1"/>
      <c r="DE573" s="1"/>
      <c r="DF573" s="1"/>
      <c r="DG573" s="1"/>
      <c r="DH573" s="1"/>
      <c r="DI573" s="1"/>
      <c r="DJ573" s="1"/>
      <c r="DK573" s="1"/>
      <c r="DL573" s="1"/>
      <c r="DM573" s="1"/>
      <c r="DN573" s="1"/>
      <c r="DO573" s="1"/>
      <c r="DP573" s="1"/>
      <c r="DQ573" s="1"/>
      <c r="DR573" s="1"/>
      <c r="DS573" s="1"/>
      <c r="DT573" s="1"/>
      <c r="DU573" s="1"/>
      <c r="DV573" s="1"/>
      <c r="DW573" s="1"/>
      <c r="DX573" s="1"/>
      <c r="DY573" s="1"/>
      <c r="DZ573" s="1"/>
      <c r="EA573" s="1"/>
      <c r="EB573" s="1"/>
      <c r="EC573" s="1"/>
      <c r="ED573" s="1"/>
      <c r="EE573" s="1"/>
      <c r="EF573" s="1"/>
      <c r="EG573" s="1"/>
      <c r="EH573" s="1"/>
      <c r="EI573" s="1"/>
      <c r="EJ573" s="1"/>
      <c r="EK573" s="1"/>
      <c r="EL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c r="BR574" s="1"/>
      <c r="BS574" s="1"/>
      <c r="BT574" s="1"/>
      <c r="BU574" s="1"/>
      <c r="BV574" s="1"/>
      <c r="BW574" s="1"/>
      <c r="BX574" s="1"/>
      <c r="BY574" s="1"/>
      <c r="BZ574" s="1"/>
      <c r="CA574" s="1"/>
      <c r="CB574" s="1"/>
      <c r="CC574" s="1"/>
      <c r="CD574" s="1"/>
      <c r="CE574" s="1"/>
      <c r="CF574" s="1"/>
      <c r="CG574" s="1"/>
      <c r="CH574" s="1"/>
      <c r="CI574" s="1"/>
      <c r="CJ574" s="1"/>
      <c r="CK574" s="1"/>
      <c r="CL574" s="1"/>
      <c r="CM574" s="1"/>
      <c r="CN574" s="1"/>
      <c r="CO574" s="1"/>
      <c r="CP574" s="1"/>
      <c r="CQ574" s="1"/>
      <c r="CR574" s="1"/>
      <c r="CS574" s="1"/>
      <c r="CT574" s="1"/>
      <c r="CU574" s="1"/>
      <c r="CV574" s="1"/>
      <c r="CW574" s="1"/>
      <c r="CX574" s="1"/>
      <c r="CY574" s="1"/>
      <c r="CZ574" s="1"/>
      <c r="DA574" s="1"/>
      <c r="DB574" s="1"/>
      <c r="DC574" s="1"/>
      <c r="DD574" s="1"/>
      <c r="DE574" s="1"/>
      <c r="DF574" s="1"/>
      <c r="DG574" s="1"/>
      <c r="DH574" s="1"/>
      <c r="DI574" s="1"/>
      <c r="DJ574" s="1"/>
      <c r="DK574" s="1"/>
      <c r="DL574" s="1"/>
      <c r="DM574" s="1"/>
      <c r="DN574" s="1"/>
      <c r="DO574" s="1"/>
      <c r="DP574" s="1"/>
      <c r="DQ574" s="1"/>
      <c r="DR574" s="1"/>
      <c r="DS574" s="1"/>
      <c r="DT574" s="1"/>
      <c r="DU574" s="1"/>
      <c r="DV574" s="1"/>
      <c r="DW574" s="1"/>
      <c r="DX574" s="1"/>
      <c r="DY574" s="1"/>
      <c r="DZ574" s="1"/>
      <c r="EA574" s="1"/>
      <c r="EB574" s="1"/>
      <c r="EC574" s="1"/>
      <c r="ED574" s="1"/>
      <c r="EE574" s="1"/>
      <c r="EF574" s="1"/>
      <c r="EG574" s="1"/>
      <c r="EH574" s="1"/>
      <c r="EI574" s="1"/>
      <c r="EJ574" s="1"/>
      <c r="EK574" s="1"/>
      <c r="EL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c r="BR575" s="1"/>
      <c r="BS575" s="1"/>
      <c r="BT575" s="1"/>
      <c r="BU575" s="1"/>
      <c r="BV575" s="1"/>
      <c r="BW575" s="1"/>
      <c r="BX575" s="1"/>
      <c r="BY575" s="1"/>
      <c r="BZ575" s="1"/>
      <c r="CA575" s="1"/>
      <c r="CB575" s="1"/>
      <c r="CC575" s="1"/>
      <c r="CD575" s="1"/>
      <c r="CE575" s="1"/>
      <c r="CF575" s="1"/>
      <c r="CG575" s="1"/>
      <c r="CH575" s="1"/>
      <c r="CI575" s="1"/>
      <c r="CJ575" s="1"/>
      <c r="CK575" s="1"/>
      <c r="CL575" s="1"/>
      <c r="CM575" s="1"/>
      <c r="CN575" s="1"/>
      <c r="CO575" s="1"/>
      <c r="CP575" s="1"/>
      <c r="CQ575" s="1"/>
      <c r="CR575" s="1"/>
      <c r="CS575" s="1"/>
      <c r="CT575" s="1"/>
      <c r="CU575" s="1"/>
      <c r="CV575" s="1"/>
      <c r="CW575" s="1"/>
      <c r="CX575" s="1"/>
      <c r="CY575" s="1"/>
      <c r="CZ575" s="1"/>
      <c r="DA575" s="1"/>
      <c r="DB575" s="1"/>
      <c r="DC575" s="1"/>
      <c r="DD575" s="1"/>
      <c r="DE575" s="1"/>
      <c r="DF575" s="1"/>
      <c r="DG575" s="1"/>
      <c r="DH575" s="1"/>
      <c r="DI575" s="1"/>
      <c r="DJ575" s="1"/>
      <c r="DK575" s="1"/>
      <c r="DL575" s="1"/>
      <c r="DM575" s="1"/>
      <c r="DN575" s="1"/>
      <c r="DO575" s="1"/>
      <c r="DP575" s="1"/>
      <c r="DQ575" s="1"/>
      <c r="DR575" s="1"/>
      <c r="DS575" s="1"/>
      <c r="DT575" s="1"/>
      <c r="DU575" s="1"/>
      <c r="DV575" s="1"/>
      <c r="DW575" s="1"/>
      <c r="DX575" s="1"/>
      <c r="DY575" s="1"/>
      <c r="DZ575" s="1"/>
      <c r="EA575" s="1"/>
      <c r="EB575" s="1"/>
      <c r="EC575" s="1"/>
      <c r="ED575" s="1"/>
      <c r="EE575" s="1"/>
      <c r="EF575" s="1"/>
      <c r="EG575" s="1"/>
      <c r="EH575" s="1"/>
      <c r="EI575" s="1"/>
      <c r="EJ575" s="1"/>
      <c r="EK575" s="1"/>
      <c r="EL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c r="BR576" s="1"/>
      <c r="BS576" s="1"/>
      <c r="BT576" s="1"/>
      <c r="BU576" s="1"/>
      <c r="BV576" s="1"/>
      <c r="BW576" s="1"/>
      <c r="BX576" s="1"/>
      <c r="BY576" s="1"/>
      <c r="BZ576" s="1"/>
      <c r="CA576" s="1"/>
      <c r="CB576" s="1"/>
      <c r="CC576" s="1"/>
      <c r="CD576" s="1"/>
      <c r="CE576" s="1"/>
      <c r="CF576" s="1"/>
      <c r="CG576" s="1"/>
      <c r="CH576" s="1"/>
      <c r="CI576" s="1"/>
      <c r="CJ576" s="1"/>
      <c r="CK576" s="1"/>
      <c r="CL576" s="1"/>
      <c r="CM576" s="1"/>
      <c r="CN576" s="1"/>
      <c r="CO576" s="1"/>
      <c r="CP576" s="1"/>
      <c r="CQ576" s="1"/>
      <c r="CR576" s="1"/>
      <c r="CS576" s="1"/>
      <c r="CT576" s="1"/>
      <c r="CU576" s="1"/>
      <c r="CV576" s="1"/>
      <c r="CW576" s="1"/>
      <c r="CX576" s="1"/>
      <c r="CY576" s="1"/>
      <c r="CZ576" s="1"/>
      <c r="DA576" s="1"/>
      <c r="DB576" s="1"/>
      <c r="DC576" s="1"/>
      <c r="DD576" s="1"/>
      <c r="DE576" s="1"/>
      <c r="DF576" s="1"/>
      <c r="DG576" s="1"/>
      <c r="DH576" s="1"/>
      <c r="DI576" s="1"/>
      <c r="DJ576" s="1"/>
      <c r="DK576" s="1"/>
      <c r="DL576" s="1"/>
      <c r="DM576" s="1"/>
      <c r="DN576" s="1"/>
      <c r="DO576" s="1"/>
      <c r="DP576" s="1"/>
      <c r="DQ576" s="1"/>
      <c r="DR576" s="1"/>
      <c r="DS576" s="1"/>
      <c r="DT576" s="1"/>
      <c r="DU576" s="1"/>
      <c r="DV576" s="1"/>
      <c r="DW576" s="1"/>
      <c r="DX576" s="1"/>
      <c r="DY576" s="1"/>
      <c r="DZ576" s="1"/>
      <c r="EA576" s="1"/>
      <c r="EB576" s="1"/>
      <c r="EC576" s="1"/>
      <c r="ED576" s="1"/>
      <c r="EE576" s="1"/>
      <c r="EF576" s="1"/>
      <c r="EG576" s="1"/>
      <c r="EH576" s="1"/>
      <c r="EI576" s="1"/>
      <c r="EJ576" s="1"/>
      <c r="EK576" s="1"/>
      <c r="EL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c r="BR577" s="1"/>
      <c r="BS577" s="1"/>
      <c r="BT577" s="1"/>
      <c r="BU577" s="1"/>
      <c r="BV577" s="1"/>
      <c r="BW577" s="1"/>
      <c r="BX577" s="1"/>
      <c r="BY577" s="1"/>
      <c r="BZ577" s="1"/>
      <c r="CA577" s="1"/>
      <c r="CB577" s="1"/>
      <c r="CC577" s="1"/>
      <c r="CD577" s="1"/>
      <c r="CE577" s="1"/>
      <c r="CF577" s="1"/>
      <c r="CG577" s="1"/>
      <c r="CH577" s="1"/>
      <c r="CI577" s="1"/>
      <c r="CJ577" s="1"/>
      <c r="CK577" s="1"/>
      <c r="CL577" s="1"/>
      <c r="CM577" s="1"/>
      <c r="CN577" s="1"/>
      <c r="CO577" s="1"/>
      <c r="CP577" s="1"/>
      <c r="CQ577" s="1"/>
      <c r="CR577" s="1"/>
      <c r="CS577" s="1"/>
      <c r="CT577" s="1"/>
      <c r="CU577" s="1"/>
      <c r="CV577" s="1"/>
      <c r="CW577" s="1"/>
      <c r="CX577" s="1"/>
      <c r="CY577" s="1"/>
      <c r="CZ577" s="1"/>
      <c r="DA577" s="1"/>
      <c r="DB577" s="1"/>
      <c r="DC577" s="1"/>
      <c r="DD577" s="1"/>
      <c r="DE577" s="1"/>
      <c r="DF577" s="1"/>
      <c r="DG577" s="1"/>
      <c r="DH577" s="1"/>
      <c r="DI577" s="1"/>
      <c r="DJ577" s="1"/>
      <c r="DK577" s="1"/>
      <c r="DL577" s="1"/>
      <c r="DM577" s="1"/>
      <c r="DN577" s="1"/>
      <c r="DO577" s="1"/>
      <c r="DP577" s="1"/>
      <c r="DQ577" s="1"/>
      <c r="DR577" s="1"/>
      <c r="DS577" s="1"/>
      <c r="DT577" s="1"/>
      <c r="DU577" s="1"/>
      <c r="DV577" s="1"/>
      <c r="DW577" s="1"/>
      <c r="DX577" s="1"/>
      <c r="DY577" s="1"/>
      <c r="DZ577" s="1"/>
      <c r="EA577" s="1"/>
      <c r="EB577" s="1"/>
      <c r="EC577" s="1"/>
      <c r="ED577" s="1"/>
      <c r="EE577" s="1"/>
      <c r="EF577" s="1"/>
      <c r="EG577" s="1"/>
      <c r="EH577" s="1"/>
      <c r="EI577" s="1"/>
      <c r="EJ577" s="1"/>
      <c r="EK577" s="1"/>
      <c r="EL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c r="BR578" s="1"/>
      <c r="BS578" s="1"/>
      <c r="BT578" s="1"/>
      <c r="BU578" s="1"/>
      <c r="BV578" s="1"/>
      <c r="BW578" s="1"/>
      <c r="BX578" s="1"/>
      <c r="BY578" s="1"/>
      <c r="BZ578" s="1"/>
      <c r="CA578" s="1"/>
      <c r="CB578" s="1"/>
      <c r="CC578" s="1"/>
      <c r="CD578" s="1"/>
      <c r="CE578" s="1"/>
      <c r="CF578" s="1"/>
      <c r="CG578" s="1"/>
      <c r="CH578" s="1"/>
      <c r="CI578" s="1"/>
      <c r="CJ578" s="1"/>
      <c r="CK578" s="1"/>
      <c r="CL578" s="1"/>
      <c r="CM578" s="1"/>
      <c r="CN578" s="1"/>
      <c r="CO578" s="1"/>
      <c r="CP578" s="1"/>
      <c r="CQ578" s="1"/>
      <c r="CR578" s="1"/>
      <c r="CS578" s="1"/>
      <c r="CT578" s="1"/>
      <c r="CU578" s="1"/>
      <c r="CV578" s="1"/>
      <c r="CW578" s="1"/>
      <c r="CX578" s="1"/>
      <c r="CY578" s="1"/>
      <c r="CZ578" s="1"/>
      <c r="DA578" s="1"/>
      <c r="DB578" s="1"/>
      <c r="DC578" s="1"/>
      <c r="DD578" s="1"/>
      <c r="DE578" s="1"/>
      <c r="DF578" s="1"/>
      <c r="DG578" s="1"/>
      <c r="DH578" s="1"/>
      <c r="DI578" s="1"/>
      <c r="DJ578" s="1"/>
      <c r="DK578" s="1"/>
      <c r="DL578" s="1"/>
      <c r="DM578" s="1"/>
      <c r="DN578" s="1"/>
      <c r="DO578" s="1"/>
      <c r="DP578" s="1"/>
      <c r="DQ578" s="1"/>
      <c r="DR578" s="1"/>
      <c r="DS578" s="1"/>
      <c r="DT578" s="1"/>
      <c r="DU578" s="1"/>
      <c r="DV578" s="1"/>
      <c r="DW578" s="1"/>
      <c r="DX578" s="1"/>
      <c r="DY578" s="1"/>
      <c r="DZ578" s="1"/>
      <c r="EA578" s="1"/>
      <c r="EB578" s="1"/>
      <c r="EC578" s="1"/>
      <c r="ED578" s="1"/>
      <c r="EE578" s="1"/>
      <c r="EF578" s="1"/>
      <c r="EG578" s="1"/>
      <c r="EH578" s="1"/>
      <c r="EI578" s="1"/>
      <c r="EJ578" s="1"/>
      <c r="EK578" s="1"/>
      <c r="EL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c r="BR579" s="1"/>
      <c r="BS579" s="1"/>
      <c r="BT579" s="1"/>
      <c r="BU579" s="1"/>
      <c r="BV579" s="1"/>
      <c r="BW579" s="1"/>
      <c r="BX579" s="1"/>
      <c r="BY579" s="1"/>
      <c r="BZ579" s="1"/>
      <c r="CA579" s="1"/>
      <c r="CB579" s="1"/>
      <c r="CC579" s="1"/>
      <c r="CD579" s="1"/>
      <c r="CE579" s="1"/>
      <c r="CF579" s="1"/>
      <c r="CG579" s="1"/>
      <c r="CH579" s="1"/>
      <c r="CI579" s="1"/>
      <c r="CJ579" s="1"/>
      <c r="CK579" s="1"/>
      <c r="CL579" s="1"/>
      <c r="CM579" s="1"/>
      <c r="CN579" s="1"/>
      <c r="CO579" s="1"/>
      <c r="CP579" s="1"/>
      <c r="CQ579" s="1"/>
      <c r="CR579" s="1"/>
      <c r="CS579" s="1"/>
      <c r="CT579" s="1"/>
      <c r="CU579" s="1"/>
      <c r="CV579" s="1"/>
      <c r="CW579" s="1"/>
      <c r="CX579" s="1"/>
      <c r="CY579" s="1"/>
      <c r="CZ579" s="1"/>
      <c r="DA579" s="1"/>
      <c r="DB579" s="1"/>
      <c r="DC579" s="1"/>
      <c r="DD579" s="1"/>
      <c r="DE579" s="1"/>
      <c r="DF579" s="1"/>
      <c r="DG579" s="1"/>
      <c r="DH579" s="1"/>
      <c r="DI579" s="1"/>
      <c r="DJ579" s="1"/>
      <c r="DK579" s="1"/>
      <c r="DL579" s="1"/>
      <c r="DM579" s="1"/>
      <c r="DN579" s="1"/>
      <c r="DO579" s="1"/>
      <c r="DP579" s="1"/>
      <c r="DQ579" s="1"/>
      <c r="DR579" s="1"/>
      <c r="DS579" s="1"/>
      <c r="DT579" s="1"/>
      <c r="DU579" s="1"/>
      <c r="DV579" s="1"/>
      <c r="DW579" s="1"/>
      <c r="DX579" s="1"/>
      <c r="DY579" s="1"/>
      <c r="DZ579" s="1"/>
      <c r="EA579" s="1"/>
      <c r="EB579" s="1"/>
      <c r="EC579" s="1"/>
      <c r="ED579" s="1"/>
      <c r="EE579" s="1"/>
      <c r="EF579" s="1"/>
      <c r="EG579" s="1"/>
      <c r="EH579" s="1"/>
      <c r="EI579" s="1"/>
      <c r="EJ579" s="1"/>
      <c r="EK579" s="1"/>
      <c r="EL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c r="BR580" s="1"/>
      <c r="BS580" s="1"/>
      <c r="BT580" s="1"/>
      <c r="BU580" s="1"/>
      <c r="BV580" s="1"/>
      <c r="BW580" s="1"/>
      <c r="BX580" s="1"/>
      <c r="BY580" s="1"/>
      <c r="BZ580" s="1"/>
      <c r="CA580" s="1"/>
      <c r="CB580" s="1"/>
      <c r="CC580" s="1"/>
      <c r="CD580" s="1"/>
      <c r="CE580" s="1"/>
      <c r="CF580" s="1"/>
      <c r="CG580" s="1"/>
      <c r="CH580" s="1"/>
      <c r="CI580" s="1"/>
      <c r="CJ580" s="1"/>
      <c r="CK580" s="1"/>
      <c r="CL580" s="1"/>
      <c r="CM580" s="1"/>
      <c r="CN580" s="1"/>
      <c r="CO580" s="1"/>
      <c r="CP580" s="1"/>
      <c r="CQ580" s="1"/>
      <c r="CR580" s="1"/>
      <c r="CS580" s="1"/>
      <c r="CT580" s="1"/>
      <c r="CU580" s="1"/>
      <c r="CV580" s="1"/>
      <c r="CW580" s="1"/>
      <c r="CX580" s="1"/>
      <c r="CY580" s="1"/>
      <c r="CZ580" s="1"/>
      <c r="DA580" s="1"/>
      <c r="DB580" s="1"/>
      <c r="DC580" s="1"/>
      <c r="DD580" s="1"/>
      <c r="DE580" s="1"/>
      <c r="DF580" s="1"/>
      <c r="DG580" s="1"/>
      <c r="DH580" s="1"/>
      <c r="DI580" s="1"/>
      <c r="DJ580" s="1"/>
      <c r="DK580" s="1"/>
      <c r="DL580" s="1"/>
      <c r="DM580" s="1"/>
      <c r="DN580" s="1"/>
      <c r="DO580" s="1"/>
      <c r="DP580" s="1"/>
      <c r="DQ580" s="1"/>
      <c r="DR580" s="1"/>
      <c r="DS580" s="1"/>
      <c r="DT580" s="1"/>
      <c r="DU580" s="1"/>
      <c r="DV580" s="1"/>
      <c r="DW580" s="1"/>
      <c r="DX580" s="1"/>
      <c r="DY580" s="1"/>
      <c r="DZ580" s="1"/>
      <c r="EA580" s="1"/>
      <c r="EB580" s="1"/>
      <c r="EC580" s="1"/>
      <c r="ED580" s="1"/>
      <c r="EE580" s="1"/>
      <c r="EF580" s="1"/>
      <c r="EG580" s="1"/>
      <c r="EH580" s="1"/>
      <c r="EI580" s="1"/>
      <c r="EJ580" s="1"/>
      <c r="EK580" s="1"/>
      <c r="EL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c r="BR581" s="1"/>
      <c r="BS581" s="1"/>
      <c r="BT581" s="1"/>
      <c r="BU581" s="1"/>
      <c r="BV581" s="1"/>
      <c r="BW581" s="1"/>
      <c r="BX581" s="1"/>
      <c r="BY581" s="1"/>
      <c r="BZ581" s="1"/>
      <c r="CA581" s="1"/>
      <c r="CB581" s="1"/>
      <c r="CC581" s="1"/>
      <c r="CD581" s="1"/>
      <c r="CE581" s="1"/>
      <c r="CF581" s="1"/>
      <c r="CG581" s="1"/>
      <c r="CH581" s="1"/>
      <c r="CI581" s="1"/>
      <c r="CJ581" s="1"/>
      <c r="CK581" s="1"/>
      <c r="CL581" s="1"/>
      <c r="CM581" s="1"/>
      <c r="CN581" s="1"/>
      <c r="CO581" s="1"/>
      <c r="CP581" s="1"/>
      <c r="CQ581" s="1"/>
      <c r="CR581" s="1"/>
      <c r="CS581" s="1"/>
      <c r="CT581" s="1"/>
      <c r="CU581" s="1"/>
      <c r="CV581" s="1"/>
      <c r="CW581" s="1"/>
      <c r="CX581" s="1"/>
      <c r="CY581" s="1"/>
      <c r="CZ581" s="1"/>
      <c r="DA581" s="1"/>
      <c r="DB581" s="1"/>
      <c r="DC581" s="1"/>
      <c r="DD581" s="1"/>
      <c r="DE581" s="1"/>
      <c r="DF581" s="1"/>
      <c r="DG581" s="1"/>
      <c r="DH581" s="1"/>
      <c r="DI581" s="1"/>
      <c r="DJ581" s="1"/>
      <c r="DK581" s="1"/>
      <c r="DL581" s="1"/>
      <c r="DM581" s="1"/>
      <c r="DN581" s="1"/>
      <c r="DO581" s="1"/>
      <c r="DP581" s="1"/>
      <c r="DQ581" s="1"/>
      <c r="DR581" s="1"/>
      <c r="DS581" s="1"/>
      <c r="DT581" s="1"/>
      <c r="DU581" s="1"/>
      <c r="DV581" s="1"/>
      <c r="DW581" s="1"/>
      <c r="DX581" s="1"/>
      <c r="DY581" s="1"/>
      <c r="DZ581" s="1"/>
      <c r="EA581" s="1"/>
      <c r="EB581" s="1"/>
      <c r="EC581" s="1"/>
      <c r="ED581" s="1"/>
      <c r="EE581" s="1"/>
      <c r="EF581" s="1"/>
      <c r="EG581" s="1"/>
      <c r="EH581" s="1"/>
      <c r="EI581" s="1"/>
      <c r="EJ581" s="1"/>
      <c r="EK581" s="1"/>
      <c r="EL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c r="BR582" s="1"/>
      <c r="BS582" s="1"/>
      <c r="BT582" s="1"/>
      <c r="BU582" s="1"/>
      <c r="BV582" s="1"/>
      <c r="BW582" s="1"/>
      <c r="BX582" s="1"/>
      <c r="BY582" s="1"/>
      <c r="BZ582" s="1"/>
      <c r="CA582" s="1"/>
      <c r="CB582" s="1"/>
      <c r="CC582" s="1"/>
      <c r="CD582" s="1"/>
      <c r="CE582" s="1"/>
      <c r="CF582" s="1"/>
      <c r="CG582" s="1"/>
      <c r="CH582" s="1"/>
      <c r="CI582" s="1"/>
      <c r="CJ582" s="1"/>
      <c r="CK582" s="1"/>
      <c r="CL582" s="1"/>
      <c r="CM582" s="1"/>
      <c r="CN582" s="1"/>
      <c r="CO582" s="1"/>
      <c r="CP582" s="1"/>
      <c r="CQ582" s="1"/>
      <c r="CR582" s="1"/>
      <c r="CS582" s="1"/>
      <c r="CT582" s="1"/>
      <c r="CU582" s="1"/>
      <c r="CV582" s="1"/>
      <c r="CW582" s="1"/>
      <c r="CX582" s="1"/>
      <c r="CY582" s="1"/>
      <c r="CZ582" s="1"/>
      <c r="DA582" s="1"/>
      <c r="DB582" s="1"/>
      <c r="DC582" s="1"/>
      <c r="DD582" s="1"/>
      <c r="DE582" s="1"/>
      <c r="DF582" s="1"/>
      <c r="DG582" s="1"/>
      <c r="DH582" s="1"/>
      <c r="DI582" s="1"/>
      <c r="DJ582" s="1"/>
      <c r="DK582" s="1"/>
      <c r="DL582" s="1"/>
      <c r="DM582" s="1"/>
      <c r="DN582" s="1"/>
      <c r="DO582" s="1"/>
      <c r="DP582" s="1"/>
      <c r="DQ582" s="1"/>
      <c r="DR582" s="1"/>
      <c r="DS582" s="1"/>
      <c r="DT582" s="1"/>
      <c r="DU582" s="1"/>
      <c r="DV582" s="1"/>
      <c r="DW582" s="1"/>
      <c r="DX582" s="1"/>
      <c r="DY582" s="1"/>
      <c r="DZ582" s="1"/>
      <c r="EA582" s="1"/>
      <c r="EB582" s="1"/>
      <c r="EC582" s="1"/>
      <c r="ED582" s="1"/>
      <c r="EE582" s="1"/>
      <c r="EF582" s="1"/>
      <c r="EG582" s="1"/>
      <c r="EH582" s="1"/>
      <c r="EI582" s="1"/>
      <c r="EJ582" s="1"/>
      <c r="EK582" s="1"/>
      <c r="EL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c r="BR583" s="1"/>
      <c r="BS583" s="1"/>
      <c r="BT583" s="1"/>
      <c r="BU583" s="1"/>
      <c r="BV583" s="1"/>
      <c r="BW583" s="1"/>
      <c r="BX583" s="1"/>
      <c r="BY583" s="1"/>
      <c r="BZ583" s="1"/>
      <c r="CA583" s="1"/>
      <c r="CB583" s="1"/>
      <c r="CC583" s="1"/>
      <c r="CD583" s="1"/>
      <c r="CE583" s="1"/>
      <c r="CF583" s="1"/>
      <c r="CG583" s="1"/>
      <c r="CH583" s="1"/>
      <c r="CI583" s="1"/>
      <c r="CJ583" s="1"/>
      <c r="CK583" s="1"/>
      <c r="CL583" s="1"/>
      <c r="CM583" s="1"/>
      <c r="CN583" s="1"/>
      <c r="CO583" s="1"/>
      <c r="CP583" s="1"/>
      <c r="CQ583" s="1"/>
      <c r="CR583" s="1"/>
      <c r="CS583" s="1"/>
      <c r="CT583" s="1"/>
      <c r="CU583" s="1"/>
      <c r="CV583" s="1"/>
      <c r="CW583" s="1"/>
      <c r="CX583" s="1"/>
      <c r="CY583" s="1"/>
      <c r="CZ583" s="1"/>
      <c r="DA583" s="1"/>
      <c r="DB583" s="1"/>
      <c r="DC583" s="1"/>
      <c r="DD583" s="1"/>
      <c r="DE583" s="1"/>
      <c r="DF583" s="1"/>
      <c r="DG583" s="1"/>
      <c r="DH583" s="1"/>
      <c r="DI583" s="1"/>
      <c r="DJ583" s="1"/>
      <c r="DK583" s="1"/>
      <c r="DL583" s="1"/>
      <c r="DM583" s="1"/>
      <c r="DN583" s="1"/>
      <c r="DO583" s="1"/>
      <c r="DP583" s="1"/>
      <c r="DQ583" s="1"/>
      <c r="DR583" s="1"/>
      <c r="DS583" s="1"/>
      <c r="DT583" s="1"/>
      <c r="DU583" s="1"/>
      <c r="DV583" s="1"/>
      <c r="DW583" s="1"/>
      <c r="DX583" s="1"/>
      <c r="DY583" s="1"/>
      <c r="DZ583" s="1"/>
      <c r="EA583" s="1"/>
      <c r="EB583" s="1"/>
      <c r="EC583" s="1"/>
      <c r="ED583" s="1"/>
      <c r="EE583" s="1"/>
      <c r="EF583" s="1"/>
      <c r="EG583" s="1"/>
      <c r="EH583" s="1"/>
      <c r="EI583" s="1"/>
      <c r="EJ583" s="1"/>
      <c r="EK583" s="1"/>
      <c r="EL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c r="BR584" s="1"/>
      <c r="BS584" s="1"/>
      <c r="BT584" s="1"/>
      <c r="BU584" s="1"/>
      <c r="BV584" s="1"/>
      <c r="BW584" s="1"/>
      <c r="BX584" s="1"/>
      <c r="BY584" s="1"/>
      <c r="BZ584" s="1"/>
      <c r="CA584" s="1"/>
      <c r="CB584" s="1"/>
      <c r="CC584" s="1"/>
      <c r="CD584" s="1"/>
      <c r="CE584" s="1"/>
      <c r="CF584" s="1"/>
      <c r="CG584" s="1"/>
      <c r="CH584" s="1"/>
      <c r="CI584" s="1"/>
      <c r="CJ584" s="1"/>
      <c r="CK584" s="1"/>
      <c r="CL584" s="1"/>
      <c r="CM584" s="1"/>
      <c r="CN584" s="1"/>
      <c r="CO584" s="1"/>
      <c r="CP584" s="1"/>
      <c r="CQ584" s="1"/>
      <c r="CR584" s="1"/>
      <c r="CS584" s="1"/>
      <c r="CT584" s="1"/>
      <c r="CU584" s="1"/>
      <c r="CV584" s="1"/>
      <c r="CW584" s="1"/>
      <c r="CX584" s="1"/>
      <c r="CY584" s="1"/>
      <c r="CZ584" s="1"/>
      <c r="DA584" s="1"/>
      <c r="DB584" s="1"/>
      <c r="DC584" s="1"/>
      <c r="DD584" s="1"/>
      <c r="DE584" s="1"/>
      <c r="DF584" s="1"/>
      <c r="DG584" s="1"/>
      <c r="DH584" s="1"/>
      <c r="DI584" s="1"/>
      <c r="DJ584" s="1"/>
      <c r="DK584" s="1"/>
      <c r="DL584" s="1"/>
      <c r="DM584" s="1"/>
      <c r="DN584" s="1"/>
      <c r="DO584" s="1"/>
      <c r="DP584" s="1"/>
      <c r="DQ584" s="1"/>
      <c r="DR584" s="1"/>
      <c r="DS584" s="1"/>
      <c r="DT584" s="1"/>
      <c r="DU584" s="1"/>
      <c r="DV584" s="1"/>
      <c r="DW584" s="1"/>
      <c r="DX584" s="1"/>
      <c r="DY584" s="1"/>
      <c r="DZ584" s="1"/>
      <c r="EA584" s="1"/>
      <c r="EB584" s="1"/>
      <c r="EC584" s="1"/>
      <c r="ED584" s="1"/>
      <c r="EE584" s="1"/>
      <c r="EF584" s="1"/>
      <c r="EG584" s="1"/>
      <c r="EH584" s="1"/>
      <c r="EI584" s="1"/>
      <c r="EJ584" s="1"/>
      <c r="EK584" s="1"/>
      <c r="EL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c r="BR585" s="1"/>
      <c r="BS585" s="1"/>
      <c r="BT585" s="1"/>
      <c r="BU585" s="1"/>
      <c r="BV585" s="1"/>
      <c r="BW585" s="1"/>
      <c r="BX585" s="1"/>
      <c r="BY585" s="1"/>
      <c r="BZ585" s="1"/>
      <c r="CA585" s="1"/>
      <c r="CB585" s="1"/>
      <c r="CC585" s="1"/>
      <c r="CD585" s="1"/>
      <c r="CE585" s="1"/>
      <c r="CF585" s="1"/>
      <c r="CG585" s="1"/>
      <c r="CH585" s="1"/>
      <c r="CI585" s="1"/>
      <c r="CJ585" s="1"/>
      <c r="CK585" s="1"/>
      <c r="CL585" s="1"/>
      <c r="CM585" s="1"/>
      <c r="CN585" s="1"/>
      <c r="CO585" s="1"/>
      <c r="CP585" s="1"/>
      <c r="CQ585" s="1"/>
      <c r="CR585" s="1"/>
      <c r="CS585" s="1"/>
      <c r="CT585" s="1"/>
      <c r="CU585" s="1"/>
      <c r="CV585" s="1"/>
      <c r="CW585" s="1"/>
      <c r="CX585" s="1"/>
      <c r="CY585" s="1"/>
      <c r="CZ585" s="1"/>
      <c r="DA585" s="1"/>
      <c r="DB585" s="1"/>
      <c r="DC585" s="1"/>
      <c r="DD585" s="1"/>
      <c r="DE585" s="1"/>
      <c r="DF585" s="1"/>
      <c r="DG585" s="1"/>
      <c r="DH585" s="1"/>
      <c r="DI585" s="1"/>
      <c r="DJ585" s="1"/>
      <c r="DK585" s="1"/>
      <c r="DL585" s="1"/>
      <c r="DM585" s="1"/>
      <c r="DN585" s="1"/>
      <c r="DO585" s="1"/>
      <c r="DP585" s="1"/>
      <c r="DQ585" s="1"/>
      <c r="DR585" s="1"/>
      <c r="DS585" s="1"/>
      <c r="DT585" s="1"/>
      <c r="DU585" s="1"/>
      <c r="DV585" s="1"/>
      <c r="DW585" s="1"/>
      <c r="DX585" s="1"/>
      <c r="DY585" s="1"/>
      <c r="DZ585" s="1"/>
      <c r="EA585" s="1"/>
      <c r="EB585" s="1"/>
      <c r="EC585" s="1"/>
      <c r="ED585" s="1"/>
      <c r="EE585" s="1"/>
      <c r="EF585" s="1"/>
      <c r="EG585" s="1"/>
      <c r="EH585" s="1"/>
      <c r="EI585" s="1"/>
      <c r="EJ585" s="1"/>
      <c r="EK585" s="1"/>
      <c r="EL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c r="BR586" s="1"/>
      <c r="BS586" s="1"/>
      <c r="BT586" s="1"/>
      <c r="BU586" s="1"/>
      <c r="BV586" s="1"/>
      <c r="BW586" s="1"/>
      <c r="BX586" s="1"/>
      <c r="BY586" s="1"/>
      <c r="BZ586" s="1"/>
      <c r="CA586" s="1"/>
      <c r="CB586" s="1"/>
      <c r="CC586" s="1"/>
      <c r="CD586" s="1"/>
      <c r="CE586" s="1"/>
      <c r="CF586" s="1"/>
      <c r="CG586" s="1"/>
      <c r="CH586" s="1"/>
      <c r="CI586" s="1"/>
      <c r="CJ586" s="1"/>
      <c r="CK586" s="1"/>
      <c r="CL586" s="1"/>
      <c r="CM586" s="1"/>
      <c r="CN586" s="1"/>
      <c r="CO586" s="1"/>
      <c r="CP586" s="1"/>
      <c r="CQ586" s="1"/>
      <c r="CR586" s="1"/>
      <c r="CS586" s="1"/>
      <c r="CT586" s="1"/>
      <c r="CU586" s="1"/>
      <c r="CV586" s="1"/>
      <c r="CW586" s="1"/>
      <c r="CX586" s="1"/>
      <c r="CY586" s="1"/>
      <c r="CZ586" s="1"/>
      <c r="DA586" s="1"/>
      <c r="DB586" s="1"/>
      <c r="DC586" s="1"/>
      <c r="DD586" s="1"/>
      <c r="DE586" s="1"/>
      <c r="DF586" s="1"/>
      <c r="DG586" s="1"/>
      <c r="DH586" s="1"/>
      <c r="DI586" s="1"/>
      <c r="DJ586" s="1"/>
      <c r="DK586" s="1"/>
      <c r="DL586" s="1"/>
      <c r="DM586" s="1"/>
      <c r="DN586" s="1"/>
      <c r="DO586" s="1"/>
      <c r="DP586" s="1"/>
      <c r="DQ586" s="1"/>
      <c r="DR586" s="1"/>
      <c r="DS586" s="1"/>
      <c r="DT586" s="1"/>
      <c r="DU586" s="1"/>
      <c r="DV586" s="1"/>
      <c r="DW586" s="1"/>
      <c r="DX586" s="1"/>
      <c r="DY586" s="1"/>
      <c r="DZ586" s="1"/>
      <c r="EA586" s="1"/>
      <c r="EB586" s="1"/>
      <c r="EC586" s="1"/>
      <c r="ED586" s="1"/>
      <c r="EE586" s="1"/>
      <c r="EF586" s="1"/>
      <c r="EG586" s="1"/>
      <c r="EH586" s="1"/>
      <c r="EI586" s="1"/>
      <c r="EJ586" s="1"/>
      <c r="EK586" s="1"/>
      <c r="EL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c r="BR587" s="1"/>
      <c r="BS587" s="1"/>
      <c r="BT587" s="1"/>
      <c r="BU587" s="1"/>
      <c r="BV587" s="1"/>
      <c r="BW587" s="1"/>
      <c r="BX587" s="1"/>
      <c r="BY587" s="1"/>
      <c r="BZ587" s="1"/>
      <c r="CA587" s="1"/>
      <c r="CB587" s="1"/>
      <c r="CC587" s="1"/>
      <c r="CD587" s="1"/>
      <c r="CE587" s="1"/>
      <c r="CF587" s="1"/>
      <c r="CG587" s="1"/>
      <c r="CH587" s="1"/>
      <c r="CI587" s="1"/>
      <c r="CJ587" s="1"/>
      <c r="CK587" s="1"/>
      <c r="CL587" s="1"/>
      <c r="CM587" s="1"/>
      <c r="CN587" s="1"/>
      <c r="CO587" s="1"/>
      <c r="CP587" s="1"/>
      <c r="CQ587" s="1"/>
      <c r="CR587" s="1"/>
      <c r="CS587" s="1"/>
      <c r="CT587" s="1"/>
      <c r="CU587" s="1"/>
      <c r="CV587" s="1"/>
      <c r="CW587" s="1"/>
      <c r="CX587" s="1"/>
      <c r="CY587" s="1"/>
      <c r="CZ587" s="1"/>
      <c r="DA587" s="1"/>
      <c r="DB587" s="1"/>
      <c r="DC587" s="1"/>
      <c r="DD587" s="1"/>
      <c r="DE587" s="1"/>
      <c r="DF587" s="1"/>
      <c r="DG587" s="1"/>
      <c r="DH587" s="1"/>
      <c r="DI587" s="1"/>
      <c r="DJ587" s="1"/>
      <c r="DK587" s="1"/>
      <c r="DL587" s="1"/>
      <c r="DM587" s="1"/>
      <c r="DN587" s="1"/>
      <c r="DO587" s="1"/>
      <c r="DP587" s="1"/>
      <c r="DQ587" s="1"/>
      <c r="DR587" s="1"/>
      <c r="DS587" s="1"/>
      <c r="DT587" s="1"/>
      <c r="DU587" s="1"/>
      <c r="DV587" s="1"/>
      <c r="DW587" s="1"/>
      <c r="DX587" s="1"/>
      <c r="DY587" s="1"/>
      <c r="DZ587" s="1"/>
      <c r="EA587" s="1"/>
      <c r="EB587" s="1"/>
      <c r="EC587" s="1"/>
      <c r="ED587" s="1"/>
      <c r="EE587" s="1"/>
      <c r="EF587" s="1"/>
      <c r="EG587" s="1"/>
      <c r="EH587" s="1"/>
      <c r="EI587" s="1"/>
      <c r="EJ587" s="1"/>
      <c r="EK587" s="1"/>
      <c r="EL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c r="BR588" s="1"/>
      <c r="BS588" s="1"/>
      <c r="BT588" s="1"/>
      <c r="BU588" s="1"/>
      <c r="BV588" s="1"/>
      <c r="BW588" s="1"/>
      <c r="BX588" s="1"/>
      <c r="BY588" s="1"/>
      <c r="BZ588" s="1"/>
      <c r="CA588" s="1"/>
      <c r="CB588" s="1"/>
      <c r="CC588" s="1"/>
      <c r="CD588" s="1"/>
      <c r="CE588" s="1"/>
      <c r="CF588" s="1"/>
      <c r="CG588" s="1"/>
      <c r="CH588" s="1"/>
      <c r="CI588" s="1"/>
      <c r="CJ588" s="1"/>
      <c r="CK588" s="1"/>
      <c r="CL588" s="1"/>
      <c r="CM588" s="1"/>
      <c r="CN588" s="1"/>
      <c r="CO588" s="1"/>
      <c r="CP588" s="1"/>
      <c r="CQ588" s="1"/>
      <c r="CR588" s="1"/>
      <c r="CS588" s="1"/>
      <c r="CT588" s="1"/>
      <c r="CU588" s="1"/>
      <c r="CV588" s="1"/>
      <c r="CW588" s="1"/>
      <c r="CX588" s="1"/>
      <c r="CY588" s="1"/>
      <c r="CZ588" s="1"/>
      <c r="DA588" s="1"/>
      <c r="DB588" s="1"/>
      <c r="DC588" s="1"/>
      <c r="DD588" s="1"/>
      <c r="DE588" s="1"/>
      <c r="DF588" s="1"/>
      <c r="DG588" s="1"/>
      <c r="DH588" s="1"/>
      <c r="DI588" s="1"/>
      <c r="DJ588" s="1"/>
      <c r="DK588" s="1"/>
      <c r="DL588" s="1"/>
      <c r="DM588" s="1"/>
      <c r="DN588" s="1"/>
      <c r="DO588" s="1"/>
      <c r="DP588" s="1"/>
      <c r="DQ588" s="1"/>
      <c r="DR588" s="1"/>
      <c r="DS588" s="1"/>
      <c r="DT588" s="1"/>
      <c r="DU588" s="1"/>
      <c r="DV588" s="1"/>
      <c r="DW588" s="1"/>
      <c r="DX588" s="1"/>
      <c r="DY588" s="1"/>
      <c r="DZ588" s="1"/>
      <c r="EA588" s="1"/>
      <c r="EB588" s="1"/>
      <c r="EC588" s="1"/>
      <c r="ED588" s="1"/>
      <c r="EE588" s="1"/>
      <c r="EF588" s="1"/>
      <c r="EG588" s="1"/>
      <c r="EH588" s="1"/>
      <c r="EI588" s="1"/>
      <c r="EJ588" s="1"/>
      <c r="EK588" s="1"/>
      <c r="EL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c r="BR589" s="1"/>
      <c r="BS589" s="1"/>
      <c r="BT589" s="1"/>
      <c r="BU589" s="1"/>
      <c r="BV589" s="1"/>
      <c r="BW589" s="1"/>
      <c r="BX589" s="1"/>
      <c r="BY589" s="1"/>
      <c r="BZ589" s="1"/>
      <c r="CA589" s="1"/>
      <c r="CB589" s="1"/>
      <c r="CC589" s="1"/>
      <c r="CD589" s="1"/>
      <c r="CE589" s="1"/>
      <c r="CF589" s="1"/>
      <c r="CG589" s="1"/>
      <c r="CH589" s="1"/>
      <c r="CI589" s="1"/>
      <c r="CJ589" s="1"/>
      <c r="CK589" s="1"/>
      <c r="CL589" s="1"/>
      <c r="CM589" s="1"/>
      <c r="CN589" s="1"/>
      <c r="CO589" s="1"/>
      <c r="CP589" s="1"/>
      <c r="CQ589" s="1"/>
      <c r="CR589" s="1"/>
      <c r="CS589" s="1"/>
      <c r="CT589" s="1"/>
      <c r="CU589" s="1"/>
      <c r="CV589" s="1"/>
      <c r="CW589" s="1"/>
      <c r="CX589" s="1"/>
      <c r="CY589" s="1"/>
      <c r="CZ589" s="1"/>
      <c r="DA589" s="1"/>
      <c r="DB589" s="1"/>
      <c r="DC589" s="1"/>
      <c r="DD589" s="1"/>
      <c r="DE589" s="1"/>
      <c r="DF589" s="1"/>
      <c r="DG589" s="1"/>
      <c r="DH589" s="1"/>
      <c r="DI589" s="1"/>
      <c r="DJ589" s="1"/>
      <c r="DK589" s="1"/>
      <c r="DL589" s="1"/>
      <c r="DM589" s="1"/>
      <c r="DN589" s="1"/>
      <c r="DO589" s="1"/>
      <c r="DP589" s="1"/>
      <c r="DQ589" s="1"/>
      <c r="DR589" s="1"/>
      <c r="DS589" s="1"/>
      <c r="DT589" s="1"/>
      <c r="DU589" s="1"/>
      <c r="DV589" s="1"/>
      <c r="DW589" s="1"/>
      <c r="DX589" s="1"/>
      <c r="DY589" s="1"/>
      <c r="DZ589" s="1"/>
      <c r="EA589" s="1"/>
      <c r="EB589" s="1"/>
      <c r="EC589" s="1"/>
      <c r="ED589" s="1"/>
      <c r="EE589" s="1"/>
      <c r="EF589" s="1"/>
      <c r="EG589" s="1"/>
      <c r="EH589" s="1"/>
      <c r="EI589" s="1"/>
      <c r="EJ589" s="1"/>
      <c r="EK589" s="1"/>
      <c r="EL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c r="BR590" s="1"/>
      <c r="BS590" s="1"/>
      <c r="BT590" s="1"/>
      <c r="BU590" s="1"/>
      <c r="BV590" s="1"/>
      <c r="BW590" s="1"/>
      <c r="BX590" s="1"/>
      <c r="BY590" s="1"/>
      <c r="BZ590" s="1"/>
      <c r="CA590" s="1"/>
      <c r="CB590" s="1"/>
      <c r="CC590" s="1"/>
      <c r="CD590" s="1"/>
      <c r="CE590" s="1"/>
      <c r="CF590" s="1"/>
      <c r="CG590" s="1"/>
      <c r="CH590" s="1"/>
      <c r="CI590" s="1"/>
      <c r="CJ590" s="1"/>
      <c r="CK590" s="1"/>
      <c r="CL590" s="1"/>
      <c r="CM590" s="1"/>
      <c r="CN590" s="1"/>
      <c r="CO590" s="1"/>
      <c r="CP590" s="1"/>
      <c r="CQ590" s="1"/>
      <c r="CR590" s="1"/>
      <c r="CS590" s="1"/>
      <c r="CT590" s="1"/>
      <c r="CU590" s="1"/>
      <c r="CV590" s="1"/>
      <c r="CW590" s="1"/>
      <c r="CX590" s="1"/>
      <c r="CY590" s="1"/>
      <c r="CZ590" s="1"/>
      <c r="DA590" s="1"/>
      <c r="DB590" s="1"/>
      <c r="DC590" s="1"/>
      <c r="DD590" s="1"/>
      <c r="DE590" s="1"/>
      <c r="DF590" s="1"/>
      <c r="DG590" s="1"/>
      <c r="DH590" s="1"/>
      <c r="DI590" s="1"/>
      <c r="DJ590" s="1"/>
      <c r="DK590" s="1"/>
      <c r="DL590" s="1"/>
      <c r="DM590" s="1"/>
      <c r="DN590" s="1"/>
      <c r="DO590" s="1"/>
      <c r="DP590" s="1"/>
      <c r="DQ590" s="1"/>
      <c r="DR590" s="1"/>
      <c r="DS590" s="1"/>
      <c r="DT590" s="1"/>
      <c r="DU590" s="1"/>
      <c r="DV590" s="1"/>
      <c r="DW590" s="1"/>
      <c r="DX590" s="1"/>
      <c r="DY590" s="1"/>
      <c r="DZ590" s="1"/>
      <c r="EA590" s="1"/>
      <c r="EB590" s="1"/>
      <c r="EC590" s="1"/>
      <c r="ED590" s="1"/>
      <c r="EE590" s="1"/>
      <c r="EF590" s="1"/>
      <c r="EG590" s="1"/>
      <c r="EH590" s="1"/>
      <c r="EI590" s="1"/>
      <c r="EJ590" s="1"/>
      <c r="EK590" s="1"/>
      <c r="EL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c r="BR591" s="1"/>
      <c r="BS591" s="1"/>
      <c r="BT591" s="1"/>
      <c r="BU591" s="1"/>
      <c r="BV591" s="1"/>
      <c r="BW591" s="1"/>
      <c r="BX591" s="1"/>
      <c r="BY591" s="1"/>
      <c r="BZ591" s="1"/>
      <c r="CA591" s="1"/>
      <c r="CB591" s="1"/>
      <c r="CC591" s="1"/>
      <c r="CD591" s="1"/>
      <c r="CE591" s="1"/>
      <c r="CF591" s="1"/>
      <c r="CG591" s="1"/>
      <c r="CH591" s="1"/>
      <c r="CI591" s="1"/>
      <c r="CJ591" s="1"/>
      <c r="CK591" s="1"/>
      <c r="CL591" s="1"/>
      <c r="CM591" s="1"/>
      <c r="CN591" s="1"/>
      <c r="CO591" s="1"/>
      <c r="CP591" s="1"/>
      <c r="CQ591" s="1"/>
      <c r="CR591" s="1"/>
      <c r="CS591" s="1"/>
      <c r="CT591" s="1"/>
      <c r="CU591" s="1"/>
      <c r="CV591" s="1"/>
      <c r="CW591" s="1"/>
      <c r="CX591" s="1"/>
      <c r="CY591" s="1"/>
      <c r="CZ591" s="1"/>
      <c r="DA591" s="1"/>
      <c r="DB591" s="1"/>
      <c r="DC591" s="1"/>
      <c r="DD591" s="1"/>
      <c r="DE591" s="1"/>
      <c r="DF591" s="1"/>
      <c r="DG591" s="1"/>
      <c r="DH591" s="1"/>
      <c r="DI591" s="1"/>
      <c r="DJ591" s="1"/>
      <c r="DK591" s="1"/>
      <c r="DL591" s="1"/>
      <c r="DM591" s="1"/>
      <c r="DN591" s="1"/>
      <c r="DO591" s="1"/>
      <c r="DP591" s="1"/>
      <c r="DQ591" s="1"/>
      <c r="DR591" s="1"/>
      <c r="DS591" s="1"/>
      <c r="DT591" s="1"/>
      <c r="DU591" s="1"/>
      <c r="DV591" s="1"/>
      <c r="DW591" s="1"/>
      <c r="DX591" s="1"/>
      <c r="DY591" s="1"/>
      <c r="DZ591" s="1"/>
      <c r="EA591" s="1"/>
      <c r="EB591" s="1"/>
      <c r="EC591" s="1"/>
      <c r="ED591" s="1"/>
      <c r="EE591" s="1"/>
      <c r="EF591" s="1"/>
      <c r="EG591" s="1"/>
      <c r="EH591" s="1"/>
      <c r="EI591" s="1"/>
      <c r="EJ591" s="1"/>
      <c r="EK591" s="1"/>
      <c r="EL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c r="BR592" s="1"/>
      <c r="BS592" s="1"/>
      <c r="BT592" s="1"/>
      <c r="BU592" s="1"/>
      <c r="BV592" s="1"/>
      <c r="BW592" s="1"/>
      <c r="BX592" s="1"/>
      <c r="BY592" s="1"/>
      <c r="BZ592" s="1"/>
      <c r="CA592" s="1"/>
      <c r="CB592" s="1"/>
      <c r="CC592" s="1"/>
      <c r="CD592" s="1"/>
      <c r="CE592" s="1"/>
      <c r="CF592" s="1"/>
      <c r="CG592" s="1"/>
      <c r="CH592" s="1"/>
      <c r="CI592" s="1"/>
      <c r="CJ592" s="1"/>
      <c r="CK592" s="1"/>
      <c r="CL592" s="1"/>
      <c r="CM592" s="1"/>
      <c r="CN592" s="1"/>
      <c r="CO592" s="1"/>
      <c r="CP592" s="1"/>
      <c r="CQ592" s="1"/>
      <c r="CR592" s="1"/>
      <c r="CS592" s="1"/>
      <c r="CT592" s="1"/>
      <c r="CU592" s="1"/>
      <c r="CV592" s="1"/>
      <c r="CW592" s="1"/>
      <c r="CX592" s="1"/>
      <c r="CY592" s="1"/>
      <c r="CZ592" s="1"/>
      <c r="DA592" s="1"/>
      <c r="DB592" s="1"/>
      <c r="DC592" s="1"/>
      <c r="DD592" s="1"/>
      <c r="DE592" s="1"/>
      <c r="DF592" s="1"/>
      <c r="DG592" s="1"/>
      <c r="DH592" s="1"/>
      <c r="DI592" s="1"/>
      <c r="DJ592" s="1"/>
      <c r="DK592" s="1"/>
      <c r="DL592" s="1"/>
      <c r="DM592" s="1"/>
      <c r="DN592" s="1"/>
      <c r="DO592" s="1"/>
      <c r="DP592" s="1"/>
      <c r="DQ592" s="1"/>
      <c r="DR592" s="1"/>
      <c r="DS592" s="1"/>
      <c r="DT592" s="1"/>
      <c r="DU592" s="1"/>
      <c r="DV592" s="1"/>
      <c r="DW592" s="1"/>
      <c r="DX592" s="1"/>
      <c r="DY592" s="1"/>
      <c r="DZ592" s="1"/>
      <c r="EA592" s="1"/>
      <c r="EB592" s="1"/>
      <c r="EC592" s="1"/>
      <c r="ED592" s="1"/>
      <c r="EE592" s="1"/>
      <c r="EF592" s="1"/>
      <c r="EG592" s="1"/>
      <c r="EH592" s="1"/>
      <c r="EI592" s="1"/>
      <c r="EJ592" s="1"/>
      <c r="EK592" s="1"/>
      <c r="EL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c r="BR593" s="1"/>
      <c r="BS593" s="1"/>
      <c r="BT593" s="1"/>
      <c r="BU593" s="1"/>
      <c r="BV593" s="1"/>
      <c r="BW593" s="1"/>
      <c r="BX593" s="1"/>
      <c r="BY593" s="1"/>
      <c r="BZ593" s="1"/>
      <c r="CA593" s="1"/>
      <c r="CB593" s="1"/>
      <c r="CC593" s="1"/>
      <c r="CD593" s="1"/>
      <c r="CE593" s="1"/>
      <c r="CF593" s="1"/>
      <c r="CG593" s="1"/>
      <c r="CH593" s="1"/>
      <c r="CI593" s="1"/>
      <c r="CJ593" s="1"/>
      <c r="CK593" s="1"/>
      <c r="CL593" s="1"/>
      <c r="CM593" s="1"/>
      <c r="CN593" s="1"/>
      <c r="CO593" s="1"/>
      <c r="CP593" s="1"/>
      <c r="CQ593" s="1"/>
      <c r="CR593" s="1"/>
      <c r="CS593" s="1"/>
      <c r="CT593" s="1"/>
      <c r="CU593" s="1"/>
      <c r="CV593" s="1"/>
      <c r="CW593" s="1"/>
      <c r="CX593" s="1"/>
      <c r="CY593" s="1"/>
      <c r="CZ593" s="1"/>
      <c r="DA593" s="1"/>
      <c r="DB593" s="1"/>
      <c r="DC593" s="1"/>
      <c r="DD593" s="1"/>
      <c r="DE593" s="1"/>
      <c r="DF593" s="1"/>
      <c r="DG593" s="1"/>
      <c r="DH593" s="1"/>
      <c r="DI593" s="1"/>
      <c r="DJ593" s="1"/>
      <c r="DK593" s="1"/>
      <c r="DL593" s="1"/>
      <c r="DM593" s="1"/>
      <c r="DN593" s="1"/>
      <c r="DO593" s="1"/>
      <c r="DP593" s="1"/>
      <c r="DQ593" s="1"/>
      <c r="DR593" s="1"/>
      <c r="DS593" s="1"/>
      <c r="DT593" s="1"/>
      <c r="DU593" s="1"/>
      <c r="DV593" s="1"/>
      <c r="DW593" s="1"/>
      <c r="DX593" s="1"/>
      <c r="DY593" s="1"/>
      <c r="DZ593" s="1"/>
      <c r="EA593" s="1"/>
      <c r="EB593" s="1"/>
      <c r="EC593" s="1"/>
      <c r="ED593" s="1"/>
      <c r="EE593" s="1"/>
      <c r="EF593" s="1"/>
      <c r="EG593" s="1"/>
      <c r="EH593" s="1"/>
      <c r="EI593" s="1"/>
      <c r="EJ593" s="1"/>
      <c r="EK593" s="1"/>
      <c r="EL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c r="BR594" s="1"/>
      <c r="BS594" s="1"/>
      <c r="BT594" s="1"/>
      <c r="BU594" s="1"/>
      <c r="BV594" s="1"/>
      <c r="BW594" s="1"/>
      <c r="BX594" s="1"/>
      <c r="BY594" s="1"/>
      <c r="BZ594" s="1"/>
      <c r="CA594" s="1"/>
      <c r="CB594" s="1"/>
      <c r="CC594" s="1"/>
      <c r="CD594" s="1"/>
      <c r="CE594" s="1"/>
      <c r="CF594" s="1"/>
      <c r="CG594" s="1"/>
      <c r="CH594" s="1"/>
      <c r="CI594" s="1"/>
      <c r="CJ594" s="1"/>
      <c r="CK594" s="1"/>
      <c r="CL594" s="1"/>
      <c r="CM594" s="1"/>
      <c r="CN594" s="1"/>
      <c r="CO594" s="1"/>
      <c r="CP594" s="1"/>
      <c r="CQ594" s="1"/>
      <c r="CR594" s="1"/>
      <c r="CS594" s="1"/>
      <c r="CT594" s="1"/>
      <c r="CU594" s="1"/>
      <c r="CV594" s="1"/>
      <c r="CW594" s="1"/>
      <c r="CX594" s="1"/>
      <c r="CY594" s="1"/>
      <c r="CZ594" s="1"/>
      <c r="DA594" s="1"/>
      <c r="DB594" s="1"/>
      <c r="DC594" s="1"/>
      <c r="DD594" s="1"/>
      <c r="DE594" s="1"/>
      <c r="DF594" s="1"/>
      <c r="DG594" s="1"/>
      <c r="DH594" s="1"/>
      <c r="DI594" s="1"/>
      <c r="DJ594" s="1"/>
      <c r="DK594" s="1"/>
      <c r="DL594" s="1"/>
      <c r="DM594" s="1"/>
      <c r="DN594" s="1"/>
      <c r="DO594" s="1"/>
      <c r="DP594" s="1"/>
      <c r="DQ594" s="1"/>
      <c r="DR594" s="1"/>
      <c r="DS594" s="1"/>
      <c r="DT594" s="1"/>
      <c r="DU594" s="1"/>
      <c r="DV594" s="1"/>
      <c r="DW594" s="1"/>
      <c r="DX594" s="1"/>
      <c r="DY594" s="1"/>
      <c r="DZ594" s="1"/>
      <c r="EA594" s="1"/>
      <c r="EB594" s="1"/>
      <c r="EC594" s="1"/>
      <c r="ED594" s="1"/>
      <c r="EE594" s="1"/>
      <c r="EF594" s="1"/>
      <c r="EG594" s="1"/>
      <c r="EH594" s="1"/>
      <c r="EI594" s="1"/>
      <c r="EJ594" s="1"/>
      <c r="EK594" s="1"/>
      <c r="EL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c r="BR595" s="1"/>
      <c r="BS595" s="1"/>
      <c r="BT595" s="1"/>
      <c r="BU595" s="1"/>
      <c r="BV595" s="1"/>
      <c r="BW595" s="1"/>
      <c r="BX595" s="1"/>
      <c r="BY595" s="1"/>
      <c r="BZ595" s="1"/>
      <c r="CA595" s="1"/>
      <c r="CB595" s="1"/>
      <c r="CC595" s="1"/>
      <c r="CD595" s="1"/>
      <c r="CE595" s="1"/>
      <c r="CF595" s="1"/>
      <c r="CG595" s="1"/>
      <c r="CH595" s="1"/>
      <c r="CI595" s="1"/>
      <c r="CJ595" s="1"/>
      <c r="CK595" s="1"/>
      <c r="CL595" s="1"/>
      <c r="CM595" s="1"/>
      <c r="CN595" s="1"/>
      <c r="CO595" s="1"/>
      <c r="CP595" s="1"/>
      <c r="CQ595" s="1"/>
      <c r="CR595" s="1"/>
      <c r="CS595" s="1"/>
      <c r="CT595" s="1"/>
      <c r="CU595" s="1"/>
      <c r="CV595" s="1"/>
      <c r="CW595" s="1"/>
      <c r="CX595" s="1"/>
      <c r="CY595" s="1"/>
      <c r="CZ595" s="1"/>
      <c r="DA595" s="1"/>
      <c r="DB595" s="1"/>
      <c r="DC595" s="1"/>
      <c r="DD595" s="1"/>
      <c r="DE595" s="1"/>
      <c r="DF595" s="1"/>
      <c r="DG595" s="1"/>
      <c r="DH595" s="1"/>
      <c r="DI595" s="1"/>
      <c r="DJ595" s="1"/>
      <c r="DK595" s="1"/>
      <c r="DL595" s="1"/>
      <c r="DM595" s="1"/>
      <c r="DN595" s="1"/>
      <c r="DO595" s="1"/>
      <c r="DP595" s="1"/>
      <c r="DQ595" s="1"/>
      <c r="DR595" s="1"/>
      <c r="DS595" s="1"/>
      <c r="DT595" s="1"/>
      <c r="DU595" s="1"/>
      <c r="DV595" s="1"/>
      <c r="DW595" s="1"/>
      <c r="DX595" s="1"/>
      <c r="DY595" s="1"/>
      <c r="DZ595" s="1"/>
      <c r="EA595" s="1"/>
      <c r="EB595" s="1"/>
      <c r="EC595" s="1"/>
      <c r="ED595" s="1"/>
      <c r="EE595" s="1"/>
      <c r="EF595" s="1"/>
      <c r="EG595" s="1"/>
      <c r="EH595" s="1"/>
      <c r="EI595" s="1"/>
      <c r="EJ595" s="1"/>
      <c r="EK595" s="1"/>
      <c r="EL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c r="BR596" s="1"/>
      <c r="BS596" s="1"/>
      <c r="BT596" s="1"/>
      <c r="BU596" s="1"/>
      <c r="BV596" s="1"/>
      <c r="BW596" s="1"/>
      <c r="BX596" s="1"/>
      <c r="BY596" s="1"/>
      <c r="BZ596" s="1"/>
      <c r="CA596" s="1"/>
      <c r="CB596" s="1"/>
      <c r="CC596" s="1"/>
      <c r="CD596" s="1"/>
      <c r="CE596" s="1"/>
      <c r="CF596" s="1"/>
      <c r="CG596" s="1"/>
      <c r="CH596" s="1"/>
      <c r="CI596" s="1"/>
      <c r="CJ596" s="1"/>
      <c r="CK596" s="1"/>
      <c r="CL596" s="1"/>
      <c r="CM596" s="1"/>
      <c r="CN596" s="1"/>
      <c r="CO596" s="1"/>
      <c r="CP596" s="1"/>
      <c r="CQ596" s="1"/>
      <c r="CR596" s="1"/>
      <c r="CS596" s="1"/>
      <c r="CT596" s="1"/>
      <c r="CU596" s="1"/>
      <c r="CV596" s="1"/>
      <c r="CW596" s="1"/>
      <c r="CX596" s="1"/>
      <c r="CY596" s="1"/>
      <c r="CZ596" s="1"/>
      <c r="DA596" s="1"/>
      <c r="DB596" s="1"/>
      <c r="DC596" s="1"/>
      <c r="DD596" s="1"/>
      <c r="DE596" s="1"/>
      <c r="DF596" s="1"/>
      <c r="DG596" s="1"/>
      <c r="DH596" s="1"/>
      <c r="DI596" s="1"/>
      <c r="DJ596" s="1"/>
      <c r="DK596" s="1"/>
      <c r="DL596" s="1"/>
      <c r="DM596" s="1"/>
      <c r="DN596" s="1"/>
      <c r="DO596" s="1"/>
      <c r="DP596" s="1"/>
      <c r="DQ596" s="1"/>
      <c r="DR596" s="1"/>
      <c r="DS596" s="1"/>
      <c r="DT596" s="1"/>
      <c r="DU596" s="1"/>
      <c r="DV596" s="1"/>
      <c r="DW596" s="1"/>
      <c r="DX596" s="1"/>
      <c r="DY596" s="1"/>
      <c r="DZ596" s="1"/>
      <c r="EA596" s="1"/>
      <c r="EB596" s="1"/>
      <c r="EC596" s="1"/>
      <c r="ED596" s="1"/>
      <c r="EE596" s="1"/>
      <c r="EF596" s="1"/>
      <c r="EG596" s="1"/>
      <c r="EH596" s="1"/>
      <c r="EI596" s="1"/>
      <c r="EJ596" s="1"/>
      <c r="EK596" s="1"/>
      <c r="EL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c r="BR597" s="1"/>
      <c r="BS597" s="1"/>
      <c r="BT597" s="1"/>
      <c r="BU597" s="1"/>
      <c r="BV597" s="1"/>
      <c r="BW597" s="1"/>
      <c r="BX597" s="1"/>
      <c r="BY597" s="1"/>
      <c r="BZ597" s="1"/>
      <c r="CA597" s="1"/>
      <c r="CB597" s="1"/>
      <c r="CC597" s="1"/>
      <c r="CD597" s="1"/>
      <c r="CE597" s="1"/>
      <c r="CF597" s="1"/>
      <c r="CG597" s="1"/>
      <c r="CH597" s="1"/>
      <c r="CI597" s="1"/>
      <c r="CJ597" s="1"/>
      <c r="CK597" s="1"/>
      <c r="CL597" s="1"/>
      <c r="CM597" s="1"/>
      <c r="CN597" s="1"/>
      <c r="CO597" s="1"/>
      <c r="CP597" s="1"/>
      <c r="CQ597" s="1"/>
      <c r="CR597" s="1"/>
      <c r="CS597" s="1"/>
      <c r="CT597" s="1"/>
      <c r="CU597" s="1"/>
      <c r="CV597" s="1"/>
      <c r="CW597" s="1"/>
      <c r="CX597" s="1"/>
      <c r="CY597" s="1"/>
      <c r="CZ597" s="1"/>
      <c r="DA597" s="1"/>
      <c r="DB597" s="1"/>
      <c r="DC597" s="1"/>
      <c r="DD597" s="1"/>
      <c r="DE597" s="1"/>
      <c r="DF597" s="1"/>
      <c r="DG597" s="1"/>
      <c r="DH597" s="1"/>
      <c r="DI597" s="1"/>
      <c r="DJ597" s="1"/>
      <c r="DK597" s="1"/>
      <c r="DL597" s="1"/>
      <c r="DM597" s="1"/>
      <c r="DN597" s="1"/>
      <c r="DO597" s="1"/>
      <c r="DP597" s="1"/>
      <c r="DQ597" s="1"/>
      <c r="DR597" s="1"/>
      <c r="DS597" s="1"/>
      <c r="DT597" s="1"/>
      <c r="DU597" s="1"/>
      <c r="DV597" s="1"/>
      <c r="DW597" s="1"/>
      <c r="DX597" s="1"/>
      <c r="DY597" s="1"/>
      <c r="DZ597" s="1"/>
      <c r="EA597" s="1"/>
      <c r="EB597" s="1"/>
      <c r="EC597" s="1"/>
      <c r="ED597" s="1"/>
      <c r="EE597" s="1"/>
      <c r="EF597" s="1"/>
      <c r="EG597" s="1"/>
      <c r="EH597" s="1"/>
      <c r="EI597" s="1"/>
      <c r="EJ597" s="1"/>
      <c r="EK597" s="1"/>
      <c r="EL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c r="BR598" s="1"/>
      <c r="BS598" s="1"/>
      <c r="BT598" s="1"/>
      <c r="BU598" s="1"/>
      <c r="BV598" s="1"/>
      <c r="BW598" s="1"/>
      <c r="BX598" s="1"/>
      <c r="BY598" s="1"/>
      <c r="BZ598" s="1"/>
      <c r="CA598" s="1"/>
      <c r="CB598" s="1"/>
      <c r="CC598" s="1"/>
      <c r="CD598" s="1"/>
      <c r="CE598" s="1"/>
      <c r="CF598" s="1"/>
      <c r="CG598" s="1"/>
      <c r="CH598" s="1"/>
      <c r="CI598" s="1"/>
      <c r="CJ598" s="1"/>
      <c r="CK598" s="1"/>
      <c r="CL598" s="1"/>
      <c r="CM598" s="1"/>
      <c r="CN598" s="1"/>
      <c r="CO598" s="1"/>
      <c r="CP598" s="1"/>
      <c r="CQ598" s="1"/>
      <c r="CR598" s="1"/>
      <c r="CS598" s="1"/>
      <c r="CT598" s="1"/>
      <c r="CU598" s="1"/>
      <c r="CV598" s="1"/>
      <c r="CW598" s="1"/>
      <c r="CX598" s="1"/>
      <c r="CY598" s="1"/>
      <c r="CZ598" s="1"/>
      <c r="DA598" s="1"/>
      <c r="DB598" s="1"/>
      <c r="DC598" s="1"/>
      <c r="DD598" s="1"/>
      <c r="DE598" s="1"/>
      <c r="DF598" s="1"/>
      <c r="DG598" s="1"/>
      <c r="DH598" s="1"/>
      <c r="DI598" s="1"/>
      <c r="DJ598" s="1"/>
      <c r="DK598" s="1"/>
      <c r="DL598" s="1"/>
      <c r="DM598" s="1"/>
      <c r="DN598" s="1"/>
      <c r="DO598" s="1"/>
      <c r="DP598" s="1"/>
      <c r="DQ598" s="1"/>
      <c r="DR598" s="1"/>
      <c r="DS598" s="1"/>
      <c r="DT598" s="1"/>
      <c r="DU598" s="1"/>
      <c r="DV598" s="1"/>
      <c r="DW598" s="1"/>
      <c r="DX598" s="1"/>
      <c r="DY598" s="1"/>
      <c r="DZ598" s="1"/>
      <c r="EA598" s="1"/>
      <c r="EB598" s="1"/>
      <c r="EC598" s="1"/>
      <c r="ED598" s="1"/>
      <c r="EE598" s="1"/>
      <c r="EF598" s="1"/>
      <c r="EG598" s="1"/>
      <c r="EH598" s="1"/>
      <c r="EI598" s="1"/>
      <c r="EJ598" s="1"/>
      <c r="EK598" s="1"/>
      <c r="EL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c r="BR599" s="1"/>
      <c r="BS599" s="1"/>
      <c r="BT599" s="1"/>
      <c r="BU599" s="1"/>
      <c r="BV599" s="1"/>
      <c r="BW599" s="1"/>
      <c r="BX599" s="1"/>
      <c r="BY599" s="1"/>
      <c r="BZ599" s="1"/>
      <c r="CA599" s="1"/>
      <c r="CB599" s="1"/>
      <c r="CC599" s="1"/>
      <c r="CD599" s="1"/>
      <c r="CE599" s="1"/>
      <c r="CF599" s="1"/>
      <c r="CG599" s="1"/>
      <c r="CH599" s="1"/>
      <c r="CI599" s="1"/>
      <c r="CJ599" s="1"/>
      <c r="CK599" s="1"/>
      <c r="CL599" s="1"/>
      <c r="CM599" s="1"/>
      <c r="CN599" s="1"/>
      <c r="CO599" s="1"/>
      <c r="CP599" s="1"/>
      <c r="CQ599" s="1"/>
      <c r="CR599" s="1"/>
      <c r="CS599" s="1"/>
      <c r="CT599" s="1"/>
      <c r="CU599" s="1"/>
      <c r="CV599" s="1"/>
      <c r="CW599" s="1"/>
      <c r="CX599" s="1"/>
      <c r="CY599" s="1"/>
      <c r="CZ599" s="1"/>
      <c r="DA599" s="1"/>
      <c r="DB599" s="1"/>
      <c r="DC599" s="1"/>
      <c r="DD599" s="1"/>
      <c r="DE599" s="1"/>
      <c r="DF599" s="1"/>
      <c r="DG599" s="1"/>
      <c r="DH599" s="1"/>
      <c r="DI599" s="1"/>
      <c r="DJ599" s="1"/>
      <c r="DK599" s="1"/>
      <c r="DL599" s="1"/>
      <c r="DM599" s="1"/>
      <c r="DN599" s="1"/>
      <c r="DO599" s="1"/>
      <c r="DP599" s="1"/>
      <c r="DQ599" s="1"/>
      <c r="DR599" s="1"/>
      <c r="DS599" s="1"/>
      <c r="DT599" s="1"/>
      <c r="DU599" s="1"/>
      <c r="DV599" s="1"/>
      <c r="DW599" s="1"/>
      <c r="DX599" s="1"/>
      <c r="DY599" s="1"/>
      <c r="DZ599" s="1"/>
      <c r="EA599" s="1"/>
      <c r="EB599" s="1"/>
      <c r="EC599" s="1"/>
      <c r="ED599" s="1"/>
      <c r="EE599" s="1"/>
      <c r="EF599" s="1"/>
      <c r="EG599" s="1"/>
      <c r="EH599" s="1"/>
      <c r="EI599" s="1"/>
      <c r="EJ599" s="1"/>
      <c r="EK599" s="1"/>
      <c r="EL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c r="BR600" s="1"/>
      <c r="BS600" s="1"/>
      <c r="BT600" s="1"/>
      <c r="BU600" s="1"/>
      <c r="BV600" s="1"/>
      <c r="BW600" s="1"/>
      <c r="BX600" s="1"/>
      <c r="BY600" s="1"/>
      <c r="BZ600" s="1"/>
      <c r="CA600" s="1"/>
      <c r="CB600" s="1"/>
      <c r="CC600" s="1"/>
      <c r="CD600" s="1"/>
      <c r="CE600" s="1"/>
      <c r="CF600" s="1"/>
      <c r="CG600" s="1"/>
      <c r="CH600" s="1"/>
      <c r="CI600" s="1"/>
      <c r="CJ600" s="1"/>
      <c r="CK600" s="1"/>
      <c r="CL600" s="1"/>
      <c r="CM600" s="1"/>
      <c r="CN600" s="1"/>
      <c r="CO600" s="1"/>
      <c r="CP600" s="1"/>
      <c r="CQ600" s="1"/>
      <c r="CR600" s="1"/>
      <c r="CS600" s="1"/>
      <c r="CT600" s="1"/>
      <c r="CU600" s="1"/>
      <c r="CV600" s="1"/>
      <c r="CW600" s="1"/>
      <c r="CX600" s="1"/>
      <c r="CY600" s="1"/>
      <c r="CZ600" s="1"/>
      <c r="DA600" s="1"/>
      <c r="DB600" s="1"/>
      <c r="DC600" s="1"/>
      <c r="DD600" s="1"/>
      <c r="DE600" s="1"/>
      <c r="DF600" s="1"/>
      <c r="DG600" s="1"/>
      <c r="DH600" s="1"/>
      <c r="DI600" s="1"/>
      <c r="DJ600" s="1"/>
      <c r="DK600" s="1"/>
      <c r="DL600" s="1"/>
      <c r="DM600" s="1"/>
      <c r="DN600" s="1"/>
      <c r="DO600" s="1"/>
      <c r="DP600" s="1"/>
      <c r="DQ600" s="1"/>
      <c r="DR600" s="1"/>
      <c r="DS600" s="1"/>
      <c r="DT600" s="1"/>
      <c r="DU600" s="1"/>
      <c r="DV600" s="1"/>
      <c r="DW600" s="1"/>
      <c r="DX600" s="1"/>
      <c r="DY600" s="1"/>
      <c r="DZ600" s="1"/>
      <c r="EA600" s="1"/>
      <c r="EB600" s="1"/>
      <c r="EC600" s="1"/>
      <c r="ED600" s="1"/>
      <c r="EE600" s="1"/>
      <c r="EF600" s="1"/>
      <c r="EG600" s="1"/>
      <c r="EH600" s="1"/>
      <c r="EI600" s="1"/>
      <c r="EJ600" s="1"/>
      <c r="EK600" s="1"/>
      <c r="EL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c r="BR601" s="1"/>
      <c r="BS601" s="1"/>
      <c r="BT601" s="1"/>
      <c r="BU601" s="1"/>
      <c r="BV601" s="1"/>
      <c r="BW601" s="1"/>
      <c r="BX601" s="1"/>
      <c r="BY601" s="1"/>
      <c r="BZ601" s="1"/>
      <c r="CA601" s="1"/>
      <c r="CB601" s="1"/>
      <c r="CC601" s="1"/>
      <c r="CD601" s="1"/>
      <c r="CE601" s="1"/>
      <c r="CF601" s="1"/>
      <c r="CG601" s="1"/>
      <c r="CH601" s="1"/>
      <c r="CI601" s="1"/>
      <c r="CJ601" s="1"/>
      <c r="CK601" s="1"/>
      <c r="CL601" s="1"/>
      <c r="CM601" s="1"/>
      <c r="CN601" s="1"/>
      <c r="CO601" s="1"/>
      <c r="CP601" s="1"/>
      <c r="CQ601" s="1"/>
      <c r="CR601" s="1"/>
      <c r="CS601" s="1"/>
      <c r="CT601" s="1"/>
      <c r="CU601" s="1"/>
      <c r="CV601" s="1"/>
      <c r="CW601" s="1"/>
      <c r="CX601" s="1"/>
      <c r="CY601" s="1"/>
      <c r="CZ601" s="1"/>
      <c r="DA601" s="1"/>
      <c r="DB601" s="1"/>
      <c r="DC601" s="1"/>
      <c r="DD601" s="1"/>
      <c r="DE601" s="1"/>
      <c r="DF601" s="1"/>
      <c r="DG601" s="1"/>
      <c r="DH601" s="1"/>
      <c r="DI601" s="1"/>
      <c r="DJ601" s="1"/>
      <c r="DK601" s="1"/>
      <c r="DL601" s="1"/>
      <c r="DM601" s="1"/>
      <c r="DN601" s="1"/>
      <c r="DO601" s="1"/>
      <c r="DP601" s="1"/>
      <c r="DQ601" s="1"/>
      <c r="DR601" s="1"/>
      <c r="DS601" s="1"/>
      <c r="DT601" s="1"/>
      <c r="DU601" s="1"/>
      <c r="DV601" s="1"/>
      <c r="DW601" s="1"/>
      <c r="DX601" s="1"/>
      <c r="DY601" s="1"/>
      <c r="DZ601" s="1"/>
      <c r="EA601" s="1"/>
      <c r="EB601" s="1"/>
      <c r="EC601" s="1"/>
      <c r="ED601" s="1"/>
      <c r="EE601" s="1"/>
      <c r="EF601" s="1"/>
      <c r="EG601" s="1"/>
      <c r="EH601" s="1"/>
      <c r="EI601" s="1"/>
      <c r="EJ601" s="1"/>
      <c r="EK601" s="1"/>
      <c r="EL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c r="BR602" s="1"/>
      <c r="BS602" s="1"/>
      <c r="BT602" s="1"/>
      <c r="BU602" s="1"/>
      <c r="BV602" s="1"/>
      <c r="BW602" s="1"/>
      <c r="BX602" s="1"/>
      <c r="BY602" s="1"/>
      <c r="BZ602" s="1"/>
      <c r="CA602" s="1"/>
      <c r="CB602" s="1"/>
      <c r="CC602" s="1"/>
      <c r="CD602" s="1"/>
      <c r="CE602" s="1"/>
      <c r="CF602" s="1"/>
      <c r="CG602" s="1"/>
      <c r="CH602" s="1"/>
      <c r="CI602" s="1"/>
      <c r="CJ602" s="1"/>
      <c r="CK602" s="1"/>
      <c r="CL602" s="1"/>
      <c r="CM602" s="1"/>
      <c r="CN602" s="1"/>
      <c r="CO602" s="1"/>
      <c r="CP602" s="1"/>
      <c r="CQ602" s="1"/>
      <c r="CR602" s="1"/>
      <c r="CS602" s="1"/>
      <c r="CT602" s="1"/>
      <c r="CU602" s="1"/>
      <c r="CV602" s="1"/>
      <c r="CW602" s="1"/>
      <c r="CX602" s="1"/>
      <c r="CY602" s="1"/>
      <c r="CZ602" s="1"/>
      <c r="DA602" s="1"/>
      <c r="DB602" s="1"/>
      <c r="DC602" s="1"/>
      <c r="DD602" s="1"/>
      <c r="DE602" s="1"/>
      <c r="DF602" s="1"/>
      <c r="DG602" s="1"/>
      <c r="DH602" s="1"/>
      <c r="DI602" s="1"/>
      <c r="DJ602" s="1"/>
      <c r="DK602" s="1"/>
      <c r="DL602" s="1"/>
      <c r="DM602" s="1"/>
      <c r="DN602" s="1"/>
      <c r="DO602" s="1"/>
      <c r="DP602" s="1"/>
      <c r="DQ602" s="1"/>
      <c r="DR602" s="1"/>
      <c r="DS602" s="1"/>
      <c r="DT602" s="1"/>
      <c r="DU602" s="1"/>
      <c r="DV602" s="1"/>
      <c r="DW602" s="1"/>
      <c r="DX602" s="1"/>
      <c r="DY602" s="1"/>
      <c r="DZ602" s="1"/>
      <c r="EA602" s="1"/>
      <c r="EB602" s="1"/>
      <c r="EC602" s="1"/>
      <c r="ED602" s="1"/>
      <c r="EE602" s="1"/>
      <c r="EF602" s="1"/>
      <c r="EG602" s="1"/>
      <c r="EH602" s="1"/>
      <c r="EI602" s="1"/>
      <c r="EJ602" s="1"/>
      <c r="EK602" s="1"/>
      <c r="EL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c r="BR603" s="1"/>
      <c r="BS603" s="1"/>
      <c r="BT603" s="1"/>
      <c r="BU603" s="1"/>
      <c r="BV603" s="1"/>
      <c r="BW603" s="1"/>
      <c r="BX603" s="1"/>
      <c r="BY603" s="1"/>
      <c r="BZ603" s="1"/>
      <c r="CA603" s="1"/>
      <c r="CB603" s="1"/>
      <c r="CC603" s="1"/>
      <c r="CD603" s="1"/>
      <c r="CE603" s="1"/>
      <c r="CF603" s="1"/>
      <c r="CG603" s="1"/>
      <c r="CH603" s="1"/>
      <c r="CI603" s="1"/>
      <c r="CJ603" s="1"/>
      <c r="CK603" s="1"/>
      <c r="CL603" s="1"/>
      <c r="CM603" s="1"/>
      <c r="CN603" s="1"/>
      <c r="CO603" s="1"/>
      <c r="CP603" s="1"/>
      <c r="CQ603" s="1"/>
      <c r="CR603" s="1"/>
      <c r="CS603" s="1"/>
      <c r="CT603" s="1"/>
      <c r="CU603" s="1"/>
      <c r="CV603" s="1"/>
      <c r="CW603" s="1"/>
      <c r="CX603" s="1"/>
      <c r="CY603" s="1"/>
      <c r="CZ603" s="1"/>
      <c r="DA603" s="1"/>
      <c r="DB603" s="1"/>
      <c r="DC603" s="1"/>
      <c r="DD603" s="1"/>
      <c r="DE603" s="1"/>
      <c r="DF603" s="1"/>
      <c r="DG603" s="1"/>
      <c r="DH603" s="1"/>
      <c r="DI603" s="1"/>
      <c r="DJ603" s="1"/>
      <c r="DK603" s="1"/>
      <c r="DL603" s="1"/>
      <c r="DM603" s="1"/>
      <c r="DN603" s="1"/>
      <c r="DO603" s="1"/>
      <c r="DP603" s="1"/>
      <c r="DQ603" s="1"/>
      <c r="DR603" s="1"/>
      <c r="DS603" s="1"/>
      <c r="DT603" s="1"/>
      <c r="DU603" s="1"/>
      <c r="DV603" s="1"/>
      <c r="DW603" s="1"/>
      <c r="DX603" s="1"/>
      <c r="DY603" s="1"/>
      <c r="DZ603" s="1"/>
      <c r="EA603" s="1"/>
      <c r="EB603" s="1"/>
      <c r="EC603" s="1"/>
      <c r="ED603" s="1"/>
      <c r="EE603" s="1"/>
      <c r="EF603" s="1"/>
      <c r="EG603" s="1"/>
      <c r="EH603" s="1"/>
      <c r="EI603" s="1"/>
      <c r="EJ603" s="1"/>
      <c r="EK603" s="1"/>
      <c r="EL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c r="BR604" s="1"/>
      <c r="BS604" s="1"/>
      <c r="BT604" s="1"/>
      <c r="BU604" s="1"/>
      <c r="BV604" s="1"/>
      <c r="BW604" s="1"/>
      <c r="BX604" s="1"/>
      <c r="BY604" s="1"/>
      <c r="BZ604" s="1"/>
      <c r="CA604" s="1"/>
      <c r="CB604" s="1"/>
      <c r="CC604" s="1"/>
      <c r="CD604" s="1"/>
      <c r="CE604" s="1"/>
      <c r="CF604" s="1"/>
      <c r="CG604" s="1"/>
      <c r="CH604" s="1"/>
      <c r="CI604" s="1"/>
      <c r="CJ604" s="1"/>
      <c r="CK604" s="1"/>
      <c r="CL604" s="1"/>
      <c r="CM604" s="1"/>
      <c r="CN604" s="1"/>
      <c r="CO604" s="1"/>
      <c r="CP604" s="1"/>
      <c r="CQ604" s="1"/>
      <c r="CR604" s="1"/>
      <c r="CS604" s="1"/>
      <c r="CT604" s="1"/>
      <c r="CU604" s="1"/>
      <c r="CV604" s="1"/>
      <c r="CW604" s="1"/>
      <c r="CX604" s="1"/>
      <c r="CY604" s="1"/>
      <c r="CZ604" s="1"/>
      <c r="DA604" s="1"/>
      <c r="DB604" s="1"/>
      <c r="DC604" s="1"/>
      <c r="DD604" s="1"/>
      <c r="DE604" s="1"/>
      <c r="DF604" s="1"/>
      <c r="DG604" s="1"/>
      <c r="DH604" s="1"/>
      <c r="DI604" s="1"/>
      <c r="DJ604" s="1"/>
      <c r="DK604" s="1"/>
      <c r="DL604" s="1"/>
      <c r="DM604" s="1"/>
      <c r="DN604" s="1"/>
      <c r="DO604" s="1"/>
      <c r="DP604" s="1"/>
      <c r="DQ604" s="1"/>
      <c r="DR604" s="1"/>
      <c r="DS604" s="1"/>
      <c r="DT604" s="1"/>
      <c r="DU604" s="1"/>
      <c r="DV604" s="1"/>
      <c r="DW604" s="1"/>
      <c r="DX604" s="1"/>
      <c r="DY604" s="1"/>
      <c r="DZ604" s="1"/>
      <c r="EA604" s="1"/>
      <c r="EB604" s="1"/>
      <c r="EC604" s="1"/>
      <c r="ED604" s="1"/>
      <c r="EE604" s="1"/>
      <c r="EF604" s="1"/>
      <c r="EG604" s="1"/>
      <c r="EH604" s="1"/>
      <c r="EI604" s="1"/>
      <c r="EJ604" s="1"/>
      <c r="EK604" s="1"/>
      <c r="EL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c r="BR605" s="1"/>
      <c r="BS605" s="1"/>
      <c r="BT605" s="1"/>
      <c r="BU605" s="1"/>
      <c r="BV605" s="1"/>
      <c r="BW605" s="1"/>
      <c r="BX605" s="1"/>
      <c r="BY605" s="1"/>
      <c r="BZ605" s="1"/>
      <c r="CA605" s="1"/>
      <c r="CB605" s="1"/>
      <c r="CC605" s="1"/>
      <c r="CD605" s="1"/>
      <c r="CE605" s="1"/>
      <c r="CF605" s="1"/>
      <c r="CG605" s="1"/>
      <c r="CH605" s="1"/>
      <c r="CI605" s="1"/>
      <c r="CJ605" s="1"/>
      <c r="CK605" s="1"/>
      <c r="CL605" s="1"/>
      <c r="CM605" s="1"/>
      <c r="CN605" s="1"/>
      <c r="CO605" s="1"/>
      <c r="CP605" s="1"/>
      <c r="CQ605" s="1"/>
      <c r="CR605" s="1"/>
      <c r="CS605" s="1"/>
      <c r="CT605" s="1"/>
      <c r="CU605" s="1"/>
      <c r="CV605" s="1"/>
      <c r="CW605" s="1"/>
      <c r="CX605" s="1"/>
      <c r="CY605" s="1"/>
      <c r="CZ605" s="1"/>
      <c r="DA605" s="1"/>
      <c r="DB605" s="1"/>
      <c r="DC605" s="1"/>
      <c r="DD605" s="1"/>
      <c r="DE605" s="1"/>
      <c r="DF605" s="1"/>
      <c r="DG605" s="1"/>
      <c r="DH605" s="1"/>
      <c r="DI605" s="1"/>
      <c r="DJ605" s="1"/>
      <c r="DK605" s="1"/>
      <c r="DL605" s="1"/>
      <c r="DM605" s="1"/>
      <c r="DN605" s="1"/>
      <c r="DO605" s="1"/>
      <c r="DP605" s="1"/>
      <c r="DQ605" s="1"/>
      <c r="DR605" s="1"/>
      <c r="DS605" s="1"/>
      <c r="DT605" s="1"/>
      <c r="DU605" s="1"/>
      <c r="DV605" s="1"/>
      <c r="DW605" s="1"/>
      <c r="DX605" s="1"/>
      <c r="DY605" s="1"/>
      <c r="DZ605" s="1"/>
      <c r="EA605" s="1"/>
      <c r="EB605" s="1"/>
      <c r="EC605" s="1"/>
      <c r="ED605" s="1"/>
      <c r="EE605" s="1"/>
      <c r="EF605" s="1"/>
      <c r="EG605" s="1"/>
      <c r="EH605" s="1"/>
      <c r="EI605" s="1"/>
      <c r="EJ605" s="1"/>
      <c r="EK605" s="1"/>
      <c r="EL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c r="BR606" s="1"/>
      <c r="BS606" s="1"/>
      <c r="BT606" s="1"/>
      <c r="BU606" s="1"/>
      <c r="BV606" s="1"/>
      <c r="BW606" s="1"/>
      <c r="BX606" s="1"/>
      <c r="BY606" s="1"/>
      <c r="BZ606" s="1"/>
      <c r="CA606" s="1"/>
      <c r="CB606" s="1"/>
      <c r="CC606" s="1"/>
      <c r="CD606" s="1"/>
      <c r="CE606" s="1"/>
      <c r="CF606" s="1"/>
      <c r="CG606" s="1"/>
      <c r="CH606" s="1"/>
      <c r="CI606" s="1"/>
      <c r="CJ606" s="1"/>
      <c r="CK606" s="1"/>
      <c r="CL606" s="1"/>
      <c r="CM606" s="1"/>
      <c r="CN606" s="1"/>
      <c r="CO606" s="1"/>
      <c r="CP606" s="1"/>
      <c r="CQ606" s="1"/>
      <c r="CR606" s="1"/>
      <c r="CS606" s="1"/>
      <c r="CT606" s="1"/>
      <c r="CU606" s="1"/>
      <c r="CV606" s="1"/>
      <c r="CW606" s="1"/>
      <c r="CX606" s="1"/>
      <c r="CY606" s="1"/>
      <c r="CZ606" s="1"/>
      <c r="DA606" s="1"/>
      <c r="DB606" s="1"/>
      <c r="DC606" s="1"/>
      <c r="DD606" s="1"/>
      <c r="DE606" s="1"/>
      <c r="DF606" s="1"/>
      <c r="DG606" s="1"/>
      <c r="DH606" s="1"/>
      <c r="DI606" s="1"/>
      <c r="DJ606" s="1"/>
      <c r="DK606" s="1"/>
      <c r="DL606" s="1"/>
      <c r="DM606" s="1"/>
      <c r="DN606" s="1"/>
      <c r="DO606" s="1"/>
      <c r="DP606" s="1"/>
      <c r="DQ606" s="1"/>
      <c r="DR606" s="1"/>
      <c r="DS606" s="1"/>
      <c r="DT606" s="1"/>
      <c r="DU606" s="1"/>
      <c r="DV606" s="1"/>
      <c r="DW606" s="1"/>
      <c r="DX606" s="1"/>
      <c r="DY606" s="1"/>
      <c r="DZ606" s="1"/>
      <c r="EA606" s="1"/>
      <c r="EB606" s="1"/>
      <c r="EC606" s="1"/>
      <c r="ED606" s="1"/>
      <c r="EE606" s="1"/>
      <c r="EF606" s="1"/>
      <c r="EG606" s="1"/>
      <c r="EH606" s="1"/>
      <c r="EI606" s="1"/>
      <c r="EJ606" s="1"/>
      <c r="EK606" s="1"/>
      <c r="EL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c r="BR607" s="1"/>
      <c r="BS607" s="1"/>
      <c r="BT607" s="1"/>
      <c r="BU607" s="1"/>
      <c r="BV607" s="1"/>
      <c r="BW607" s="1"/>
      <c r="BX607" s="1"/>
      <c r="BY607" s="1"/>
      <c r="BZ607" s="1"/>
      <c r="CA607" s="1"/>
      <c r="CB607" s="1"/>
      <c r="CC607" s="1"/>
      <c r="CD607" s="1"/>
      <c r="CE607" s="1"/>
      <c r="CF607" s="1"/>
      <c r="CG607" s="1"/>
      <c r="CH607" s="1"/>
      <c r="CI607" s="1"/>
      <c r="CJ607" s="1"/>
      <c r="CK607" s="1"/>
      <c r="CL607" s="1"/>
      <c r="CM607" s="1"/>
      <c r="CN607" s="1"/>
      <c r="CO607" s="1"/>
      <c r="CP607" s="1"/>
      <c r="CQ607" s="1"/>
      <c r="CR607" s="1"/>
      <c r="CS607" s="1"/>
      <c r="CT607" s="1"/>
      <c r="CU607" s="1"/>
      <c r="CV607" s="1"/>
      <c r="CW607" s="1"/>
      <c r="CX607" s="1"/>
      <c r="CY607" s="1"/>
      <c r="CZ607" s="1"/>
      <c r="DA607" s="1"/>
      <c r="DB607" s="1"/>
      <c r="DC607" s="1"/>
      <c r="DD607" s="1"/>
      <c r="DE607" s="1"/>
      <c r="DF607" s="1"/>
      <c r="DG607" s="1"/>
      <c r="DH607" s="1"/>
      <c r="DI607" s="1"/>
      <c r="DJ607" s="1"/>
      <c r="DK607" s="1"/>
      <c r="DL607" s="1"/>
      <c r="DM607" s="1"/>
      <c r="DN607" s="1"/>
      <c r="DO607" s="1"/>
      <c r="DP607" s="1"/>
      <c r="DQ607" s="1"/>
      <c r="DR607" s="1"/>
      <c r="DS607" s="1"/>
      <c r="DT607" s="1"/>
      <c r="DU607" s="1"/>
      <c r="DV607" s="1"/>
      <c r="DW607" s="1"/>
      <c r="DX607" s="1"/>
      <c r="DY607" s="1"/>
      <c r="DZ607" s="1"/>
      <c r="EA607" s="1"/>
      <c r="EB607" s="1"/>
      <c r="EC607" s="1"/>
      <c r="ED607" s="1"/>
      <c r="EE607" s="1"/>
      <c r="EF607" s="1"/>
      <c r="EG607" s="1"/>
      <c r="EH607" s="1"/>
      <c r="EI607" s="1"/>
      <c r="EJ607" s="1"/>
      <c r="EK607" s="1"/>
      <c r="EL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c r="BR608" s="1"/>
      <c r="BS608" s="1"/>
      <c r="BT608" s="1"/>
      <c r="BU608" s="1"/>
      <c r="BV608" s="1"/>
      <c r="BW608" s="1"/>
      <c r="BX608" s="1"/>
      <c r="BY608" s="1"/>
      <c r="BZ608" s="1"/>
      <c r="CA608" s="1"/>
      <c r="CB608" s="1"/>
      <c r="CC608" s="1"/>
      <c r="CD608" s="1"/>
      <c r="CE608" s="1"/>
      <c r="CF608" s="1"/>
      <c r="CG608" s="1"/>
      <c r="CH608" s="1"/>
      <c r="CI608" s="1"/>
      <c r="CJ608" s="1"/>
      <c r="CK608" s="1"/>
      <c r="CL608" s="1"/>
      <c r="CM608" s="1"/>
      <c r="CN608" s="1"/>
      <c r="CO608" s="1"/>
      <c r="CP608" s="1"/>
      <c r="CQ608" s="1"/>
      <c r="CR608" s="1"/>
      <c r="CS608" s="1"/>
      <c r="CT608" s="1"/>
      <c r="CU608" s="1"/>
      <c r="CV608" s="1"/>
      <c r="CW608" s="1"/>
      <c r="CX608" s="1"/>
      <c r="CY608" s="1"/>
      <c r="CZ608" s="1"/>
      <c r="DA608" s="1"/>
      <c r="DB608" s="1"/>
      <c r="DC608" s="1"/>
      <c r="DD608" s="1"/>
      <c r="DE608" s="1"/>
      <c r="DF608" s="1"/>
      <c r="DG608" s="1"/>
      <c r="DH608" s="1"/>
      <c r="DI608" s="1"/>
      <c r="DJ608" s="1"/>
      <c r="DK608" s="1"/>
      <c r="DL608" s="1"/>
      <c r="DM608" s="1"/>
      <c r="DN608" s="1"/>
      <c r="DO608" s="1"/>
      <c r="DP608" s="1"/>
      <c r="DQ608" s="1"/>
      <c r="DR608" s="1"/>
      <c r="DS608" s="1"/>
      <c r="DT608" s="1"/>
      <c r="DU608" s="1"/>
      <c r="DV608" s="1"/>
      <c r="DW608" s="1"/>
      <c r="DX608" s="1"/>
      <c r="DY608" s="1"/>
      <c r="DZ608" s="1"/>
      <c r="EA608" s="1"/>
      <c r="EB608" s="1"/>
      <c r="EC608" s="1"/>
      <c r="ED608" s="1"/>
      <c r="EE608" s="1"/>
      <c r="EF608" s="1"/>
      <c r="EG608" s="1"/>
      <c r="EH608" s="1"/>
      <c r="EI608" s="1"/>
      <c r="EJ608" s="1"/>
      <c r="EK608" s="1"/>
      <c r="EL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c r="BR609" s="1"/>
      <c r="BS609" s="1"/>
      <c r="BT609" s="1"/>
      <c r="BU609" s="1"/>
      <c r="BV609" s="1"/>
      <c r="BW609" s="1"/>
      <c r="BX609" s="1"/>
      <c r="BY609" s="1"/>
      <c r="BZ609" s="1"/>
      <c r="CA609" s="1"/>
      <c r="CB609" s="1"/>
      <c r="CC609" s="1"/>
      <c r="CD609" s="1"/>
      <c r="CE609" s="1"/>
      <c r="CF609" s="1"/>
      <c r="CG609" s="1"/>
      <c r="CH609" s="1"/>
      <c r="CI609" s="1"/>
      <c r="CJ609" s="1"/>
      <c r="CK609" s="1"/>
      <c r="CL609" s="1"/>
      <c r="CM609" s="1"/>
      <c r="CN609" s="1"/>
      <c r="CO609" s="1"/>
      <c r="CP609" s="1"/>
      <c r="CQ609" s="1"/>
      <c r="CR609" s="1"/>
      <c r="CS609" s="1"/>
      <c r="CT609" s="1"/>
      <c r="CU609" s="1"/>
      <c r="CV609" s="1"/>
      <c r="CW609" s="1"/>
      <c r="CX609" s="1"/>
      <c r="CY609" s="1"/>
      <c r="CZ609" s="1"/>
      <c r="DA609" s="1"/>
      <c r="DB609" s="1"/>
      <c r="DC609" s="1"/>
      <c r="DD609" s="1"/>
      <c r="DE609" s="1"/>
      <c r="DF609" s="1"/>
      <c r="DG609" s="1"/>
      <c r="DH609" s="1"/>
      <c r="DI609" s="1"/>
      <c r="DJ609" s="1"/>
      <c r="DK609" s="1"/>
      <c r="DL609" s="1"/>
      <c r="DM609" s="1"/>
      <c r="DN609" s="1"/>
      <c r="DO609" s="1"/>
      <c r="DP609" s="1"/>
      <c r="DQ609" s="1"/>
      <c r="DR609" s="1"/>
      <c r="DS609" s="1"/>
      <c r="DT609" s="1"/>
      <c r="DU609" s="1"/>
      <c r="DV609" s="1"/>
      <c r="DW609" s="1"/>
      <c r="DX609" s="1"/>
      <c r="DY609" s="1"/>
      <c r="DZ609" s="1"/>
      <c r="EA609" s="1"/>
      <c r="EB609" s="1"/>
      <c r="EC609" s="1"/>
      <c r="ED609" s="1"/>
      <c r="EE609" s="1"/>
      <c r="EF609" s="1"/>
      <c r="EG609" s="1"/>
      <c r="EH609" s="1"/>
      <c r="EI609" s="1"/>
      <c r="EJ609" s="1"/>
      <c r="EK609" s="1"/>
      <c r="EL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c r="BR610" s="1"/>
      <c r="BS610" s="1"/>
      <c r="BT610" s="1"/>
      <c r="BU610" s="1"/>
      <c r="BV610" s="1"/>
      <c r="BW610" s="1"/>
      <c r="BX610" s="1"/>
      <c r="BY610" s="1"/>
      <c r="BZ610" s="1"/>
      <c r="CA610" s="1"/>
      <c r="CB610" s="1"/>
      <c r="CC610" s="1"/>
      <c r="CD610" s="1"/>
      <c r="CE610" s="1"/>
      <c r="CF610" s="1"/>
      <c r="CG610" s="1"/>
      <c r="CH610" s="1"/>
      <c r="CI610" s="1"/>
      <c r="CJ610" s="1"/>
      <c r="CK610" s="1"/>
      <c r="CL610" s="1"/>
      <c r="CM610" s="1"/>
      <c r="CN610" s="1"/>
      <c r="CO610" s="1"/>
      <c r="CP610" s="1"/>
      <c r="CQ610" s="1"/>
      <c r="CR610" s="1"/>
      <c r="CS610" s="1"/>
      <c r="CT610" s="1"/>
      <c r="CU610" s="1"/>
      <c r="CV610" s="1"/>
      <c r="CW610" s="1"/>
      <c r="CX610" s="1"/>
      <c r="CY610" s="1"/>
      <c r="CZ610" s="1"/>
      <c r="DA610" s="1"/>
      <c r="DB610" s="1"/>
      <c r="DC610" s="1"/>
      <c r="DD610" s="1"/>
      <c r="DE610" s="1"/>
      <c r="DF610" s="1"/>
      <c r="DG610" s="1"/>
      <c r="DH610" s="1"/>
      <c r="DI610" s="1"/>
      <c r="DJ610" s="1"/>
      <c r="DK610" s="1"/>
      <c r="DL610" s="1"/>
      <c r="DM610" s="1"/>
      <c r="DN610" s="1"/>
      <c r="DO610" s="1"/>
      <c r="DP610" s="1"/>
      <c r="DQ610" s="1"/>
      <c r="DR610" s="1"/>
      <c r="DS610" s="1"/>
      <c r="DT610" s="1"/>
      <c r="DU610" s="1"/>
      <c r="DV610" s="1"/>
      <c r="DW610" s="1"/>
      <c r="DX610" s="1"/>
      <c r="DY610" s="1"/>
      <c r="DZ610" s="1"/>
      <c r="EA610" s="1"/>
      <c r="EB610" s="1"/>
      <c r="EC610" s="1"/>
      <c r="ED610" s="1"/>
      <c r="EE610" s="1"/>
      <c r="EF610" s="1"/>
      <c r="EG610" s="1"/>
      <c r="EH610" s="1"/>
      <c r="EI610" s="1"/>
      <c r="EJ610" s="1"/>
      <c r="EK610" s="1"/>
      <c r="EL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c r="BR611" s="1"/>
      <c r="BS611" s="1"/>
      <c r="BT611" s="1"/>
      <c r="BU611" s="1"/>
      <c r="BV611" s="1"/>
      <c r="BW611" s="1"/>
      <c r="BX611" s="1"/>
      <c r="BY611" s="1"/>
      <c r="BZ611" s="1"/>
      <c r="CA611" s="1"/>
      <c r="CB611" s="1"/>
      <c r="CC611" s="1"/>
      <c r="CD611" s="1"/>
      <c r="CE611" s="1"/>
      <c r="CF611" s="1"/>
      <c r="CG611" s="1"/>
      <c r="CH611" s="1"/>
      <c r="CI611" s="1"/>
      <c r="CJ611" s="1"/>
      <c r="CK611" s="1"/>
      <c r="CL611" s="1"/>
      <c r="CM611" s="1"/>
      <c r="CN611" s="1"/>
      <c r="CO611" s="1"/>
      <c r="CP611" s="1"/>
      <c r="CQ611" s="1"/>
      <c r="CR611" s="1"/>
      <c r="CS611" s="1"/>
      <c r="CT611" s="1"/>
      <c r="CU611" s="1"/>
      <c r="CV611" s="1"/>
      <c r="CW611" s="1"/>
      <c r="CX611" s="1"/>
      <c r="CY611" s="1"/>
      <c r="CZ611" s="1"/>
      <c r="DA611" s="1"/>
      <c r="DB611" s="1"/>
      <c r="DC611" s="1"/>
      <c r="DD611" s="1"/>
      <c r="DE611" s="1"/>
      <c r="DF611" s="1"/>
      <c r="DG611" s="1"/>
      <c r="DH611" s="1"/>
      <c r="DI611" s="1"/>
      <c r="DJ611" s="1"/>
      <c r="DK611" s="1"/>
      <c r="DL611" s="1"/>
      <c r="DM611" s="1"/>
      <c r="DN611" s="1"/>
      <c r="DO611" s="1"/>
      <c r="DP611" s="1"/>
      <c r="DQ611" s="1"/>
      <c r="DR611" s="1"/>
      <c r="DS611" s="1"/>
      <c r="DT611" s="1"/>
      <c r="DU611" s="1"/>
      <c r="DV611" s="1"/>
      <c r="DW611" s="1"/>
      <c r="DX611" s="1"/>
      <c r="DY611" s="1"/>
      <c r="DZ611" s="1"/>
      <c r="EA611" s="1"/>
      <c r="EB611" s="1"/>
      <c r="EC611" s="1"/>
      <c r="ED611" s="1"/>
      <c r="EE611" s="1"/>
      <c r="EF611" s="1"/>
      <c r="EG611" s="1"/>
      <c r="EH611" s="1"/>
      <c r="EI611" s="1"/>
      <c r="EJ611" s="1"/>
      <c r="EK611" s="1"/>
      <c r="EL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c r="BR612" s="1"/>
      <c r="BS612" s="1"/>
      <c r="BT612" s="1"/>
      <c r="BU612" s="1"/>
      <c r="BV612" s="1"/>
      <c r="BW612" s="1"/>
      <c r="BX612" s="1"/>
      <c r="BY612" s="1"/>
      <c r="BZ612" s="1"/>
      <c r="CA612" s="1"/>
      <c r="CB612" s="1"/>
      <c r="CC612" s="1"/>
      <c r="CD612" s="1"/>
      <c r="CE612" s="1"/>
      <c r="CF612" s="1"/>
      <c r="CG612" s="1"/>
      <c r="CH612" s="1"/>
      <c r="CI612" s="1"/>
      <c r="CJ612" s="1"/>
      <c r="CK612" s="1"/>
      <c r="CL612" s="1"/>
      <c r="CM612" s="1"/>
      <c r="CN612" s="1"/>
      <c r="CO612" s="1"/>
      <c r="CP612" s="1"/>
      <c r="CQ612" s="1"/>
      <c r="CR612" s="1"/>
      <c r="CS612" s="1"/>
      <c r="CT612" s="1"/>
      <c r="CU612" s="1"/>
      <c r="CV612" s="1"/>
      <c r="CW612" s="1"/>
      <c r="CX612" s="1"/>
      <c r="CY612" s="1"/>
      <c r="CZ612" s="1"/>
      <c r="DA612" s="1"/>
      <c r="DB612" s="1"/>
      <c r="DC612" s="1"/>
      <c r="DD612" s="1"/>
      <c r="DE612" s="1"/>
      <c r="DF612" s="1"/>
      <c r="DG612" s="1"/>
      <c r="DH612" s="1"/>
      <c r="DI612" s="1"/>
      <c r="DJ612" s="1"/>
      <c r="DK612" s="1"/>
      <c r="DL612" s="1"/>
      <c r="DM612" s="1"/>
      <c r="DN612" s="1"/>
      <c r="DO612" s="1"/>
      <c r="DP612" s="1"/>
      <c r="DQ612" s="1"/>
      <c r="DR612" s="1"/>
      <c r="DS612" s="1"/>
      <c r="DT612" s="1"/>
      <c r="DU612" s="1"/>
      <c r="DV612" s="1"/>
      <c r="DW612" s="1"/>
      <c r="DX612" s="1"/>
      <c r="DY612" s="1"/>
      <c r="DZ612" s="1"/>
      <c r="EA612" s="1"/>
      <c r="EB612" s="1"/>
      <c r="EC612" s="1"/>
      <c r="ED612" s="1"/>
      <c r="EE612" s="1"/>
      <c r="EF612" s="1"/>
      <c r="EG612" s="1"/>
      <c r="EH612" s="1"/>
      <c r="EI612" s="1"/>
      <c r="EJ612" s="1"/>
      <c r="EK612" s="1"/>
      <c r="EL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c r="BR613" s="1"/>
      <c r="BS613" s="1"/>
      <c r="BT613" s="1"/>
      <c r="BU613" s="1"/>
      <c r="BV613" s="1"/>
      <c r="BW613" s="1"/>
      <c r="BX613" s="1"/>
      <c r="BY613" s="1"/>
      <c r="BZ613" s="1"/>
      <c r="CA613" s="1"/>
      <c r="CB613" s="1"/>
      <c r="CC613" s="1"/>
      <c r="CD613" s="1"/>
      <c r="CE613" s="1"/>
      <c r="CF613" s="1"/>
      <c r="CG613" s="1"/>
      <c r="CH613" s="1"/>
      <c r="CI613" s="1"/>
      <c r="CJ613" s="1"/>
      <c r="CK613" s="1"/>
      <c r="CL613" s="1"/>
      <c r="CM613" s="1"/>
      <c r="CN613" s="1"/>
      <c r="CO613" s="1"/>
      <c r="CP613" s="1"/>
      <c r="CQ613" s="1"/>
      <c r="CR613" s="1"/>
      <c r="CS613" s="1"/>
      <c r="CT613" s="1"/>
      <c r="CU613" s="1"/>
      <c r="CV613" s="1"/>
      <c r="CW613" s="1"/>
      <c r="CX613" s="1"/>
      <c r="CY613" s="1"/>
      <c r="CZ613" s="1"/>
      <c r="DA613" s="1"/>
      <c r="DB613" s="1"/>
      <c r="DC613" s="1"/>
      <c r="DD613" s="1"/>
      <c r="DE613" s="1"/>
      <c r="DF613" s="1"/>
      <c r="DG613" s="1"/>
      <c r="DH613" s="1"/>
      <c r="DI613" s="1"/>
      <c r="DJ613" s="1"/>
      <c r="DK613" s="1"/>
      <c r="DL613" s="1"/>
      <c r="DM613" s="1"/>
      <c r="DN613" s="1"/>
      <c r="DO613" s="1"/>
      <c r="DP613" s="1"/>
      <c r="DQ613" s="1"/>
      <c r="DR613" s="1"/>
      <c r="DS613" s="1"/>
      <c r="DT613" s="1"/>
      <c r="DU613" s="1"/>
      <c r="DV613" s="1"/>
      <c r="DW613" s="1"/>
      <c r="DX613" s="1"/>
      <c r="DY613" s="1"/>
      <c r="DZ613" s="1"/>
      <c r="EA613" s="1"/>
      <c r="EB613" s="1"/>
      <c r="EC613" s="1"/>
      <c r="ED613" s="1"/>
      <c r="EE613" s="1"/>
      <c r="EF613" s="1"/>
      <c r="EG613" s="1"/>
      <c r="EH613" s="1"/>
      <c r="EI613" s="1"/>
      <c r="EJ613" s="1"/>
      <c r="EK613" s="1"/>
      <c r="EL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c r="BR614" s="1"/>
      <c r="BS614" s="1"/>
      <c r="BT614" s="1"/>
      <c r="BU614" s="1"/>
      <c r="BV614" s="1"/>
      <c r="BW614" s="1"/>
      <c r="BX614" s="1"/>
      <c r="BY614" s="1"/>
      <c r="BZ614" s="1"/>
      <c r="CA614" s="1"/>
      <c r="CB614" s="1"/>
      <c r="CC614" s="1"/>
      <c r="CD614" s="1"/>
      <c r="CE614" s="1"/>
      <c r="CF614" s="1"/>
      <c r="CG614" s="1"/>
      <c r="CH614" s="1"/>
      <c r="CI614" s="1"/>
      <c r="CJ614" s="1"/>
      <c r="CK614" s="1"/>
      <c r="CL614" s="1"/>
      <c r="CM614" s="1"/>
      <c r="CN614" s="1"/>
      <c r="CO614" s="1"/>
      <c r="CP614" s="1"/>
      <c r="CQ614" s="1"/>
      <c r="CR614" s="1"/>
      <c r="CS614" s="1"/>
      <c r="CT614" s="1"/>
      <c r="CU614" s="1"/>
      <c r="CV614" s="1"/>
      <c r="CW614" s="1"/>
      <c r="CX614" s="1"/>
      <c r="CY614" s="1"/>
      <c r="CZ614" s="1"/>
      <c r="DA614" s="1"/>
      <c r="DB614" s="1"/>
      <c r="DC614" s="1"/>
      <c r="DD614" s="1"/>
      <c r="DE614" s="1"/>
      <c r="DF614" s="1"/>
      <c r="DG614" s="1"/>
      <c r="DH614" s="1"/>
      <c r="DI614" s="1"/>
      <c r="DJ614" s="1"/>
      <c r="DK614" s="1"/>
      <c r="DL614" s="1"/>
      <c r="DM614" s="1"/>
      <c r="DN614" s="1"/>
      <c r="DO614" s="1"/>
      <c r="DP614" s="1"/>
      <c r="DQ614" s="1"/>
      <c r="DR614" s="1"/>
      <c r="DS614" s="1"/>
      <c r="DT614" s="1"/>
      <c r="DU614" s="1"/>
      <c r="DV614" s="1"/>
      <c r="DW614" s="1"/>
      <c r="DX614" s="1"/>
      <c r="DY614" s="1"/>
      <c r="DZ614" s="1"/>
      <c r="EA614" s="1"/>
      <c r="EB614" s="1"/>
      <c r="EC614" s="1"/>
      <c r="ED614" s="1"/>
      <c r="EE614" s="1"/>
      <c r="EF614" s="1"/>
      <c r="EG614" s="1"/>
      <c r="EH614" s="1"/>
      <c r="EI614" s="1"/>
      <c r="EJ614" s="1"/>
      <c r="EK614" s="1"/>
      <c r="EL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c r="BR615" s="1"/>
      <c r="BS615" s="1"/>
      <c r="BT615" s="1"/>
      <c r="BU615" s="1"/>
      <c r="BV615" s="1"/>
      <c r="BW615" s="1"/>
      <c r="BX615" s="1"/>
      <c r="BY615" s="1"/>
      <c r="BZ615" s="1"/>
      <c r="CA615" s="1"/>
      <c r="CB615" s="1"/>
      <c r="CC615" s="1"/>
      <c r="CD615" s="1"/>
      <c r="CE615" s="1"/>
      <c r="CF615" s="1"/>
      <c r="CG615" s="1"/>
      <c r="CH615" s="1"/>
      <c r="CI615" s="1"/>
      <c r="CJ615" s="1"/>
      <c r="CK615" s="1"/>
      <c r="CL615" s="1"/>
      <c r="CM615" s="1"/>
      <c r="CN615" s="1"/>
      <c r="CO615" s="1"/>
      <c r="CP615" s="1"/>
      <c r="CQ615" s="1"/>
      <c r="CR615" s="1"/>
      <c r="CS615" s="1"/>
      <c r="CT615" s="1"/>
      <c r="CU615" s="1"/>
      <c r="CV615" s="1"/>
      <c r="CW615" s="1"/>
      <c r="CX615" s="1"/>
      <c r="CY615" s="1"/>
      <c r="CZ615" s="1"/>
      <c r="DA615" s="1"/>
      <c r="DB615" s="1"/>
      <c r="DC615" s="1"/>
      <c r="DD615" s="1"/>
      <c r="DE615" s="1"/>
      <c r="DF615" s="1"/>
      <c r="DG615" s="1"/>
      <c r="DH615" s="1"/>
      <c r="DI615" s="1"/>
      <c r="DJ615" s="1"/>
      <c r="DK615" s="1"/>
      <c r="DL615" s="1"/>
      <c r="DM615" s="1"/>
      <c r="DN615" s="1"/>
      <c r="DO615" s="1"/>
      <c r="DP615" s="1"/>
      <c r="DQ615" s="1"/>
      <c r="DR615" s="1"/>
      <c r="DS615" s="1"/>
      <c r="DT615" s="1"/>
      <c r="DU615" s="1"/>
      <c r="DV615" s="1"/>
      <c r="DW615" s="1"/>
      <c r="DX615" s="1"/>
      <c r="DY615" s="1"/>
      <c r="DZ615" s="1"/>
      <c r="EA615" s="1"/>
      <c r="EB615" s="1"/>
      <c r="EC615" s="1"/>
      <c r="ED615" s="1"/>
      <c r="EE615" s="1"/>
      <c r="EF615" s="1"/>
      <c r="EG615" s="1"/>
      <c r="EH615" s="1"/>
      <c r="EI615" s="1"/>
      <c r="EJ615" s="1"/>
      <c r="EK615" s="1"/>
      <c r="EL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c r="BR616" s="1"/>
      <c r="BS616" s="1"/>
      <c r="BT616" s="1"/>
      <c r="BU616" s="1"/>
      <c r="BV616" s="1"/>
      <c r="BW616" s="1"/>
      <c r="BX616" s="1"/>
      <c r="BY616" s="1"/>
      <c r="BZ616" s="1"/>
      <c r="CA616" s="1"/>
      <c r="CB616" s="1"/>
      <c r="CC616" s="1"/>
      <c r="CD616" s="1"/>
      <c r="CE616" s="1"/>
      <c r="CF616" s="1"/>
      <c r="CG616" s="1"/>
      <c r="CH616" s="1"/>
      <c r="CI616" s="1"/>
      <c r="CJ616" s="1"/>
      <c r="CK616" s="1"/>
      <c r="CL616" s="1"/>
      <c r="CM616" s="1"/>
      <c r="CN616" s="1"/>
      <c r="CO616" s="1"/>
      <c r="CP616" s="1"/>
      <c r="CQ616" s="1"/>
      <c r="CR616" s="1"/>
      <c r="CS616" s="1"/>
      <c r="CT616" s="1"/>
      <c r="CU616" s="1"/>
      <c r="CV616" s="1"/>
      <c r="CW616" s="1"/>
      <c r="CX616" s="1"/>
      <c r="CY616" s="1"/>
      <c r="CZ616" s="1"/>
      <c r="DA616" s="1"/>
      <c r="DB616" s="1"/>
      <c r="DC616" s="1"/>
      <c r="DD616" s="1"/>
      <c r="DE616" s="1"/>
      <c r="DF616" s="1"/>
      <c r="DG616" s="1"/>
      <c r="DH616" s="1"/>
      <c r="DI616" s="1"/>
      <c r="DJ616" s="1"/>
      <c r="DK616" s="1"/>
      <c r="DL616" s="1"/>
      <c r="DM616" s="1"/>
      <c r="DN616" s="1"/>
      <c r="DO616" s="1"/>
      <c r="DP616" s="1"/>
      <c r="DQ616" s="1"/>
      <c r="DR616" s="1"/>
      <c r="DS616" s="1"/>
      <c r="DT616" s="1"/>
      <c r="DU616" s="1"/>
      <c r="DV616" s="1"/>
      <c r="DW616" s="1"/>
      <c r="DX616" s="1"/>
      <c r="DY616" s="1"/>
      <c r="DZ616" s="1"/>
      <c r="EA616" s="1"/>
      <c r="EB616" s="1"/>
      <c r="EC616" s="1"/>
      <c r="ED616" s="1"/>
      <c r="EE616" s="1"/>
      <c r="EF616" s="1"/>
      <c r="EG616" s="1"/>
      <c r="EH616" s="1"/>
      <c r="EI616" s="1"/>
      <c r="EJ616" s="1"/>
      <c r="EK616" s="1"/>
      <c r="EL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c r="BR617" s="1"/>
      <c r="BS617" s="1"/>
      <c r="BT617" s="1"/>
      <c r="BU617" s="1"/>
      <c r="BV617" s="1"/>
      <c r="BW617" s="1"/>
      <c r="BX617" s="1"/>
      <c r="BY617" s="1"/>
      <c r="BZ617" s="1"/>
      <c r="CA617" s="1"/>
      <c r="CB617" s="1"/>
      <c r="CC617" s="1"/>
      <c r="CD617" s="1"/>
      <c r="CE617" s="1"/>
      <c r="CF617" s="1"/>
      <c r="CG617" s="1"/>
      <c r="CH617" s="1"/>
      <c r="CI617" s="1"/>
      <c r="CJ617" s="1"/>
      <c r="CK617" s="1"/>
      <c r="CL617" s="1"/>
      <c r="CM617" s="1"/>
      <c r="CN617" s="1"/>
      <c r="CO617" s="1"/>
      <c r="CP617" s="1"/>
      <c r="CQ617" s="1"/>
      <c r="CR617" s="1"/>
      <c r="CS617" s="1"/>
      <c r="CT617" s="1"/>
      <c r="CU617" s="1"/>
      <c r="CV617" s="1"/>
      <c r="CW617" s="1"/>
      <c r="CX617" s="1"/>
      <c r="CY617" s="1"/>
      <c r="CZ617" s="1"/>
      <c r="DA617" s="1"/>
      <c r="DB617" s="1"/>
      <c r="DC617" s="1"/>
      <c r="DD617" s="1"/>
      <c r="DE617" s="1"/>
      <c r="DF617" s="1"/>
      <c r="DG617" s="1"/>
      <c r="DH617" s="1"/>
      <c r="DI617" s="1"/>
      <c r="DJ617" s="1"/>
      <c r="DK617" s="1"/>
      <c r="DL617" s="1"/>
      <c r="DM617" s="1"/>
      <c r="DN617" s="1"/>
      <c r="DO617" s="1"/>
      <c r="DP617" s="1"/>
      <c r="DQ617" s="1"/>
      <c r="DR617" s="1"/>
      <c r="DS617" s="1"/>
      <c r="DT617" s="1"/>
      <c r="DU617" s="1"/>
      <c r="DV617" s="1"/>
      <c r="DW617" s="1"/>
      <c r="DX617" s="1"/>
      <c r="DY617" s="1"/>
      <c r="DZ617" s="1"/>
      <c r="EA617" s="1"/>
      <c r="EB617" s="1"/>
      <c r="EC617" s="1"/>
      <c r="ED617" s="1"/>
      <c r="EE617" s="1"/>
      <c r="EF617" s="1"/>
      <c r="EG617" s="1"/>
      <c r="EH617" s="1"/>
      <c r="EI617" s="1"/>
      <c r="EJ617" s="1"/>
      <c r="EK617" s="1"/>
      <c r="EL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c r="BR618" s="1"/>
      <c r="BS618" s="1"/>
      <c r="BT618" s="1"/>
      <c r="BU618" s="1"/>
      <c r="BV618" s="1"/>
      <c r="BW618" s="1"/>
      <c r="BX618" s="1"/>
      <c r="BY618" s="1"/>
      <c r="BZ618" s="1"/>
      <c r="CA618" s="1"/>
      <c r="CB618" s="1"/>
      <c r="CC618" s="1"/>
      <c r="CD618" s="1"/>
      <c r="CE618" s="1"/>
      <c r="CF618" s="1"/>
      <c r="CG618" s="1"/>
      <c r="CH618" s="1"/>
      <c r="CI618" s="1"/>
      <c r="CJ618" s="1"/>
      <c r="CK618" s="1"/>
      <c r="CL618" s="1"/>
      <c r="CM618" s="1"/>
      <c r="CN618" s="1"/>
      <c r="CO618" s="1"/>
      <c r="CP618" s="1"/>
      <c r="CQ618" s="1"/>
      <c r="CR618" s="1"/>
      <c r="CS618" s="1"/>
      <c r="CT618" s="1"/>
      <c r="CU618" s="1"/>
      <c r="CV618" s="1"/>
      <c r="CW618" s="1"/>
      <c r="CX618" s="1"/>
      <c r="CY618" s="1"/>
      <c r="CZ618" s="1"/>
      <c r="DA618" s="1"/>
      <c r="DB618" s="1"/>
      <c r="DC618" s="1"/>
      <c r="DD618" s="1"/>
      <c r="DE618" s="1"/>
      <c r="DF618" s="1"/>
      <c r="DG618" s="1"/>
      <c r="DH618" s="1"/>
      <c r="DI618" s="1"/>
      <c r="DJ618" s="1"/>
      <c r="DK618" s="1"/>
      <c r="DL618" s="1"/>
      <c r="DM618" s="1"/>
      <c r="DN618" s="1"/>
      <c r="DO618" s="1"/>
      <c r="DP618" s="1"/>
      <c r="DQ618" s="1"/>
      <c r="DR618" s="1"/>
      <c r="DS618" s="1"/>
      <c r="DT618" s="1"/>
      <c r="DU618" s="1"/>
      <c r="DV618" s="1"/>
      <c r="DW618" s="1"/>
      <c r="DX618" s="1"/>
      <c r="DY618" s="1"/>
      <c r="DZ618" s="1"/>
      <c r="EA618" s="1"/>
      <c r="EB618" s="1"/>
      <c r="EC618" s="1"/>
      <c r="ED618" s="1"/>
      <c r="EE618" s="1"/>
      <c r="EF618" s="1"/>
      <c r="EG618" s="1"/>
      <c r="EH618" s="1"/>
      <c r="EI618" s="1"/>
      <c r="EJ618" s="1"/>
      <c r="EK618" s="1"/>
      <c r="EL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c r="BR619" s="1"/>
      <c r="BS619" s="1"/>
      <c r="BT619" s="1"/>
      <c r="BU619" s="1"/>
      <c r="BV619" s="1"/>
      <c r="BW619" s="1"/>
      <c r="BX619" s="1"/>
      <c r="BY619" s="1"/>
      <c r="BZ619" s="1"/>
      <c r="CA619" s="1"/>
      <c r="CB619" s="1"/>
      <c r="CC619" s="1"/>
      <c r="CD619" s="1"/>
      <c r="CE619" s="1"/>
      <c r="CF619" s="1"/>
      <c r="CG619" s="1"/>
      <c r="CH619" s="1"/>
      <c r="CI619" s="1"/>
      <c r="CJ619" s="1"/>
      <c r="CK619" s="1"/>
      <c r="CL619" s="1"/>
      <c r="CM619" s="1"/>
      <c r="CN619" s="1"/>
      <c r="CO619" s="1"/>
      <c r="CP619" s="1"/>
      <c r="CQ619" s="1"/>
      <c r="CR619" s="1"/>
      <c r="CS619" s="1"/>
      <c r="CT619" s="1"/>
      <c r="CU619" s="1"/>
      <c r="CV619" s="1"/>
      <c r="CW619" s="1"/>
      <c r="CX619" s="1"/>
      <c r="CY619" s="1"/>
      <c r="CZ619" s="1"/>
      <c r="DA619" s="1"/>
      <c r="DB619" s="1"/>
      <c r="DC619" s="1"/>
      <c r="DD619" s="1"/>
      <c r="DE619" s="1"/>
      <c r="DF619" s="1"/>
      <c r="DG619" s="1"/>
      <c r="DH619" s="1"/>
      <c r="DI619" s="1"/>
      <c r="DJ619" s="1"/>
      <c r="DK619" s="1"/>
      <c r="DL619" s="1"/>
      <c r="DM619" s="1"/>
      <c r="DN619" s="1"/>
      <c r="DO619" s="1"/>
      <c r="DP619" s="1"/>
      <c r="DQ619" s="1"/>
      <c r="DR619" s="1"/>
      <c r="DS619" s="1"/>
      <c r="DT619" s="1"/>
      <c r="DU619" s="1"/>
      <c r="DV619" s="1"/>
      <c r="DW619" s="1"/>
      <c r="DX619" s="1"/>
      <c r="DY619" s="1"/>
      <c r="DZ619" s="1"/>
      <c r="EA619" s="1"/>
      <c r="EB619" s="1"/>
      <c r="EC619" s="1"/>
      <c r="ED619" s="1"/>
      <c r="EE619" s="1"/>
      <c r="EF619" s="1"/>
      <c r="EG619" s="1"/>
      <c r="EH619" s="1"/>
      <c r="EI619" s="1"/>
      <c r="EJ619" s="1"/>
      <c r="EK619" s="1"/>
      <c r="EL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c r="BR620" s="1"/>
      <c r="BS620" s="1"/>
      <c r="BT620" s="1"/>
      <c r="BU620" s="1"/>
      <c r="BV620" s="1"/>
      <c r="BW620" s="1"/>
      <c r="BX620" s="1"/>
      <c r="BY620" s="1"/>
      <c r="BZ620" s="1"/>
      <c r="CA620" s="1"/>
      <c r="CB620" s="1"/>
      <c r="CC620" s="1"/>
      <c r="CD620" s="1"/>
      <c r="CE620" s="1"/>
      <c r="CF620" s="1"/>
      <c r="CG620" s="1"/>
      <c r="CH620" s="1"/>
      <c r="CI620" s="1"/>
      <c r="CJ620" s="1"/>
      <c r="CK620" s="1"/>
      <c r="CL620" s="1"/>
      <c r="CM620" s="1"/>
      <c r="CN620" s="1"/>
      <c r="CO620" s="1"/>
      <c r="CP620" s="1"/>
      <c r="CQ620" s="1"/>
      <c r="CR620" s="1"/>
      <c r="CS620" s="1"/>
      <c r="CT620" s="1"/>
      <c r="CU620" s="1"/>
      <c r="CV620" s="1"/>
      <c r="CW620" s="1"/>
      <c r="CX620" s="1"/>
      <c r="CY620" s="1"/>
      <c r="CZ620" s="1"/>
      <c r="DA620" s="1"/>
      <c r="DB620" s="1"/>
      <c r="DC620" s="1"/>
      <c r="DD620" s="1"/>
      <c r="DE620" s="1"/>
      <c r="DF620" s="1"/>
      <c r="DG620" s="1"/>
      <c r="DH620" s="1"/>
      <c r="DI620" s="1"/>
      <c r="DJ620" s="1"/>
      <c r="DK620" s="1"/>
      <c r="DL620" s="1"/>
      <c r="DM620" s="1"/>
      <c r="DN620" s="1"/>
      <c r="DO620" s="1"/>
      <c r="DP620" s="1"/>
      <c r="DQ620" s="1"/>
      <c r="DR620" s="1"/>
      <c r="DS620" s="1"/>
      <c r="DT620" s="1"/>
      <c r="DU620" s="1"/>
      <c r="DV620" s="1"/>
      <c r="DW620" s="1"/>
      <c r="DX620" s="1"/>
      <c r="DY620" s="1"/>
      <c r="DZ620" s="1"/>
      <c r="EA620" s="1"/>
      <c r="EB620" s="1"/>
      <c r="EC620" s="1"/>
      <c r="ED620" s="1"/>
      <c r="EE620" s="1"/>
      <c r="EF620" s="1"/>
      <c r="EG620" s="1"/>
      <c r="EH620" s="1"/>
      <c r="EI620" s="1"/>
      <c r="EJ620" s="1"/>
      <c r="EK620" s="1"/>
      <c r="EL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c r="BR621" s="1"/>
      <c r="BS621" s="1"/>
      <c r="BT621" s="1"/>
      <c r="BU621" s="1"/>
      <c r="BV621" s="1"/>
      <c r="BW621" s="1"/>
      <c r="BX621" s="1"/>
      <c r="BY621" s="1"/>
      <c r="BZ621" s="1"/>
      <c r="CA621" s="1"/>
      <c r="CB621" s="1"/>
      <c r="CC621" s="1"/>
      <c r="CD621" s="1"/>
      <c r="CE621" s="1"/>
      <c r="CF621" s="1"/>
      <c r="CG621" s="1"/>
      <c r="CH621" s="1"/>
      <c r="CI621" s="1"/>
      <c r="CJ621" s="1"/>
      <c r="CK621" s="1"/>
      <c r="CL621" s="1"/>
      <c r="CM621" s="1"/>
      <c r="CN621" s="1"/>
      <c r="CO621" s="1"/>
      <c r="CP621" s="1"/>
      <c r="CQ621" s="1"/>
      <c r="CR621" s="1"/>
      <c r="CS621" s="1"/>
      <c r="CT621" s="1"/>
      <c r="CU621" s="1"/>
      <c r="CV621" s="1"/>
      <c r="CW621" s="1"/>
      <c r="CX621" s="1"/>
      <c r="CY621" s="1"/>
      <c r="CZ621" s="1"/>
      <c r="DA621" s="1"/>
      <c r="DB621" s="1"/>
      <c r="DC621" s="1"/>
      <c r="DD621" s="1"/>
      <c r="DE621" s="1"/>
      <c r="DF621" s="1"/>
      <c r="DG621" s="1"/>
      <c r="DH621" s="1"/>
      <c r="DI621" s="1"/>
      <c r="DJ621" s="1"/>
      <c r="DK621" s="1"/>
      <c r="DL621" s="1"/>
      <c r="DM621" s="1"/>
      <c r="DN621" s="1"/>
      <c r="DO621" s="1"/>
      <c r="DP621" s="1"/>
      <c r="DQ621" s="1"/>
      <c r="DR621" s="1"/>
      <c r="DS621" s="1"/>
      <c r="DT621" s="1"/>
      <c r="DU621" s="1"/>
      <c r="DV621" s="1"/>
      <c r="DW621" s="1"/>
      <c r="DX621" s="1"/>
      <c r="DY621" s="1"/>
      <c r="DZ621" s="1"/>
      <c r="EA621" s="1"/>
      <c r="EB621" s="1"/>
      <c r="EC621" s="1"/>
      <c r="ED621" s="1"/>
      <c r="EE621" s="1"/>
      <c r="EF621" s="1"/>
      <c r="EG621" s="1"/>
      <c r="EH621" s="1"/>
      <c r="EI621" s="1"/>
      <c r="EJ621" s="1"/>
      <c r="EK621" s="1"/>
      <c r="EL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c r="BR622" s="1"/>
      <c r="BS622" s="1"/>
      <c r="BT622" s="1"/>
      <c r="BU622" s="1"/>
      <c r="BV622" s="1"/>
      <c r="BW622" s="1"/>
      <c r="BX622" s="1"/>
      <c r="BY622" s="1"/>
      <c r="BZ622" s="1"/>
      <c r="CA622" s="1"/>
      <c r="CB622" s="1"/>
      <c r="CC622" s="1"/>
      <c r="CD622" s="1"/>
      <c r="CE622" s="1"/>
      <c r="CF622" s="1"/>
      <c r="CG622" s="1"/>
      <c r="CH622" s="1"/>
      <c r="CI622" s="1"/>
      <c r="CJ622" s="1"/>
      <c r="CK622" s="1"/>
      <c r="CL622" s="1"/>
      <c r="CM622" s="1"/>
      <c r="CN622" s="1"/>
      <c r="CO622" s="1"/>
      <c r="CP622" s="1"/>
      <c r="CQ622" s="1"/>
      <c r="CR622" s="1"/>
      <c r="CS622" s="1"/>
      <c r="CT622" s="1"/>
      <c r="CU622" s="1"/>
      <c r="CV622" s="1"/>
      <c r="CW622" s="1"/>
      <c r="CX622" s="1"/>
      <c r="CY622" s="1"/>
      <c r="CZ622" s="1"/>
      <c r="DA622" s="1"/>
      <c r="DB622" s="1"/>
      <c r="DC622" s="1"/>
      <c r="DD622" s="1"/>
      <c r="DE622" s="1"/>
      <c r="DF622" s="1"/>
      <c r="DG622" s="1"/>
      <c r="DH622" s="1"/>
      <c r="DI622" s="1"/>
      <c r="DJ622" s="1"/>
      <c r="DK622" s="1"/>
      <c r="DL622" s="1"/>
      <c r="DM622" s="1"/>
      <c r="DN622" s="1"/>
      <c r="DO622" s="1"/>
      <c r="DP622" s="1"/>
      <c r="DQ622" s="1"/>
      <c r="DR622" s="1"/>
      <c r="DS622" s="1"/>
      <c r="DT622" s="1"/>
      <c r="DU622" s="1"/>
      <c r="DV622" s="1"/>
      <c r="DW622" s="1"/>
      <c r="DX622" s="1"/>
      <c r="DY622" s="1"/>
      <c r="DZ622" s="1"/>
      <c r="EA622" s="1"/>
      <c r="EB622" s="1"/>
      <c r="EC622" s="1"/>
      <c r="ED622" s="1"/>
      <c r="EE622" s="1"/>
      <c r="EF622" s="1"/>
      <c r="EG622" s="1"/>
      <c r="EH622" s="1"/>
      <c r="EI622" s="1"/>
      <c r="EJ622" s="1"/>
      <c r="EK622" s="1"/>
      <c r="EL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c r="BR623" s="1"/>
      <c r="BS623" s="1"/>
      <c r="BT623" s="1"/>
      <c r="BU623" s="1"/>
      <c r="BV623" s="1"/>
      <c r="BW623" s="1"/>
      <c r="BX623" s="1"/>
      <c r="BY623" s="1"/>
      <c r="BZ623" s="1"/>
      <c r="CA623" s="1"/>
      <c r="CB623" s="1"/>
      <c r="CC623" s="1"/>
      <c r="CD623" s="1"/>
      <c r="CE623" s="1"/>
      <c r="CF623" s="1"/>
      <c r="CG623" s="1"/>
      <c r="CH623" s="1"/>
      <c r="CI623" s="1"/>
      <c r="CJ623" s="1"/>
      <c r="CK623" s="1"/>
      <c r="CL623" s="1"/>
      <c r="CM623" s="1"/>
      <c r="CN623" s="1"/>
      <c r="CO623" s="1"/>
      <c r="CP623" s="1"/>
      <c r="CQ623" s="1"/>
      <c r="CR623" s="1"/>
      <c r="CS623" s="1"/>
      <c r="CT623" s="1"/>
      <c r="CU623" s="1"/>
      <c r="CV623" s="1"/>
      <c r="CW623" s="1"/>
      <c r="CX623" s="1"/>
      <c r="CY623" s="1"/>
      <c r="CZ623" s="1"/>
      <c r="DA623" s="1"/>
      <c r="DB623" s="1"/>
      <c r="DC623" s="1"/>
      <c r="DD623" s="1"/>
      <c r="DE623" s="1"/>
      <c r="DF623" s="1"/>
      <c r="DG623" s="1"/>
      <c r="DH623" s="1"/>
      <c r="DI623" s="1"/>
      <c r="DJ623" s="1"/>
      <c r="DK623" s="1"/>
      <c r="DL623" s="1"/>
      <c r="DM623" s="1"/>
      <c r="DN623" s="1"/>
      <c r="DO623" s="1"/>
      <c r="DP623" s="1"/>
      <c r="DQ623" s="1"/>
      <c r="DR623" s="1"/>
      <c r="DS623" s="1"/>
      <c r="DT623" s="1"/>
      <c r="DU623" s="1"/>
      <c r="DV623" s="1"/>
      <c r="DW623" s="1"/>
      <c r="DX623" s="1"/>
      <c r="DY623" s="1"/>
      <c r="DZ623" s="1"/>
      <c r="EA623" s="1"/>
      <c r="EB623" s="1"/>
      <c r="EC623" s="1"/>
      <c r="ED623" s="1"/>
      <c r="EE623" s="1"/>
      <c r="EF623" s="1"/>
      <c r="EG623" s="1"/>
      <c r="EH623" s="1"/>
      <c r="EI623" s="1"/>
      <c r="EJ623" s="1"/>
      <c r="EK623" s="1"/>
      <c r="EL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c r="BR624" s="1"/>
      <c r="BS624" s="1"/>
      <c r="BT624" s="1"/>
      <c r="BU624" s="1"/>
      <c r="BV624" s="1"/>
      <c r="BW624" s="1"/>
      <c r="BX624" s="1"/>
      <c r="BY624" s="1"/>
      <c r="BZ624" s="1"/>
      <c r="CA624" s="1"/>
      <c r="CB624" s="1"/>
      <c r="CC624" s="1"/>
      <c r="CD624" s="1"/>
      <c r="CE624" s="1"/>
      <c r="CF624" s="1"/>
      <c r="CG624" s="1"/>
      <c r="CH624" s="1"/>
      <c r="CI624" s="1"/>
      <c r="CJ624" s="1"/>
      <c r="CK624" s="1"/>
      <c r="CL624" s="1"/>
      <c r="CM624" s="1"/>
      <c r="CN624" s="1"/>
      <c r="CO624" s="1"/>
      <c r="CP624" s="1"/>
      <c r="CQ624" s="1"/>
      <c r="CR624" s="1"/>
      <c r="CS624" s="1"/>
      <c r="CT624" s="1"/>
      <c r="CU624" s="1"/>
      <c r="CV624" s="1"/>
      <c r="CW624" s="1"/>
      <c r="CX624" s="1"/>
      <c r="CY624" s="1"/>
      <c r="CZ624" s="1"/>
      <c r="DA624" s="1"/>
      <c r="DB624" s="1"/>
      <c r="DC624" s="1"/>
      <c r="DD624" s="1"/>
      <c r="DE624" s="1"/>
      <c r="DF624" s="1"/>
      <c r="DG624" s="1"/>
      <c r="DH624" s="1"/>
      <c r="DI624" s="1"/>
      <c r="DJ624" s="1"/>
      <c r="DK624" s="1"/>
      <c r="DL624" s="1"/>
      <c r="DM624" s="1"/>
      <c r="DN624" s="1"/>
      <c r="DO624" s="1"/>
      <c r="DP624" s="1"/>
      <c r="DQ624" s="1"/>
      <c r="DR624" s="1"/>
      <c r="DS624" s="1"/>
      <c r="DT624" s="1"/>
      <c r="DU624" s="1"/>
      <c r="DV624" s="1"/>
      <c r="DW624" s="1"/>
      <c r="DX624" s="1"/>
      <c r="DY624" s="1"/>
      <c r="DZ624" s="1"/>
      <c r="EA624" s="1"/>
      <c r="EB624" s="1"/>
      <c r="EC624" s="1"/>
      <c r="ED624" s="1"/>
      <c r="EE624" s="1"/>
      <c r="EF624" s="1"/>
      <c r="EG624" s="1"/>
      <c r="EH624" s="1"/>
      <c r="EI624" s="1"/>
      <c r="EJ624" s="1"/>
      <c r="EK624" s="1"/>
      <c r="EL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c r="BR625" s="1"/>
      <c r="BS625" s="1"/>
      <c r="BT625" s="1"/>
      <c r="BU625" s="1"/>
      <c r="BV625" s="1"/>
      <c r="BW625" s="1"/>
      <c r="BX625" s="1"/>
      <c r="BY625" s="1"/>
      <c r="BZ625" s="1"/>
      <c r="CA625" s="1"/>
      <c r="CB625" s="1"/>
      <c r="CC625" s="1"/>
      <c r="CD625" s="1"/>
      <c r="CE625" s="1"/>
      <c r="CF625" s="1"/>
      <c r="CG625" s="1"/>
      <c r="CH625" s="1"/>
      <c r="CI625" s="1"/>
      <c r="CJ625" s="1"/>
      <c r="CK625" s="1"/>
      <c r="CL625" s="1"/>
      <c r="CM625" s="1"/>
      <c r="CN625" s="1"/>
      <c r="CO625" s="1"/>
      <c r="CP625" s="1"/>
      <c r="CQ625" s="1"/>
      <c r="CR625" s="1"/>
      <c r="CS625" s="1"/>
      <c r="CT625" s="1"/>
      <c r="CU625" s="1"/>
      <c r="CV625" s="1"/>
      <c r="CW625" s="1"/>
      <c r="CX625" s="1"/>
      <c r="CY625" s="1"/>
      <c r="CZ625" s="1"/>
      <c r="DA625" s="1"/>
      <c r="DB625" s="1"/>
      <c r="DC625" s="1"/>
      <c r="DD625" s="1"/>
      <c r="DE625" s="1"/>
      <c r="DF625" s="1"/>
      <c r="DG625" s="1"/>
      <c r="DH625" s="1"/>
      <c r="DI625" s="1"/>
      <c r="DJ625" s="1"/>
      <c r="DK625" s="1"/>
      <c r="DL625" s="1"/>
      <c r="DM625" s="1"/>
      <c r="DN625" s="1"/>
      <c r="DO625" s="1"/>
      <c r="DP625" s="1"/>
      <c r="DQ625" s="1"/>
      <c r="DR625" s="1"/>
      <c r="DS625" s="1"/>
      <c r="DT625" s="1"/>
      <c r="DU625" s="1"/>
      <c r="DV625" s="1"/>
      <c r="DW625" s="1"/>
      <c r="DX625" s="1"/>
      <c r="DY625" s="1"/>
      <c r="DZ625" s="1"/>
      <c r="EA625" s="1"/>
      <c r="EB625" s="1"/>
      <c r="EC625" s="1"/>
      <c r="ED625" s="1"/>
      <c r="EE625" s="1"/>
      <c r="EF625" s="1"/>
      <c r="EG625" s="1"/>
      <c r="EH625" s="1"/>
      <c r="EI625" s="1"/>
      <c r="EJ625" s="1"/>
      <c r="EK625" s="1"/>
      <c r="EL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c r="BR626" s="1"/>
      <c r="BS626" s="1"/>
      <c r="BT626" s="1"/>
      <c r="BU626" s="1"/>
      <c r="BV626" s="1"/>
      <c r="BW626" s="1"/>
      <c r="BX626" s="1"/>
      <c r="BY626" s="1"/>
      <c r="BZ626" s="1"/>
      <c r="CA626" s="1"/>
      <c r="CB626" s="1"/>
      <c r="CC626" s="1"/>
      <c r="CD626" s="1"/>
      <c r="CE626" s="1"/>
      <c r="CF626" s="1"/>
      <c r="CG626" s="1"/>
      <c r="CH626" s="1"/>
      <c r="CI626" s="1"/>
      <c r="CJ626" s="1"/>
      <c r="CK626" s="1"/>
      <c r="CL626" s="1"/>
      <c r="CM626" s="1"/>
      <c r="CN626" s="1"/>
      <c r="CO626" s="1"/>
      <c r="CP626" s="1"/>
      <c r="CQ626" s="1"/>
      <c r="CR626" s="1"/>
      <c r="CS626" s="1"/>
      <c r="CT626" s="1"/>
      <c r="CU626" s="1"/>
      <c r="CV626" s="1"/>
      <c r="CW626" s="1"/>
      <c r="CX626" s="1"/>
      <c r="CY626" s="1"/>
      <c r="CZ626" s="1"/>
      <c r="DA626" s="1"/>
      <c r="DB626" s="1"/>
      <c r="DC626" s="1"/>
      <c r="DD626" s="1"/>
      <c r="DE626" s="1"/>
      <c r="DF626" s="1"/>
      <c r="DG626" s="1"/>
      <c r="DH626" s="1"/>
      <c r="DI626" s="1"/>
      <c r="DJ626" s="1"/>
      <c r="DK626" s="1"/>
      <c r="DL626" s="1"/>
      <c r="DM626" s="1"/>
      <c r="DN626" s="1"/>
      <c r="DO626" s="1"/>
      <c r="DP626" s="1"/>
      <c r="DQ626" s="1"/>
      <c r="DR626" s="1"/>
      <c r="DS626" s="1"/>
      <c r="DT626" s="1"/>
      <c r="DU626" s="1"/>
      <c r="DV626" s="1"/>
      <c r="DW626" s="1"/>
      <c r="DX626" s="1"/>
      <c r="DY626" s="1"/>
      <c r="DZ626" s="1"/>
      <c r="EA626" s="1"/>
      <c r="EB626" s="1"/>
      <c r="EC626" s="1"/>
      <c r="ED626" s="1"/>
      <c r="EE626" s="1"/>
      <c r="EF626" s="1"/>
      <c r="EG626" s="1"/>
      <c r="EH626" s="1"/>
      <c r="EI626" s="1"/>
      <c r="EJ626" s="1"/>
      <c r="EK626" s="1"/>
      <c r="EL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c r="BR627" s="1"/>
      <c r="BS627" s="1"/>
      <c r="BT627" s="1"/>
      <c r="BU627" s="1"/>
      <c r="BV627" s="1"/>
      <c r="BW627" s="1"/>
      <c r="BX627" s="1"/>
      <c r="BY627" s="1"/>
      <c r="BZ627" s="1"/>
      <c r="CA627" s="1"/>
      <c r="CB627" s="1"/>
      <c r="CC627" s="1"/>
      <c r="CD627" s="1"/>
      <c r="CE627" s="1"/>
      <c r="CF627" s="1"/>
      <c r="CG627" s="1"/>
      <c r="CH627" s="1"/>
      <c r="CI627" s="1"/>
      <c r="CJ627" s="1"/>
      <c r="CK627" s="1"/>
      <c r="CL627" s="1"/>
      <c r="CM627" s="1"/>
      <c r="CN627" s="1"/>
      <c r="CO627" s="1"/>
      <c r="CP627" s="1"/>
      <c r="CQ627" s="1"/>
      <c r="CR627" s="1"/>
      <c r="CS627" s="1"/>
      <c r="CT627" s="1"/>
      <c r="CU627" s="1"/>
      <c r="CV627" s="1"/>
      <c r="CW627" s="1"/>
      <c r="CX627" s="1"/>
      <c r="CY627" s="1"/>
      <c r="CZ627" s="1"/>
      <c r="DA627" s="1"/>
      <c r="DB627" s="1"/>
      <c r="DC627" s="1"/>
      <c r="DD627" s="1"/>
      <c r="DE627" s="1"/>
      <c r="DF627" s="1"/>
      <c r="DG627" s="1"/>
      <c r="DH627" s="1"/>
      <c r="DI627" s="1"/>
      <c r="DJ627" s="1"/>
      <c r="DK627" s="1"/>
      <c r="DL627" s="1"/>
      <c r="DM627" s="1"/>
      <c r="DN627" s="1"/>
      <c r="DO627" s="1"/>
      <c r="DP627" s="1"/>
      <c r="DQ627" s="1"/>
      <c r="DR627" s="1"/>
      <c r="DS627" s="1"/>
      <c r="DT627" s="1"/>
      <c r="DU627" s="1"/>
      <c r="DV627" s="1"/>
      <c r="DW627" s="1"/>
      <c r="DX627" s="1"/>
      <c r="DY627" s="1"/>
      <c r="DZ627" s="1"/>
      <c r="EA627" s="1"/>
      <c r="EB627" s="1"/>
      <c r="EC627" s="1"/>
      <c r="ED627" s="1"/>
      <c r="EE627" s="1"/>
      <c r="EF627" s="1"/>
      <c r="EG627" s="1"/>
      <c r="EH627" s="1"/>
      <c r="EI627" s="1"/>
      <c r="EJ627" s="1"/>
      <c r="EK627" s="1"/>
      <c r="EL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c r="BR628" s="1"/>
      <c r="BS628" s="1"/>
      <c r="BT628" s="1"/>
      <c r="BU628" s="1"/>
      <c r="BV628" s="1"/>
      <c r="BW628" s="1"/>
      <c r="BX628" s="1"/>
      <c r="BY628" s="1"/>
      <c r="BZ628" s="1"/>
      <c r="CA628" s="1"/>
      <c r="CB628" s="1"/>
      <c r="CC628" s="1"/>
      <c r="CD628" s="1"/>
      <c r="CE628" s="1"/>
      <c r="CF628" s="1"/>
      <c r="CG628" s="1"/>
      <c r="CH628" s="1"/>
      <c r="CI628" s="1"/>
      <c r="CJ628" s="1"/>
      <c r="CK628" s="1"/>
      <c r="CL628" s="1"/>
      <c r="CM628" s="1"/>
      <c r="CN628" s="1"/>
      <c r="CO628" s="1"/>
      <c r="CP628" s="1"/>
      <c r="CQ628" s="1"/>
      <c r="CR628" s="1"/>
      <c r="CS628" s="1"/>
      <c r="CT628" s="1"/>
      <c r="CU628" s="1"/>
      <c r="CV628" s="1"/>
      <c r="CW628" s="1"/>
      <c r="CX628" s="1"/>
      <c r="CY628" s="1"/>
      <c r="CZ628" s="1"/>
      <c r="DA628" s="1"/>
      <c r="DB628" s="1"/>
      <c r="DC628" s="1"/>
      <c r="DD628" s="1"/>
      <c r="DE628" s="1"/>
      <c r="DF628" s="1"/>
      <c r="DG628" s="1"/>
      <c r="DH628" s="1"/>
      <c r="DI628" s="1"/>
      <c r="DJ628" s="1"/>
      <c r="DK628" s="1"/>
      <c r="DL628" s="1"/>
      <c r="DM628" s="1"/>
      <c r="DN628" s="1"/>
      <c r="DO628" s="1"/>
      <c r="DP628" s="1"/>
      <c r="DQ628" s="1"/>
      <c r="DR628" s="1"/>
      <c r="DS628" s="1"/>
      <c r="DT628" s="1"/>
      <c r="DU628" s="1"/>
      <c r="DV628" s="1"/>
      <c r="DW628" s="1"/>
      <c r="DX628" s="1"/>
      <c r="DY628" s="1"/>
      <c r="DZ628" s="1"/>
      <c r="EA628" s="1"/>
      <c r="EB628" s="1"/>
      <c r="EC628" s="1"/>
      <c r="ED628" s="1"/>
      <c r="EE628" s="1"/>
      <c r="EF628" s="1"/>
      <c r="EG628" s="1"/>
      <c r="EH628" s="1"/>
      <c r="EI628" s="1"/>
      <c r="EJ628" s="1"/>
      <c r="EK628" s="1"/>
      <c r="EL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c r="BR629" s="1"/>
      <c r="BS629" s="1"/>
      <c r="BT629" s="1"/>
      <c r="BU629" s="1"/>
      <c r="BV629" s="1"/>
      <c r="BW629" s="1"/>
      <c r="BX629" s="1"/>
      <c r="BY629" s="1"/>
      <c r="BZ629" s="1"/>
      <c r="CA629" s="1"/>
      <c r="CB629" s="1"/>
      <c r="CC629" s="1"/>
      <c r="CD629" s="1"/>
      <c r="CE629" s="1"/>
      <c r="CF629" s="1"/>
      <c r="CG629" s="1"/>
      <c r="CH629" s="1"/>
      <c r="CI629" s="1"/>
      <c r="CJ629" s="1"/>
      <c r="CK629" s="1"/>
      <c r="CL629" s="1"/>
      <c r="CM629" s="1"/>
      <c r="CN629" s="1"/>
      <c r="CO629" s="1"/>
      <c r="CP629" s="1"/>
      <c r="CQ629" s="1"/>
      <c r="CR629" s="1"/>
      <c r="CS629" s="1"/>
      <c r="CT629" s="1"/>
      <c r="CU629" s="1"/>
      <c r="CV629" s="1"/>
      <c r="CW629" s="1"/>
      <c r="CX629" s="1"/>
      <c r="CY629" s="1"/>
      <c r="CZ629" s="1"/>
      <c r="DA629" s="1"/>
      <c r="DB629" s="1"/>
      <c r="DC629" s="1"/>
      <c r="DD629" s="1"/>
      <c r="DE629" s="1"/>
      <c r="DF629" s="1"/>
      <c r="DG629" s="1"/>
      <c r="DH629" s="1"/>
      <c r="DI629" s="1"/>
      <c r="DJ629" s="1"/>
      <c r="DK629" s="1"/>
      <c r="DL629" s="1"/>
      <c r="DM629" s="1"/>
      <c r="DN629" s="1"/>
      <c r="DO629" s="1"/>
      <c r="DP629" s="1"/>
      <c r="DQ629" s="1"/>
      <c r="DR629" s="1"/>
      <c r="DS629" s="1"/>
      <c r="DT629" s="1"/>
      <c r="DU629" s="1"/>
      <c r="DV629" s="1"/>
      <c r="DW629" s="1"/>
      <c r="DX629" s="1"/>
      <c r="DY629" s="1"/>
      <c r="DZ629" s="1"/>
      <c r="EA629" s="1"/>
      <c r="EB629" s="1"/>
      <c r="EC629" s="1"/>
      <c r="ED629" s="1"/>
      <c r="EE629" s="1"/>
      <c r="EF629" s="1"/>
      <c r="EG629" s="1"/>
      <c r="EH629" s="1"/>
      <c r="EI629" s="1"/>
      <c r="EJ629" s="1"/>
      <c r="EK629" s="1"/>
      <c r="EL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c r="BR630" s="1"/>
      <c r="BS630" s="1"/>
      <c r="BT630" s="1"/>
      <c r="BU630" s="1"/>
      <c r="BV630" s="1"/>
      <c r="BW630" s="1"/>
      <c r="BX630" s="1"/>
      <c r="BY630" s="1"/>
      <c r="BZ630" s="1"/>
      <c r="CA630" s="1"/>
      <c r="CB630" s="1"/>
      <c r="CC630" s="1"/>
      <c r="CD630" s="1"/>
      <c r="CE630" s="1"/>
      <c r="CF630" s="1"/>
      <c r="CG630" s="1"/>
      <c r="CH630" s="1"/>
      <c r="CI630" s="1"/>
      <c r="CJ630" s="1"/>
      <c r="CK630" s="1"/>
      <c r="CL630" s="1"/>
      <c r="CM630" s="1"/>
      <c r="CN630" s="1"/>
      <c r="CO630" s="1"/>
      <c r="CP630" s="1"/>
      <c r="CQ630" s="1"/>
      <c r="CR630" s="1"/>
      <c r="CS630" s="1"/>
      <c r="CT630" s="1"/>
      <c r="CU630" s="1"/>
      <c r="CV630" s="1"/>
      <c r="CW630" s="1"/>
      <c r="CX630" s="1"/>
      <c r="CY630" s="1"/>
      <c r="CZ630" s="1"/>
      <c r="DA630" s="1"/>
      <c r="DB630" s="1"/>
      <c r="DC630" s="1"/>
      <c r="DD630" s="1"/>
      <c r="DE630" s="1"/>
      <c r="DF630" s="1"/>
      <c r="DG630" s="1"/>
      <c r="DH630" s="1"/>
      <c r="DI630" s="1"/>
      <c r="DJ630" s="1"/>
      <c r="DK630" s="1"/>
      <c r="DL630" s="1"/>
      <c r="DM630" s="1"/>
      <c r="DN630" s="1"/>
      <c r="DO630" s="1"/>
      <c r="DP630" s="1"/>
      <c r="DQ630" s="1"/>
      <c r="DR630" s="1"/>
      <c r="DS630" s="1"/>
      <c r="DT630" s="1"/>
      <c r="DU630" s="1"/>
      <c r="DV630" s="1"/>
      <c r="DW630" s="1"/>
      <c r="DX630" s="1"/>
      <c r="DY630" s="1"/>
      <c r="DZ630" s="1"/>
      <c r="EA630" s="1"/>
      <c r="EB630" s="1"/>
      <c r="EC630" s="1"/>
      <c r="ED630" s="1"/>
      <c r="EE630" s="1"/>
      <c r="EF630" s="1"/>
      <c r="EG630" s="1"/>
      <c r="EH630" s="1"/>
      <c r="EI630" s="1"/>
      <c r="EJ630" s="1"/>
      <c r="EK630" s="1"/>
      <c r="EL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c r="BR631" s="1"/>
      <c r="BS631" s="1"/>
      <c r="BT631" s="1"/>
      <c r="BU631" s="1"/>
      <c r="BV631" s="1"/>
      <c r="BW631" s="1"/>
      <c r="BX631" s="1"/>
      <c r="BY631" s="1"/>
      <c r="BZ631" s="1"/>
      <c r="CA631" s="1"/>
      <c r="CB631" s="1"/>
      <c r="CC631" s="1"/>
      <c r="CD631" s="1"/>
      <c r="CE631" s="1"/>
      <c r="CF631" s="1"/>
      <c r="CG631" s="1"/>
      <c r="CH631" s="1"/>
      <c r="CI631" s="1"/>
      <c r="CJ631" s="1"/>
      <c r="CK631" s="1"/>
      <c r="CL631" s="1"/>
      <c r="CM631" s="1"/>
      <c r="CN631" s="1"/>
      <c r="CO631" s="1"/>
      <c r="CP631" s="1"/>
      <c r="CQ631" s="1"/>
      <c r="CR631" s="1"/>
      <c r="CS631" s="1"/>
      <c r="CT631" s="1"/>
      <c r="CU631" s="1"/>
      <c r="CV631" s="1"/>
      <c r="CW631" s="1"/>
      <c r="CX631" s="1"/>
      <c r="CY631" s="1"/>
      <c r="CZ631" s="1"/>
      <c r="DA631" s="1"/>
      <c r="DB631" s="1"/>
      <c r="DC631" s="1"/>
      <c r="DD631" s="1"/>
      <c r="DE631" s="1"/>
      <c r="DF631" s="1"/>
      <c r="DG631" s="1"/>
      <c r="DH631" s="1"/>
      <c r="DI631" s="1"/>
      <c r="DJ631" s="1"/>
      <c r="DK631" s="1"/>
      <c r="DL631" s="1"/>
      <c r="DM631" s="1"/>
      <c r="DN631" s="1"/>
      <c r="DO631" s="1"/>
      <c r="DP631" s="1"/>
      <c r="DQ631" s="1"/>
      <c r="DR631" s="1"/>
      <c r="DS631" s="1"/>
      <c r="DT631" s="1"/>
      <c r="DU631" s="1"/>
      <c r="DV631" s="1"/>
      <c r="DW631" s="1"/>
      <c r="DX631" s="1"/>
      <c r="DY631" s="1"/>
      <c r="DZ631" s="1"/>
      <c r="EA631" s="1"/>
      <c r="EB631" s="1"/>
      <c r="EC631" s="1"/>
      <c r="ED631" s="1"/>
      <c r="EE631" s="1"/>
      <c r="EF631" s="1"/>
      <c r="EG631" s="1"/>
      <c r="EH631" s="1"/>
      <c r="EI631" s="1"/>
      <c r="EJ631" s="1"/>
      <c r="EK631" s="1"/>
      <c r="EL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c r="BR632" s="1"/>
      <c r="BS632" s="1"/>
      <c r="BT632" s="1"/>
      <c r="BU632" s="1"/>
      <c r="BV632" s="1"/>
      <c r="BW632" s="1"/>
      <c r="BX632" s="1"/>
      <c r="BY632" s="1"/>
      <c r="BZ632" s="1"/>
      <c r="CA632" s="1"/>
      <c r="CB632" s="1"/>
      <c r="CC632" s="1"/>
      <c r="CD632" s="1"/>
      <c r="CE632" s="1"/>
      <c r="CF632" s="1"/>
      <c r="CG632" s="1"/>
      <c r="CH632" s="1"/>
      <c r="CI632" s="1"/>
      <c r="CJ632" s="1"/>
      <c r="CK632" s="1"/>
      <c r="CL632" s="1"/>
      <c r="CM632" s="1"/>
      <c r="CN632" s="1"/>
      <c r="CO632" s="1"/>
      <c r="CP632" s="1"/>
      <c r="CQ632" s="1"/>
      <c r="CR632" s="1"/>
      <c r="CS632" s="1"/>
      <c r="CT632" s="1"/>
      <c r="CU632" s="1"/>
      <c r="CV632" s="1"/>
      <c r="CW632" s="1"/>
      <c r="CX632" s="1"/>
      <c r="CY632" s="1"/>
      <c r="CZ632" s="1"/>
      <c r="DA632" s="1"/>
      <c r="DB632" s="1"/>
      <c r="DC632" s="1"/>
      <c r="DD632" s="1"/>
      <c r="DE632" s="1"/>
      <c r="DF632" s="1"/>
      <c r="DG632" s="1"/>
      <c r="DH632" s="1"/>
      <c r="DI632" s="1"/>
      <c r="DJ632" s="1"/>
      <c r="DK632" s="1"/>
      <c r="DL632" s="1"/>
      <c r="DM632" s="1"/>
      <c r="DN632" s="1"/>
      <c r="DO632" s="1"/>
      <c r="DP632" s="1"/>
      <c r="DQ632" s="1"/>
      <c r="DR632" s="1"/>
      <c r="DS632" s="1"/>
      <c r="DT632" s="1"/>
      <c r="DU632" s="1"/>
      <c r="DV632" s="1"/>
      <c r="DW632" s="1"/>
      <c r="DX632" s="1"/>
      <c r="DY632" s="1"/>
      <c r="DZ632" s="1"/>
      <c r="EA632" s="1"/>
      <c r="EB632" s="1"/>
      <c r="EC632" s="1"/>
      <c r="ED632" s="1"/>
      <c r="EE632" s="1"/>
      <c r="EF632" s="1"/>
      <c r="EG632" s="1"/>
      <c r="EH632" s="1"/>
      <c r="EI632" s="1"/>
      <c r="EJ632" s="1"/>
      <c r="EK632" s="1"/>
      <c r="EL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c r="BR633" s="1"/>
      <c r="BS633" s="1"/>
      <c r="BT633" s="1"/>
      <c r="BU633" s="1"/>
      <c r="BV633" s="1"/>
      <c r="BW633" s="1"/>
      <c r="BX633" s="1"/>
      <c r="BY633" s="1"/>
      <c r="BZ633" s="1"/>
      <c r="CA633" s="1"/>
      <c r="CB633" s="1"/>
      <c r="CC633" s="1"/>
      <c r="CD633" s="1"/>
      <c r="CE633" s="1"/>
      <c r="CF633" s="1"/>
      <c r="CG633" s="1"/>
      <c r="CH633" s="1"/>
      <c r="CI633" s="1"/>
      <c r="CJ633" s="1"/>
      <c r="CK633" s="1"/>
      <c r="CL633" s="1"/>
      <c r="CM633" s="1"/>
      <c r="CN633" s="1"/>
      <c r="CO633" s="1"/>
      <c r="CP633" s="1"/>
      <c r="CQ633" s="1"/>
      <c r="CR633" s="1"/>
      <c r="CS633" s="1"/>
      <c r="CT633" s="1"/>
      <c r="CU633" s="1"/>
      <c r="CV633" s="1"/>
      <c r="CW633" s="1"/>
      <c r="CX633" s="1"/>
      <c r="CY633" s="1"/>
      <c r="CZ633" s="1"/>
      <c r="DA633" s="1"/>
      <c r="DB633" s="1"/>
      <c r="DC633" s="1"/>
      <c r="DD633" s="1"/>
      <c r="DE633" s="1"/>
      <c r="DF633" s="1"/>
      <c r="DG633" s="1"/>
      <c r="DH633" s="1"/>
      <c r="DI633" s="1"/>
      <c r="DJ633" s="1"/>
      <c r="DK633" s="1"/>
      <c r="DL633" s="1"/>
      <c r="DM633" s="1"/>
      <c r="DN633" s="1"/>
      <c r="DO633" s="1"/>
      <c r="DP633" s="1"/>
      <c r="DQ633" s="1"/>
      <c r="DR633" s="1"/>
      <c r="DS633" s="1"/>
      <c r="DT633" s="1"/>
      <c r="DU633" s="1"/>
      <c r="DV633" s="1"/>
      <c r="DW633" s="1"/>
      <c r="DX633" s="1"/>
      <c r="DY633" s="1"/>
      <c r="DZ633" s="1"/>
      <c r="EA633" s="1"/>
      <c r="EB633" s="1"/>
      <c r="EC633" s="1"/>
      <c r="ED633" s="1"/>
      <c r="EE633" s="1"/>
      <c r="EF633" s="1"/>
      <c r="EG633" s="1"/>
      <c r="EH633" s="1"/>
      <c r="EI633" s="1"/>
      <c r="EJ633" s="1"/>
      <c r="EK633" s="1"/>
      <c r="EL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c r="BR634" s="1"/>
      <c r="BS634" s="1"/>
      <c r="BT634" s="1"/>
      <c r="BU634" s="1"/>
      <c r="BV634" s="1"/>
      <c r="BW634" s="1"/>
      <c r="BX634" s="1"/>
      <c r="BY634" s="1"/>
      <c r="BZ634" s="1"/>
      <c r="CA634" s="1"/>
      <c r="CB634" s="1"/>
      <c r="CC634" s="1"/>
      <c r="CD634" s="1"/>
      <c r="CE634" s="1"/>
      <c r="CF634" s="1"/>
      <c r="CG634" s="1"/>
      <c r="CH634" s="1"/>
      <c r="CI634" s="1"/>
      <c r="CJ634" s="1"/>
      <c r="CK634" s="1"/>
      <c r="CL634" s="1"/>
      <c r="CM634" s="1"/>
      <c r="CN634" s="1"/>
      <c r="CO634" s="1"/>
      <c r="CP634" s="1"/>
      <c r="CQ634" s="1"/>
      <c r="CR634" s="1"/>
      <c r="CS634" s="1"/>
      <c r="CT634" s="1"/>
      <c r="CU634" s="1"/>
      <c r="CV634" s="1"/>
      <c r="CW634" s="1"/>
      <c r="CX634" s="1"/>
      <c r="CY634" s="1"/>
      <c r="CZ634" s="1"/>
      <c r="DA634" s="1"/>
      <c r="DB634" s="1"/>
      <c r="DC634" s="1"/>
      <c r="DD634" s="1"/>
      <c r="DE634" s="1"/>
      <c r="DF634" s="1"/>
      <c r="DG634" s="1"/>
      <c r="DH634" s="1"/>
      <c r="DI634" s="1"/>
      <c r="DJ634" s="1"/>
      <c r="DK634" s="1"/>
      <c r="DL634" s="1"/>
      <c r="DM634" s="1"/>
      <c r="DN634" s="1"/>
      <c r="DO634" s="1"/>
      <c r="DP634" s="1"/>
      <c r="DQ634" s="1"/>
      <c r="DR634" s="1"/>
      <c r="DS634" s="1"/>
      <c r="DT634" s="1"/>
      <c r="DU634" s="1"/>
      <c r="DV634" s="1"/>
      <c r="DW634" s="1"/>
      <c r="DX634" s="1"/>
      <c r="DY634" s="1"/>
      <c r="DZ634" s="1"/>
      <c r="EA634" s="1"/>
      <c r="EB634" s="1"/>
      <c r="EC634" s="1"/>
      <c r="ED634" s="1"/>
      <c r="EE634" s="1"/>
      <c r="EF634" s="1"/>
      <c r="EG634" s="1"/>
      <c r="EH634" s="1"/>
      <c r="EI634" s="1"/>
      <c r="EJ634" s="1"/>
      <c r="EK634" s="1"/>
      <c r="EL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c r="BR635" s="1"/>
      <c r="BS635" s="1"/>
      <c r="BT635" s="1"/>
      <c r="BU635" s="1"/>
      <c r="BV635" s="1"/>
      <c r="BW635" s="1"/>
      <c r="BX635" s="1"/>
      <c r="BY635" s="1"/>
      <c r="BZ635" s="1"/>
      <c r="CA635" s="1"/>
      <c r="CB635" s="1"/>
      <c r="CC635" s="1"/>
      <c r="CD635" s="1"/>
      <c r="CE635" s="1"/>
      <c r="CF635" s="1"/>
      <c r="CG635" s="1"/>
      <c r="CH635" s="1"/>
      <c r="CI635" s="1"/>
      <c r="CJ635" s="1"/>
      <c r="CK635" s="1"/>
      <c r="CL635" s="1"/>
      <c r="CM635" s="1"/>
      <c r="CN635" s="1"/>
      <c r="CO635" s="1"/>
      <c r="CP635" s="1"/>
      <c r="CQ635" s="1"/>
      <c r="CR635" s="1"/>
      <c r="CS635" s="1"/>
      <c r="CT635" s="1"/>
      <c r="CU635" s="1"/>
      <c r="CV635" s="1"/>
      <c r="CW635" s="1"/>
      <c r="CX635" s="1"/>
      <c r="CY635" s="1"/>
      <c r="CZ635" s="1"/>
      <c r="DA635" s="1"/>
      <c r="DB635" s="1"/>
      <c r="DC635" s="1"/>
      <c r="DD635" s="1"/>
      <c r="DE635" s="1"/>
      <c r="DF635" s="1"/>
      <c r="DG635" s="1"/>
      <c r="DH635" s="1"/>
      <c r="DI635" s="1"/>
      <c r="DJ635" s="1"/>
      <c r="DK635" s="1"/>
      <c r="DL635" s="1"/>
      <c r="DM635" s="1"/>
      <c r="DN635" s="1"/>
      <c r="DO635" s="1"/>
      <c r="DP635" s="1"/>
      <c r="DQ635" s="1"/>
      <c r="DR635" s="1"/>
      <c r="DS635" s="1"/>
      <c r="DT635" s="1"/>
      <c r="DU635" s="1"/>
      <c r="DV635" s="1"/>
      <c r="DW635" s="1"/>
      <c r="DX635" s="1"/>
      <c r="DY635" s="1"/>
      <c r="DZ635" s="1"/>
      <c r="EA635" s="1"/>
      <c r="EB635" s="1"/>
      <c r="EC635" s="1"/>
      <c r="ED635" s="1"/>
      <c r="EE635" s="1"/>
      <c r="EF635" s="1"/>
      <c r="EG635" s="1"/>
      <c r="EH635" s="1"/>
      <c r="EI635" s="1"/>
      <c r="EJ635" s="1"/>
      <c r="EK635" s="1"/>
      <c r="EL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c r="BR636" s="1"/>
      <c r="BS636" s="1"/>
      <c r="BT636" s="1"/>
      <c r="BU636" s="1"/>
      <c r="BV636" s="1"/>
      <c r="BW636" s="1"/>
      <c r="BX636" s="1"/>
      <c r="BY636" s="1"/>
      <c r="BZ636" s="1"/>
      <c r="CA636" s="1"/>
      <c r="CB636" s="1"/>
      <c r="CC636" s="1"/>
      <c r="CD636" s="1"/>
      <c r="CE636" s="1"/>
      <c r="CF636" s="1"/>
      <c r="CG636" s="1"/>
      <c r="CH636" s="1"/>
      <c r="CI636" s="1"/>
      <c r="CJ636" s="1"/>
      <c r="CK636" s="1"/>
      <c r="CL636" s="1"/>
      <c r="CM636" s="1"/>
      <c r="CN636" s="1"/>
      <c r="CO636" s="1"/>
      <c r="CP636" s="1"/>
      <c r="CQ636" s="1"/>
      <c r="CR636" s="1"/>
      <c r="CS636" s="1"/>
      <c r="CT636" s="1"/>
      <c r="CU636" s="1"/>
      <c r="CV636" s="1"/>
      <c r="CW636" s="1"/>
      <c r="CX636" s="1"/>
      <c r="CY636" s="1"/>
      <c r="CZ636" s="1"/>
      <c r="DA636" s="1"/>
      <c r="DB636" s="1"/>
      <c r="DC636" s="1"/>
      <c r="DD636" s="1"/>
      <c r="DE636" s="1"/>
      <c r="DF636" s="1"/>
      <c r="DG636" s="1"/>
      <c r="DH636" s="1"/>
      <c r="DI636" s="1"/>
      <c r="DJ636" s="1"/>
      <c r="DK636" s="1"/>
      <c r="DL636" s="1"/>
      <c r="DM636" s="1"/>
      <c r="DN636" s="1"/>
      <c r="DO636" s="1"/>
      <c r="DP636" s="1"/>
      <c r="DQ636" s="1"/>
      <c r="DR636" s="1"/>
      <c r="DS636" s="1"/>
      <c r="DT636" s="1"/>
      <c r="DU636" s="1"/>
      <c r="DV636" s="1"/>
      <c r="DW636" s="1"/>
      <c r="DX636" s="1"/>
      <c r="DY636" s="1"/>
      <c r="DZ636" s="1"/>
      <c r="EA636" s="1"/>
      <c r="EB636" s="1"/>
      <c r="EC636" s="1"/>
      <c r="ED636" s="1"/>
      <c r="EE636" s="1"/>
      <c r="EF636" s="1"/>
      <c r="EG636" s="1"/>
      <c r="EH636" s="1"/>
      <c r="EI636" s="1"/>
      <c r="EJ636" s="1"/>
      <c r="EK636" s="1"/>
      <c r="EL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c r="BR637" s="1"/>
      <c r="BS637" s="1"/>
      <c r="BT637" s="1"/>
      <c r="BU637" s="1"/>
      <c r="BV637" s="1"/>
      <c r="BW637" s="1"/>
      <c r="BX637" s="1"/>
      <c r="BY637" s="1"/>
      <c r="BZ637" s="1"/>
      <c r="CA637" s="1"/>
      <c r="CB637" s="1"/>
      <c r="CC637" s="1"/>
      <c r="CD637" s="1"/>
      <c r="CE637" s="1"/>
      <c r="CF637" s="1"/>
      <c r="CG637" s="1"/>
      <c r="CH637" s="1"/>
      <c r="CI637" s="1"/>
      <c r="CJ637" s="1"/>
      <c r="CK637" s="1"/>
      <c r="CL637" s="1"/>
      <c r="CM637" s="1"/>
      <c r="CN637" s="1"/>
      <c r="CO637" s="1"/>
      <c r="CP637" s="1"/>
      <c r="CQ637" s="1"/>
      <c r="CR637" s="1"/>
      <c r="CS637" s="1"/>
      <c r="CT637" s="1"/>
      <c r="CU637" s="1"/>
      <c r="CV637" s="1"/>
      <c r="CW637" s="1"/>
      <c r="CX637" s="1"/>
      <c r="CY637" s="1"/>
      <c r="CZ637" s="1"/>
      <c r="DA637" s="1"/>
      <c r="DB637" s="1"/>
      <c r="DC637" s="1"/>
      <c r="DD637" s="1"/>
      <c r="DE637" s="1"/>
      <c r="DF637" s="1"/>
      <c r="DG637" s="1"/>
      <c r="DH637" s="1"/>
      <c r="DI637" s="1"/>
      <c r="DJ637" s="1"/>
      <c r="DK637" s="1"/>
      <c r="DL637" s="1"/>
      <c r="DM637" s="1"/>
      <c r="DN637" s="1"/>
      <c r="DO637" s="1"/>
      <c r="DP637" s="1"/>
      <c r="DQ637" s="1"/>
      <c r="DR637" s="1"/>
      <c r="DS637" s="1"/>
      <c r="DT637" s="1"/>
      <c r="DU637" s="1"/>
      <c r="DV637" s="1"/>
      <c r="DW637" s="1"/>
      <c r="DX637" s="1"/>
      <c r="DY637" s="1"/>
      <c r="DZ637" s="1"/>
      <c r="EA637" s="1"/>
      <c r="EB637" s="1"/>
      <c r="EC637" s="1"/>
      <c r="ED637" s="1"/>
      <c r="EE637" s="1"/>
      <c r="EF637" s="1"/>
      <c r="EG637" s="1"/>
      <c r="EH637" s="1"/>
      <c r="EI637" s="1"/>
      <c r="EJ637" s="1"/>
      <c r="EK637" s="1"/>
      <c r="EL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c r="BR638" s="1"/>
      <c r="BS638" s="1"/>
      <c r="BT638" s="1"/>
      <c r="BU638" s="1"/>
      <c r="BV638" s="1"/>
      <c r="BW638" s="1"/>
      <c r="BX638" s="1"/>
      <c r="BY638" s="1"/>
      <c r="BZ638" s="1"/>
      <c r="CA638" s="1"/>
      <c r="CB638" s="1"/>
      <c r="CC638" s="1"/>
      <c r="CD638" s="1"/>
      <c r="CE638" s="1"/>
      <c r="CF638" s="1"/>
      <c r="CG638" s="1"/>
      <c r="CH638" s="1"/>
      <c r="CI638" s="1"/>
      <c r="CJ638" s="1"/>
      <c r="CK638" s="1"/>
      <c r="CL638" s="1"/>
      <c r="CM638" s="1"/>
      <c r="CN638" s="1"/>
      <c r="CO638" s="1"/>
      <c r="CP638" s="1"/>
      <c r="CQ638" s="1"/>
      <c r="CR638" s="1"/>
      <c r="CS638" s="1"/>
      <c r="CT638" s="1"/>
      <c r="CU638" s="1"/>
      <c r="CV638" s="1"/>
      <c r="CW638" s="1"/>
      <c r="CX638" s="1"/>
      <c r="CY638" s="1"/>
      <c r="CZ638" s="1"/>
      <c r="DA638" s="1"/>
      <c r="DB638" s="1"/>
      <c r="DC638" s="1"/>
      <c r="DD638" s="1"/>
      <c r="DE638" s="1"/>
      <c r="DF638" s="1"/>
      <c r="DG638" s="1"/>
      <c r="DH638" s="1"/>
      <c r="DI638" s="1"/>
      <c r="DJ638" s="1"/>
      <c r="DK638" s="1"/>
      <c r="DL638" s="1"/>
      <c r="DM638" s="1"/>
      <c r="DN638" s="1"/>
      <c r="DO638" s="1"/>
      <c r="DP638" s="1"/>
      <c r="DQ638" s="1"/>
      <c r="DR638" s="1"/>
      <c r="DS638" s="1"/>
      <c r="DT638" s="1"/>
      <c r="DU638" s="1"/>
      <c r="DV638" s="1"/>
      <c r="DW638" s="1"/>
      <c r="DX638" s="1"/>
      <c r="DY638" s="1"/>
      <c r="DZ638" s="1"/>
      <c r="EA638" s="1"/>
      <c r="EB638" s="1"/>
      <c r="EC638" s="1"/>
      <c r="ED638" s="1"/>
      <c r="EE638" s="1"/>
      <c r="EF638" s="1"/>
      <c r="EG638" s="1"/>
      <c r="EH638" s="1"/>
      <c r="EI638" s="1"/>
      <c r="EJ638" s="1"/>
      <c r="EK638" s="1"/>
      <c r="EL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c r="BR639" s="1"/>
      <c r="BS639" s="1"/>
      <c r="BT639" s="1"/>
      <c r="BU639" s="1"/>
      <c r="BV639" s="1"/>
      <c r="BW639" s="1"/>
      <c r="BX639" s="1"/>
      <c r="BY639" s="1"/>
      <c r="BZ639" s="1"/>
      <c r="CA639" s="1"/>
      <c r="CB639" s="1"/>
      <c r="CC639" s="1"/>
      <c r="CD639" s="1"/>
      <c r="CE639" s="1"/>
      <c r="CF639" s="1"/>
      <c r="CG639" s="1"/>
      <c r="CH639" s="1"/>
      <c r="CI639" s="1"/>
      <c r="CJ639" s="1"/>
      <c r="CK639" s="1"/>
      <c r="CL639" s="1"/>
      <c r="CM639" s="1"/>
      <c r="CN639" s="1"/>
      <c r="CO639" s="1"/>
      <c r="CP639" s="1"/>
      <c r="CQ639" s="1"/>
      <c r="CR639" s="1"/>
      <c r="CS639" s="1"/>
      <c r="CT639" s="1"/>
      <c r="CU639" s="1"/>
      <c r="CV639" s="1"/>
      <c r="CW639" s="1"/>
      <c r="CX639" s="1"/>
      <c r="CY639" s="1"/>
      <c r="CZ639" s="1"/>
      <c r="DA639" s="1"/>
      <c r="DB639" s="1"/>
      <c r="DC639" s="1"/>
      <c r="DD639" s="1"/>
      <c r="DE639" s="1"/>
      <c r="DF639" s="1"/>
      <c r="DG639" s="1"/>
      <c r="DH639" s="1"/>
      <c r="DI639" s="1"/>
      <c r="DJ639" s="1"/>
      <c r="DK639" s="1"/>
      <c r="DL639" s="1"/>
      <c r="DM639" s="1"/>
      <c r="DN639" s="1"/>
      <c r="DO639" s="1"/>
      <c r="DP639" s="1"/>
      <c r="DQ639" s="1"/>
      <c r="DR639" s="1"/>
      <c r="DS639" s="1"/>
      <c r="DT639" s="1"/>
      <c r="DU639" s="1"/>
      <c r="DV639" s="1"/>
      <c r="DW639" s="1"/>
      <c r="DX639" s="1"/>
      <c r="DY639" s="1"/>
      <c r="DZ639" s="1"/>
      <c r="EA639" s="1"/>
      <c r="EB639" s="1"/>
      <c r="EC639" s="1"/>
      <c r="ED639" s="1"/>
      <c r="EE639" s="1"/>
      <c r="EF639" s="1"/>
      <c r="EG639" s="1"/>
      <c r="EH639" s="1"/>
      <c r="EI639" s="1"/>
      <c r="EJ639" s="1"/>
      <c r="EK639" s="1"/>
      <c r="EL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c r="BR640" s="1"/>
      <c r="BS640" s="1"/>
      <c r="BT640" s="1"/>
      <c r="BU640" s="1"/>
      <c r="BV640" s="1"/>
      <c r="BW640" s="1"/>
      <c r="BX640" s="1"/>
      <c r="BY640" s="1"/>
      <c r="BZ640" s="1"/>
      <c r="CA640" s="1"/>
      <c r="CB640" s="1"/>
      <c r="CC640" s="1"/>
      <c r="CD640" s="1"/>
      <c r="CE640" s="1"/>
      <c r="CF640" s="1"/>
      <c r="CG640" s="1"/>
      <c r="CH640" s="1"/>
      <c r="CI640" s="1"/>
      <c r="CJ640" s="1"/>
      <c r="CK640" s="1"/>
      <c r="CL640" s="1"/>
      <c r="CM640" s="1"/>
      <c r="CN640" s="1"/>
      <c r="CO640" s="1"/>
      <c r="CP640" s="1"/>
      <c r="CQ640" s="1"/>
      <c r="CR640" s="1"/>
      <c r="CS640" s="1"/>
      <c r="CT640" s="1"/>
      <c r="CU640" s="1"/>
      <c r="CV640" s="1"/>
      <c r="CW640" s="1"/>
      <c r="CX640" s="1"/>
      <c r="CY640" s="1"/>
      <c r="CZ640" s="1"/>
      <c r="DA640" s="1"/>
      <c r="DB640" s="1"/>
      <c r="DC640" s="1"/>
      <c r="DD640" s="1"/>
      <c r="DE640" s="1"/>
      <c r="DF640" s="1"/>
      <c r="DG640" s="1"/>
      <c r="DH640" s="1"/>
      <c r="DI640" s="1"/>
      <c r="DJ640" s="1"/>
      <c r="DK640" s="1"/>
      <c r="DL640" s="1"/>
      <c r="DM640" s="1"/>
      <c r="DN640" s="1"/>
      <c r="DO640" s="1"/>
      <c r="DP640" s="1"/>
      <c r="DQ640" s="1"/>
      <c r="DR640" s="1"/>
      <c r="DS640" s="1"/>
      <c r="DT640" s="1"/>
      <c r="DU640" s="1"/>
      <c r="DV640" s="1"/>
      <c r="DW640" s="1"/>
      <c r="DX640" s="1"/>
      <c r="DY640" s="1"/>
      <c r="DZ640" s="1"/>
      <c r="EA640" s="1"/>
      <c r="EB640" s="1"/>
      <c r="EC640" s="1"/>
      <c r="ED640" s="1"/>
      <c r="EE640" s="1"/>
      <c r="EF640" s="1"/>
      <c r="EG640" s="1"/>
      <c r="EH640" s="1"/>
      <c r="EI640" s="1"/>
      <c r="EJ640" s="1"/>
      <c r="EK640" s="1"/>
      <c r="EL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c r="BR641" s="1"/>
      <c r="BS641" s="1"/>
      <c r="BT641" s="1"/>
      <c r="BU641" s="1"/>
      <c r="BV641" s="1"/>
      <c r="BW641" s="1"/>
      <c r="BX641" s="1"/>
      <c r="BY641" s="1"/>
      <c r="BZ641" s="1"/>
      <c r="CA641" s="1"/>
      <c r="CB641" s="1"/>
      <c r="CC641" s="1"/>
      <c r="CD641" s="1"/>
      <c r="CE641" s="1"/>
      <c r="CF641" s="1"/>
      <c r="CG641" s="1"/>
      <c r="CH641" s="1"/>
      <c r="CI641" s="1"/>
      <c r="CJ641" s="1"/>
      <c r="CK641" s="1"/>
      <c r="CL641" s="1"/>
      <c r="CM641" s="1"/>
      <c r="CN641" s="1"/>
      <c r="CO641" s="1"/>
      <c r="CP641" s="1"/>
      <c r="CQ641" s="1"/>
      <c r="CR641" s="1"/>
      <c r="CS641" s="1"/>
      <c r="CT641" s="1"/>
      <c r="CU641" s="1"/>
      <c r="CV641" s="1"/>
      <c r="CW641" s="1"/>
      <c r="CX641" s="1"/>
      <c r="CY641" s="1"/>
      <c r="CZ641" s="1"/>
      <c r="DA641" s="1"/>
      <c r="DB641" s="1"/>
      <c r="DC641" s="1"/>
      <c r="DD641" s="1"/>
      <c r="DE641" s="1"/>
      <c r="DF641" s="1"/>
      <c r="DG641" s="1"/>
      <c r="DH641" s="1"/>
      <c r="DI641" s="1"/>
      <c r="DJ641" s="1"/>
      <c r="DK641" s="1"/>
      <c r="DL641" s="1"/>
      <c r="DM641" s="1"/>
      <c r="DN641" s="1"/>
      <c r="DO641" s="1"/>
      <c r="DP641" s="1"/>
      <c r="DQ641" s="1"/>
      <c r="DR641" s="1"/>
      <c r="DS641" s="1"/>
      <c r="DT641" s="1"/>
      <c r="DU641" s="1"/>
      <c r="DV641" s="1"/>
      <c r="DW641" s="1"/>
      <c r="DX641" s="1"/>
      <c r="DY641" s="1"/>
      <c r="DZ641" s="1"/>
      <c r="EA641" s="1"/>
      <c r="EB641" s="1"/>
      <c r="EC641" s="1"/>
      <c r="ED641" s="1"/>
      <c r="EE641" s="1"/>
      <c r="EF641" s="1"/>
      <c r="EG641" s="1"/>
      <c r="EH641" s="1"/>
      <c r="EI641" s="1"/>
      <c r="EJ641" s="1"/>
      <c r="EK641" s="1"/>
      <c r="EL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c r="BR642" s="1"/>
      <c r="BS642" s="1"/>
      <c r="BT642" s="1"/>
      <c r="BU642" s="1"/>
      <c r="BV642" s="1"/>
      <c r="BW642" s="1"/>
      <c r="BX642" s="1"/>
      <c r="BY642" s="1"/>
      <c r="BZ642" s="1"/>
      <c r="CA642" s="1"/>
      <c r="CB642" s="1"/>
      <c r="CC642" s="1"/>
      <c r="CD642" s="1"/>
      <c r="CE642" s="1"/>
      <c r="CF642" s="1"/>
      <c r="CG642" s="1"/>
      <c r="CH642" s="1"/>
      <c r="CI642" s="1"/>
      <c r="CJ642" s="1"/>
      <c r="CK642" s="1"/>
      <c r="CL642" s="1"/>
      <c r="CM642" s="1"/>
      <c r="CN642" s="1"/>
      <c r="CO642" s="1"/>
      <c r="CP642" s="1"/>
      <c r="CQ642" s="1"/>
      <c r="CR642" s="1"/>
      <c r="CS642" s="1"/>
      <c r="CT642" s="1"/>
      <c r="CU642" s="1"/>
      <c r="CV642" s="1"/>
      <c r="CW642" s="1"/>
      <c r="CX642" s="1"/>
      <c r="CY642" s="1"/>
      <c r="CZ642" s="1"/>
      <c r="DA642" s="1"/>
      <c r="DB642" s="1"/>
      <c r="DC642" s="1"/>
      <c r="DD642" s="1"/>
      <c r="DE642" s="1"/>
      <c r="DF642" s="1"/>
      <c r="DG642" s="1"/>
      <c r="DH642" s="1"/>
      <c r="DI642" s="1"/>
      <c r="DJ642" s="1"/>
      <c r="DK642" s="1"/>
      <c r="DL642" s="1"/>
      <c r="DM642" s="1"/>
      <c r="DN642" s="1"/>
      <c r="DO642" s="1"/>
      <c r="DP642" s="1"/>
      <c r="DQ642" s="1"/>
      <c r="DR642" s="1"/>
      <c r="DS642" s="1"/>
      <c r="DT642" s="1"/>
      <c r="DU642" s="1"/>
      <c r="DV642" s="1"/>
      <c r="DW642" s="1"/>
      <c r="DX642" s="1"/>
      <c r="DY642" s="1"/>
      <c r="DZ642" s="1"/>
      <c r="EA642" s="1"/>
      <c r="EB642" s="1"/>
      <c r="EC642" s="1"/>
      <c r="ED642" s="1"/>
      <c r="EE642" s="1"/>
      <c r="EF642" s="1"/>
      <c r="EG642" s="1"/>
      <c r="EH642" s="1"/>
      <c r="EI642" s="1"/>
      <c r="EJ642" s="1"/>
      <c r="EK642" s="1"/>
      <c r="EL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c r="BR643" s="1"/>
      <c r="BS643" s="1"/>
      <c r="BT643" s="1"/>
      <c r="BU643" s="1"/>
      <c r="BV643" s="1"/>
      <c r="BW643" s="1"/>
      <c r="BX643" s="1"/>
      <c r="BY643" s="1"/>
      <c r="BZ643" s="1"/>
      <c r="CA643" s="1"/>
      <c r="CB643" s="1"/>
      <c r="CC643" s="1"/>
      <c r="CD643" s="1"/>
      <c r="CE643" s="1"/>
      <c r="CF643" s="1"/>
      <c r="CG643" s="1"/>
      <c r="CH643" s="1"/>
      <c r="CI643" s="1"/>
      <c r="CJ643" s="1"/>
      <c r="CK643" s="1"/>
      <c r="CL643" s="1"/>
      <c r="CM643" s="1"/>
      <c r="CN643" s="1"/>
      <c r="CO643" s="1"/>
      <c r="CP643" s="1"/>
      <c r="CQ643" s="1"/>
      <c r="CR643" s="1"/>
      <c r="CS643" s="1"/>
      <c r="CT643" s="1"/>
      <c r="CU643" s="1"/>
      <c r="CV643" s="1"/>
      <c r="CW643" s="1"/>
      <c r="CX643" s="1"/>
      <c r="CY643" s="1"/>
      <c r="CZ643" s="1"/>
      <c r="DA643" s="1"/>
      <c r="DB643" s="1"/>
      <c r="DC643" s="1"/>
      <c r="DD643" s="1"/>
      <c r="DE643" s="1"/>
      <c r="DF643" s="1"/>
      <c r="DG643" s="1"/>
      <c r="DH643" s="1"/>
      <c r="DI643" s="1"/>
      <c r="DJ643" s="1"/>
      <c r="DK643" s="1"/>
      <c r="DL643" s="1"/>
      <c r="DM643" s="1"/>
      <c r="DN643" s="1"/>
      <c r="DO643" s="1"/>
      <c r="DP643" s="1"/>
      <c r="DQ643" s="1"/>
      <c r="DR643" s="1"/>
      <c r="DS643" s="1"/>
      <c r="DT643" s="1"/>
      <c r="DU643" s="1"/>
      <c r="DV643" s="1"/>
      <c r="DW643" s="1"/>
      <c r="DX643" s="1"/>
      <c r="DY643" s="1"/>
      <c r="DZ643" s="1"/>
      <c r="EA643" s="1"/>
      <c r="EB643" s="1"/>
      <c r="EC643" s="1"/>
      <c r="ED643" s="1"/>
      <c r="EE643" s="1"/>
      <c r="EF643" s="1"/>
      <c r="EG643" s="1"/>
      <c r="EH643" s="1"/>
      <c r="EI643" s="1"/>
      <c r="EJ643" s="1"/>
      <c r="EK643" s="1"/>
      <c r="EL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c r="BR644" s="1"/>
      <c r="BS644" s="1"/>
      <c r="BT644" s="1"/>
      <c r="BU644" s="1"/>
      <c r="BV644" s="1"/>
      <c r="BW644" s="1"/>
      <c r="BX644" s="1"/>
      <c r="BY644" s="1"/>
      <c r="BZ644" s="1"/>
      <c r="CA644" s="1"/>
      <c r="CB644" s="1"/>
      <c r="CC644" s="1"/>
      <c r="CD644" s="1"/>
      <c r="CE644" s="1"/>
      <c r="CF644" s="1"/>
      <c r="CG644" s="1"/>
      <c r="CH644" s="1"/>
      <c r="CI644" s="1"/>
      <c r="CJ644" s="1"/>
      <c r="CK644" s="1"/>
      <c r="CL644" s="1"/>
      <c r="CM644" s="1"/>
      <c r="CN644" s="1"/>
      <c r="CO644" s="1"/>
      <c r="CP644" s="1"/>
      <c r="CQ644" s="1"/>
      <c r="CR644" s="1"/>
      <c r="CS644" s="1"/>
      <c r="CT644" s="1"/>
      <c r="CU644" s="1"/>
      <c r="CV644" s="1"/>
      <c r="CW644" s="1"/>
      <c r="CX644" s="1"/>
      <c r="CY644" s="1"/>
      <c r="CZ644" s="1"/>
      <c r="DA644" s="1"/>
      <c r="DB644" s="1"/>
      <c r="DC644" s="1"/>
      <c r="DD644" s="1"/>
      <c r="DE644" s="1"/>
      <c r="DF644" s="1"/>
      <c r="DG644" s="1"/>
      <c r="DH644" s="1"/>
      <c r="DI644" s="1"/>
      <c r="DJ644" s="1"/>
      <c r="DK644" s="1"/>
      <c r="DL644" s="1"/>
      <c r="DM644" s="1"/>
      <c r="DN644" s="1"/>
      <c r="DO644" s="1"/>
      <c r="DP644" s="1"/>
      <c r="DQ644" s="1"/>
      <c r="DR644" s="1"/>
      <c r="DS644" s="1"/>
      <c r="DT644" s="1"/>
      <c r="DU644" s="1"/>
      <c r="DV644" s="1"/>
      <c r="DW644" s="1"/>
      <c r="DX644" s="1"/>
      <c r="DY644" s="1"/>
      <c r="DZ644" s="1"/>
      <c r="EA644" s="1"/>
      <c r="EB644" s="1"/>
      <c r="EC644" s="1"/>
      <c r="ED644" s="1"/>
      <c r="EE644" s="1"/>
      <c r="EF644" s="1"/>
      <c r="EG644" s="1"/>
      <c r="EH644" s="1"/>
      <c r="EI644" s="1"/>
      <c r="EJ644" s="1"/>
      <c r="EK644" s="1"/>
      <c r="EL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c r="BR645" s="1"/>
      <c r="BS645" s="1"/>
      <c r="BT645" s="1"/>
      <c r="BU645" s="1"/>
      <c r="BV645" s="1"/>
      <c r="BW645" s="1"/>
      <c r="BX645" s="1"/>
      <c r="BY645" s="1"/>
      <c r="BZ645" s="1"/>
      <c r="CA645" s="1"/>
      <c r="CB645" s="1"/>
      <c r="CC645" s="1"/>
      <c r="CD645" s="1"/>
      <c r="CE645" s="1"/>
      <c r="CF645" s="1"/>
      <c r="CG645" s="1"/>
      <c r="CH645" s="1"/>
      <c r="CI645" s="1"/>
      <c r="CJ645" s="1"/>
      <c r="CK645" s="1"/>
      <c r="CL645" s="1"/>
      <c r="CM645" s="1"/>
      <c r="CN645" s="1"/>
      <c r="CO645" s="1"/>
      <c r="CP645" s="1"/>
      <c r="CQ645" s="1"/>
      <c r="CR645" s="1"/>
      <c r="CS645" s="1"/>
      <c r="CT645" s="1"/>
      <c r="CU645" s="1"/>
      <c r="CV645" s="1"/>
      <c r="CW645" s="1"/>
      <c r="CX645" s="1"/>
      <c r="CY645" s="1"/>
      <c r="CZ645" s="1"/>
      <c r="DA645" s="1"/>
      <c r="DB645" s="1"/>
      <c r="DC645" s="1"/>
      <c r="DD645" s="1"/>
      <c r="DE645" s="1"/>
      <c r="DF645" s="1"/>
      <c r="DG645" s="1"/>
      <c r="DH645" s="1"/>
      <c r="DI645" s="1"/>
      <c r="DJ645" s="1"/>
      <c r="DK645" s="1"/>
      <c r="DL645" s="1"/>
      <c r="DM645" s="1"/>
      <c r="DN645" s="1"/>
      <c r="DO645" s="1"/>
      <c r="DP645" s="1"/>
      <c r="DQ645" s="1"/>
      <c r="DR645" s="1"/>
      <c r="DS645" s="1"/>
      <c r="DT645" s="1"/>
      <c r="DU645" s="1"/>
      <c r="DV645" s="1"/>
      <c r="DW645" s="1"/>
      <c r="DX645" s="1"/>
      <c r="DY645" s="1"/>
      <c r="DZ645" s="1"/>
      <c r="EA645" s="1"/>
      <c r="EB645" s="1"/>
      <c r="EC645" s="1"/>
      <c r="ED645" s="1"/>
      <c r="EE645" s="1"/>
      <c r="EF645" s="1"/>
      <c r="EG645" s="1"/>
      <c r="EH645" s="1"/>
      <c r="EI645" s="1"/>
      <c r="EJ645" s="1"/>
      <c r="EK645" s="1"/>
      <c r="EL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c r="BR646" s="1"/>
      <c r="BS646" s="1"/>
      <c r="BT646" s="1"/>
      <c r="BU646" s="1"/>
      <c r="BV646" s="1"/>
      <c r="BW646" s="1"/>
      <c r="BX646" s="1"/>
      <c r="BY646" s="1"/>
      <c r="BZ646" s="1"/>
      <c r="CA646" s="1"/>
      <c r="CB646" s="1"/>
      <c r="CC646" s="1"/>
      <c r="CD646" s="1"/>
      <c r="CE646" s="1"/>
      <c r="CF646" s="1"/>
      <c r="CG646" s="1"/>
      <c r="CH646" s="1"/>
      <c r="CI646" s="1"/>
      <c r="CJ646" s="1"/>
      <c r="CK646" s="1"/>
      <c r="CL646" s="1"/>
      <c r="CM646" s="1"/>
      <c r="CN646" s="1"/>
      <c r="CO646" s="1"/>
      <c r="CP646" s="1"/>
      <c r="CQ646" s="1"/>
      <c r="CR646" s="1"/>
      <c r="CS646" s="1"/>
      <c r="CT646" s="1"/>
      <c r="CU646" s="1"/>
      <c r="CV646" s="1"/>
      <c r="CW646" s="1"/>
      <c r="CX646" s="1"/>
      <c r="CY646" s="1"/>
      <c r="CZ646" s="1"/>
      <c r="DA646" s="1"/>
      <c r="DB646" s="1"/>
      <c r="DC646" s="1"/>
      <c r="DD646" s="1"/>
      <c r="DE646" s="1"/>
      <c r="DF646" s="1"/>
      <c r="DG646" s="1"/>
      <c r="DH646" s="1"/>
      <c r="DI646" s="1"/>
      <c r="DJ646" s="1"/>
      <c r="DK646" s="1"/>
      <c r="DL646" s="1"/>
      <c r="DM646" s="1"/>
      <c r="DN646" s="1"/>
      <c r="DO646" s="1"/>
      <c r="DP646" s="1"/>
      <c r="DQ646" s="1"/>
      <c r="DR646" s="1"/>
      <c r="DS646" s="1"/>
      <c r="DT646" s="1"/>
      <c r="DU646" s="1"/>
      <c r="DV646" s="1"/>
      <c r="DW646" s="1"/>
      <c r="DX646" s="1"/>
      <c r="DY646" s="1"/>
      <c r="DZ646" s="1"/>
      <c r="EA646" s="1"/>
      <c r="EB646" s="1"/>
      <c r="EC646" s="1"/>
      <c r="ED646" s="1"/>
      <c r="EE646" s="1"/>
      <c r="EF646" s="1"/>
      <c r="EG646" s="1"/>
      <c r="EH646" s="1"/>
      <c r="EI646" s="1"/>
      <c r="EJ646" s="1"/>
      <c r="EK646" s="1"/>
      <c r="EL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c r="BR647" s="1"/>
      <c r="BS647" s="1"/>
      <c r="BT647" s="1"/>
      <c r="BU647" s="1"/>
      <c r="BV647" s="1"/>
      <c r="BW647" s="1"/>
      <c r="BX647" s="1"/>
      <c r="BY647" s="1"/>
      <c r="BZ647" s="1"/>
      <c r="CA647" s="1"/>
      <c r="CB647" s="1"/>
      <c r="CC647" s="1"/>
      <c r="CD647" s="1"/>
      <c r="CE647" s="1"/>
      <c r="CF647" s="1"/>
      <c r="CG647" s="1"/>
      <c r="CH647" s="1"/>
      <c r="CI647" s="1"/>
      <c r="CJ647" s="1"/>
      <c r="CK647" s="1"/>
      <c r="CL647" s="1"/>
      <c r="CM647" s="1"/>
      <c r="CN647" s="1"/>
      <c r="CO647" s="1"/>
      <c r="CP647" s="1"/>
      <c r="CQ647" s="1"/>
      <c r="CR647" s="1"/>
      <c r="CS647" s="1"/>
      <c r="CT647" s="1"/>
      <c r="CU647" s="1"/>
      <c r="CV647" s="1"/>
      <c r="CW647" s="1"/>
      <c r="CX647" s="1"/>
      <c r="CY647" s="1"/>
      <c r="CZ647" s="1"/>
      <c r="DA647" s="1"/>
      <c r="DB647" s="1"/>
      <c r="DC647" s="1"/>
      <c r="DD647" s="1"/>
      <c r="DE647" s="1"/>
      <c r="DF647" s="1"/>
      <c r="DG647" s="1"/>
      <c r="DH647" s="1"/>
      <c r="DI647" s="1"/>
      <c r="DJ647" s="1"/>
      <c r="DK647" s="1"/>
      <c r="DL647" s="1"/>
      <c r="DM647" s="1"/>
      <c r="DN647" s="1"/>
      <c r="DO647" s="1"/>
      <c r="DP647" s="1"/>
      <c r="DQ647" s="1"/>
      <c r="DR647" s="1"/>
      <c r="DS647" s="1"/>
      <c r="DT647" s="1"/>
      <c r="DU647" s="1"/>
      <c r="DV647" s="1"/>
      <c r="DW647" s="1"/>
      <c r="DX647" s="1"/>
      <c r="DY647" s="1"/>
      <c r="DZ647" s="1"/>
      <c r="EA647" s="1"/>
      <c r="EB647" s="1"/>
      <c r="EC647" s="1"/>
      <c r="ED647" s="1"/>
      <c r="EE647" s="1"/>
      <c r="EF647" s="1"/>
      <c r="EG647" s="1"/>
      <c r="EH647" s="1"/>
      <c r="EI647" s="1"/>
      <c r="EJ647" s="1"/>
      <c r="EK647" s="1"/>
      <c r="EL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c r="BR648" s="1"/>
      <c r="BS648" s="1"/>
      <c r="BT648" s="1"/>
      <c r="BU648" s="1"/>
      <c r="BV648" s="1"/>
      <c r="BW648" s="1"/>
      <c r="BX648" s="1"/>
      <c r="BY648" s="1"/>
      <c r="BZ648" s="1"/>
      <c r="CA648" s="1"/>
      <c r="CB648" s="1"/>
      <c r="CC648" s="1"/>
      <c r="CD648" s="1"/>
      <c r="CE648" s="1"/>
      <c r="CF648" s="1"/>
      <c r="CG648" s="1"/>
      <c r="CH648" s="1"/>
      <c r="CI648" s="1"/>
      <c r="CJ648" s="1"/>
      <c r="CK648" s="1"/>
      <c r="CL648" s="1"/>
      <c r="CM648" s="1"/>
      <c r="CN648" s="1"/>
      <c r="CO648" s="1"/>
      <c r="CP648" s="1"/>
      <c r="CQ648" s="1"/>
      <c r="CR648" s="1"/>
      <c r="CS648" s="1"/>
      <c r="CT648" s="1"/>
      <c r="CU648" s="1"/>
      <c r="CV648" s="1"/>
      <c r="CW648" s="1"/>
      <c r="CX648" s="1"/>
      <c r="CY648" s="1"/>
      <c r="CZ648" s="1"/>
      <c r="DA648" s="1"/>
      <c r="DB648" s="1"/>
      <c r="DC648" s="1"/>
      <c r="DD648" s="1"/>
      <c r="DE648" s="1"/>
      <c r="DF648" s="1"/>
      <c r="DG648" s="1"/>
      <c r="DH648" s="1"/>
      <c r="DI648" s="1"/>
      <c r="DJ648" s="1"/>
      <c r="DK648" s="1"/>
      <c r="DL648" s="1"/>
      <c r="DM648" s="1"/>
      <c r="DN648" s="1"/>
      <c r="DO648" s="1"/>
      <c r="DP648" s="1"/>
      <c r="DQ648" s="1"/>
      <c r="DR648" s="1"/>
      <c r="DS648" s="1"/>
      <c r="DT648" s="1"/>
      <c r="DU648" s="1"/>
      <c r="DV648" s="1"/>
      <c r="DW648" s="1"/>
      <c r="DX648" s="1"/>
      <c r="DY648" s="1"/>
      <c r="DZ648" s="1"/>
      <c r="EA648" s="1"/>
      <c r="EB648" s="1"/>
      <c r="EC648" s="1"/>
      <c r="ED648" s="1"/>
      <c r="EE648" s="1"/>
      <c r="EF648" s="1"/>
      <c r="EG648" s="1"/>
      <c r="EH648" s="1"/>
      <c r="EI648" s="1"/>
      <c r="EJ648" s="1"/>
      <c r="EK648" s="1"/>
      <c r="EL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c r="BR649" s="1"/>
      <c r="BS649" s="1"/>
      <c r="BT649" s="1"/>
      <c r="BU649" s="1"/>
      <c r="BV649" s="1"/>
      <c r="BW649" s="1"/>
      <c r="BX649" s="1"/>
      <c r="BY649" s="1"/>
      <c r="BZ649" s="1"/>
      <c r="CA649" s="1"/>
      <c r="CB649" s="1"/>
      <c r="CC649" s="1"/>
      <c r="CD649" s="1"/>
      <c r="CE649" s="1"/>
      <c r="CF649" s="1"/>
      <c r="CG649" s="1"/>
      <c r="CH649" s="1"/>
      <c r="CI649" s="1"/>
      <c r="CJ649" s="1"/>
      <c r="CK649" s="1"/>
      <c r="CL649" s="1"/>
      <c r="CM649" s="1"/>
      <c r="CN649" s="1"/>
      <c r="CO649" s="1"/>
      <c r="CP649" s="1"/>
      <c r="CQ649" s="1"/>
      <c r="CR649" s="1"/>
      <c r="CS649" s="1"/>
      <c r="CT649" s="1"/>
      <c r="CU649" s="1"/>
      <c r="CV649" s="1"/>
      <c r="CW649" s="1"/>
      <c r="CX649" s="1"/>
      <c r="CY649" s="1"/>
      <c r="CZ649" s="1"/>
      <c r="DA649" s="1"/>
      <c r="DB649" s="1"/>
      <c r="DC649" s="1"/>
      <c r="DD649" s="1"/>
      <c r="DE649" s="1"/>
      <c r="DF649" s="1"/>
      <c r="DG649" s="1"/>
      <c r="DH649" s="1"/>
      <c r="DI649" s="1"/>
      <c r="DJ649" s="1"/>
      <c r="DK649" s="1"/>
      <c r="DL649" s="1"/>
      <c r="DM649" s="1"/>
      <c r="DN649" s="1"/>
      <c r="DO649" s="1"/>
      <c r="DP649" s="1"/>
      <c r="DQ649" s="1"/>
      <c r="DR649" s="1"/>
      <c r="DS649" s="1"/>
      <c r="DT649" s="1"/>
      <c r="DU649" s="1"/>
      <c r="DV649" s="1"/>
      <c r="DW649" s="1"/>
      <c r="DX649" s="1"/>
      <c r="DY649" s="1"/>
      <c r="DZ649" s="1"/>
      <c r="EA649" s="1"/>
      <c r="EB649" s="1"/>
      <c r="EC649" s="1"/>
      <c r="ED649" s="1"/>
      <c r="EE649" s="1"/>
      <c r="EF649" s="1"/>
      <c r="EG649" s="1"/>
      <c r="EH649" s="1"/>
      <c r="EI649" s="1"/>
      <c r="EJ649" s="1"/>
      <c r="EK649" s="1"/>
      <c r="EL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c r="BR650" s="1"/>
      <c r="BS650" s="1"/>
      <c r="BT650" s="1"/>
      <c r="BU650" s="1"/>
      <c r="BV650" s="1"/>
      <c r="BW650" s="1"/>
      <c r="BX650" s="1"/>
      <c r="BY650" s="1"/>
      <c r="BZ650" s="1"/>
      <c r="CA650" s="1"/>
      <c r="CB650" s="1"/>
      <c r="CC650" s="1"/>
      <c r="CD650" s="1"/>
      <c r="CE650" s="1"/>
      <c r="CF650" s="1"/>
      <c r="CG650" s="1"/>
      <c r="CH650" s="1"/>
      <c r="CI650" s="1"/>
      <c r="CJ650" s="1"/>
      <c r="CK650" s="1"/>
      <c r="CL650" s="1"/>
      <c r="CM650" s="1"/>
      <c r="CN650" s="1"/>
      <c r="CO650" s="1"/>
      <c r="CP650" s="1"/>
      <c r="CQ650" s="1"/>
      <c r="CR650" s="1"/>
      <c r="CS650" s="1"/>
      <c r="CT650" s="1"/>
      <c r="CU650" s="1"/>
      <c r="CV650" s="1"/>
      <c r="CW650" s="1"/>
      <c r="CX650" s="1"/>
      <c r="CY650" s="1"/>
      <c r="CZ650" s="1"/>
      <c r="DA650" s="1"/>
      <c r="DB650" s="1"/>
      <c r="DC650" s="1"/>
      <c r="DD650" s="1"/>
      <c r="DE650" s="1"/>
      <c r="DF650" s="1"/>
      <c r="DG650" s="1"/>
      <c r="DH650" s="1"/>
      <c r="DI650" s="1"/>
      <c r="DJ650" s="1"/>
      <c r="DK650" s="1"/>
      <c r="DL650" s="1"/>
      <c r="DM650" s="1"/>
      <c r="DN650" s="1"/>
      <c r="DO650" s="1"/>
      <c r="DP650" s="1"/>
      <c r="DQ650" s="1"/>
      <c r="DR650" s="1"/>
      <c r="DS650" s="1"/>
      <c r="DT650" s="1"/>
      <c r="DU650" s="1"/>
      <c r="DV650" s="1"/>
      <c r="DW650" s="1"/>
      <c r="DX650" s="1"/>
      <c r="DY650" s="1"/>
      <c r="DZ650" s="1"/>
      <c r="EA650" s="1"/>
      <c r="EB650" s="1"/>
      <c r="EC650" s="1"/>
      <c r="ED650" s="1"/>
      <c r="EE650" s="1"/>
      <c r="EF650" s="1"/>
      <c r="EG650" s="1"/>
      <c r="EH650" s="1"/>
      <c r="EI650" s="1"/>
      <c r="EJ650" s="1"/>
      <c r="EK650" s="1"/>
      <c r="EL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c r="BR651" s="1"/>
      <c r="BS651" s="1"/>
      <c r="BT651" s="1"/>
      <c r="BU651" s="1"/>
      <c r="BV651" s="1"/>
      <c r="BW651" s="1"/>
      <c r="BX651" s="1"/>
      <c r="BY651" s="1"/>
      <c r="BZ651" s="1"/>
      <c r="CA651" s="1"/>
      <c r="CB651" s="1"/>
      <c r="CC651" s="1"/>
      <c r="CD651" s="1"/>
      <c r="CE651" s="1"/>
      <c r="CF651" s="1"/>
      <c r="CG651" s="1"/>
      <c r="CH651" s="1"/>
      <c r="CI651" s="1"/>
      <c r="CJ651" s="1"/>
      <c r="CK651" s="1"/>
      <c r="CL651" s="1"/>
      <c r="CM651" s="1"/>
      <c r="CN651" s="1"/>
      <c r="CO651" s="1"/>
      <c r="CP651" s="1"/>
      <c r="CQ651" s="1"/>
      <c r="CR651" s="1"/>
      <c r="CS651" s="1"/>
      <c r="CT651" s="1"/>
      <c r="CU651" s="1"/>
      <c r="CV651" s="1"/>
      <c r="CW651" s="1"/>
      <c r="CX651" s="1"/>
      <c r="CY651" s="1"/>
      <c r="CZ651" s="1"/>
      <c r="DA651" s="1"/>
      <c r="DB651" s="1"/>
      <c r="DC651" s="1"/>
      <c r="DD651" s="1"/>
      <c r="DE651" s="1"/>
      <c r="DF651" s="1"/>
      <c r="DG651" s="1"/>
      <c r="DH651" s="1"/>
      <c r="DI651" s="1"/>
      <c r="DJ651" s="1"/>
      <c r="DK651" s="1"/>
      <c r="DL651" s="1"/>
      <c r="DM651" s="1"/>
      <c r="DN651" s="1"/>
      <c r="DO651" s="1"/>
      <c r="DP651" s="1"/>
      <c r="DQ651" s="1"/>
      <c r="DR651" s="1"/>
      <c r="DS651" s="1"/>
      <c r="DT651" s="1"/>
      <c r="DU651" s="1"/>
      <c r="DV651" s="1"/>
      <c r="DW651" s="1"/>
      <c r="DX651" s="1"/>
      <c r="DY651" s="1"/>
      <c r="DZ651" s="1"/>
      <c r="EA651" s="1"/>
      <c r="EB651" s="1"/>
      <c r="EC651" s="1"/>
      <c r="ED651" s="1"/>
      <c r="EE651" s="1"/>
      <c r="EF651" s="1"/>
      <c r="EG651" s="1"/>
      <c r="EH651" s="1"/>
      <c r="EI651" s="1"/>
      <c r="EJ651" s="1"/>
      <c r="EK651" s="1"/>
      <c r="EL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c r="BR652" s="1"/>
      <c r="BS652" s="1"/>
      <c r="BT652" s="1"/>
      <c r="BU652" s="1"/>
      <c r="BV652" s="1"/>
      <c r="BW652" s="1"/>
      <c r="BX652" s="1"/>
      <c r="BY652" s="1"/>
      <c r="BZ652" s="1"/>
      <c r="CA652" s="1"/>
      <c r="CB652" s="1"/>
      <c r="CC652" s="1"/>
      <c r="CD652" s="1"/>
      <c r="CE652" s="1"/>
      <c r="CF652" s="1"/>
      <c r="CG652" s="1"/>
      <c r="CH652" s="1"/>
      <c r="CI652" s="1"/>
      <c r="CJ652" s="1"/>
      <c r="CK652" s="1"/>
      <c r="CL652" s="1"/>
      <c r="CM652" s="1"/>
      <c r="CN652" s="1"/>
      <c r="CO652" s="1"/>
      <c r="CP652" s="1"/>
      <c r="CQ652" s="1"/>
      <c r="CR652" s="1"/>
      <c r="CS652" s="1"/>
      <c r="CT652" s="1"/>
      <c r="CU652" s="1"/>
      <c r="CV652" s="1"/>
      <c r="CW652" s="1"/>
      <c r="CX652" s="1"/>
      <c r="CY652" s="1"/>
      <c r="CZ652" s="1"/>
      <c r="DA652" s="1"/>
      <c r="DB652" s="1"/>
      <c r="DC652" s="1"/>
      <c r="DD652" s="1"/>
      <c r="DE652" s="1"/>
      <c r="DF652" s="1"/>
      <c r="DG652" s="1"/>
      <c r="DH652" s="1"/>
      <c r="DI652" s="1"/>
      <c r="DJ652" s="1"/>
      <c r="DK652" s="1"/>
      <c r="DL652" s="1"/>
      <c r="DM652" s="1"/>
      <c r="DN652" s="1"/>
      <c r="DO652" s="1"/>
      <c r="DP652" s="1"/>
      <c r="DQ652" s="1"/>
      <c r="DR652" s="1"/>
      <c r="DS652" s="1"/>
      <c r="DT652" s="1"/>
      <c r="DU652" s="1"/>
      <c r="DV652" s="1"/>
      <c r="DW652" s="1"/>
      <c r="DX652" s="1"/>
      <c r="DY652" s="1"/>
      <c r="DZ652" s="1"/>
      <c r="EA652" s="1"/>
      <c r="EB652" s="1"/>
      <c r="EC652" s="1"/>
      <c r="ED652" s="1"/>
      <c r="EE652" s="1"/>
      <c r="EF652" s="1"/>
      <c r="EG652" s="1"/>
      <c r="EH652" s="1"/>
      <c r="EI652" s="1"/>
      <c r="EJ652" s="1"/>
      <c r="EK652" s="1"/>
      <c r="EL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c r="BR653" s="1"/>
      <c r="BS653" s="1"/>
      <c r="BT653" s="1"/>
      <c r="BU653" s="1"/>
      <c r="BV653" s="1"/>
      <c r="BW653" s="1"/>
      <c r="BX653" s="1"/>
      <c r="BY653" s="1"/>
      <c r="BZ653" s="1"/>
      <c r="CA653" s="1"/>
      <c r="CB653" s="1"/>
      <c r="CC653" s="1"/>
      <c r="CD653" s="1"/>
      <c r="CE653" s="1"/>
      <c r="CF653" s="1"/>
      <c r="CG653" s="1"/>
      <c r="CH653" s="1"/>
      <c r="CI653" s="1"/>
      <c r="CJ653" s="1"/>
      <c r="CK653" s="1"/>
      <c r="CL653" s="1"/>
      <c r="CM653" s="1"/>
      <c r="CN653" s="1"/>
      <c r="CO653" s="1"/>
      <c r="CP653" s="1"/>
      <c r="CQ653" s="1"/>
      <c r="CR653" s="1"/>
      <c r="CS653" s="1"/>
      <c r="CT653" s="1"/>
      <c r="CU653" s="1"/>
      <c r="CV653" s="1"/>
      <c r="CW653" s="1"/>
      <c r="CX653" s="1"/>
      <c r="CY653" s="1"/>
      <c r="CZ653" s="1"/>
      <c r="DA653" s="1"/>
      <c r="DB653" s="1"/>
      <c r="DC653" s="1"/>
      <c r="DD653" s="1"/>
      <c r="DE653" s="1"/>
      <c r="DF653" s="1"/>
      <c r="DG653" s="1"/>
      <c r="DH653" s="1"/>
      <c r="DI653" s="1"/>
      <c r="DJ653" s="1"/>
      <c r="DK653" s="1"/>
      <c r="DL653" s="1"/>
      <c r="DM653" s="1"/>
      <c r="DN653" s="1"/>
      <c r="DO653" s="1"/>
      <c r="DP653" s="1"/>
      <c r="DQ653" s="1"/>
      <c r="DR653" s="1"/>
      <c r="DS653" s="1"/>
      <c r="DT653" s="1"/>
      <c r="DU653" s="1"/>
      <c r="DV653" s="1"/>
      <c r="DW653" s="1"/>
      <c r="DX653" s="1"/>
      <c r="DY653" s="1"/>
      <c r="DZ653" s="1"/>
      <c r="EA653" s="1"/>
      <c r="EB653" s="1"/>
      <c r="EC653" s="1"/>
      <c r="ED653" s="1"/>
      <c r="EE653" s="1"/>
      <c r="EF653" s="1"/>
      <c r="EG653" s="1"/>
      <c r="EH653" s="1"/>
      <c r="EI653" s="1"/>
      <c r="EJ653" s="1"/>
      <c r="EK653" s="1"/>
      <c r="EL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c r="BR654" s="1"/>
      <c r="BS654" s="1"/>
      <c r="BT654" s="1"/>
      <c r="BU654" s="1"/>
      <c r="BV654" s="1"/>
      <c r="BW654" s="1"/>
      <c r="BX654" s="1"/>
      <c r="BY654" s="1"/>
      <c r="BZ654" s="1"/>
      <c r="CA654" s="1"/>
      <c r="CB654" s="1"/>
      <c r="CC654" s="1"/>
      <c r="CD654" s="1"/>
      <c r="CE654" s="1"/>
      <c r="CF654" s="1"/>
      <c r="CG654" s="1"/>
      <c r="CH654" s="1"/>
      <c r="CI654" s="1"/>
      <c r="CJ654" s="1"/>
      <c r="CK654" s="1"/>
      <c r="CL654" s="1"/>
      <c r="CM654" s="1"/>
      <c r="CN654" s="1"/>
      <c r="CO654" s="1"/>
      <c r="CP654" s="1"/>
      <c r="CQ654" s="1"/>
      <c r="CR654" s="1"/>
      <c r="CS654" s="1"/>
      <c r="CT654" s="1"/>
      <c r="CU654" s="1"/>
      <c r="CV654" s="1"/>
      <c r="CW654" s="1"/>
      <c r="CX654" s="1"/>
      <c r="CY654" s="1"/>
      <c r="CZ654" s="1"/>
      <c r="DA654" s="1"/>
      <c r="DB654" s="1"/>
      <c r="DC654" s="1"/>
      <c r="DD654" s="1"/>
      <c r="DE654" s="1"/>
      <c r="DF654" s="1"/>
      <c r="DG654" s="1"/>
      <c r="DH654" s="1"/>
      <c r="DI654" s="1"/>
      <c r="DJ654" s="1"/>
      <c r="DK654" s="1"/>
      <c r="DL654" s="1"/>
      <c r="DM654" s="1"/>
      <c r="DN654" s="1"/>
      <c r="DO654" s="1"/>
      <c r="DP654" s="1"/>
      <c r="DQ654" s="1"/>
      <c r="DR654" s="1"/>
      <c r="DS654" s="1"/>
      <c r="DT654" s="1"/>
      <c r="DU654" s="1"/>
      <c r="DV654" s="1"/>
      <c r="DW654" s="1"/>
      <c r="DX654" s="1"/>
      <c r="DY654" s="1"/>
      <c r="DZ654" s="1"/>
      <c r="EA654" s="1"/>
      <c r="EB654" s="1"/>
      <c r="EC654" s="1"/>
      <c r="ED654" s="1"/>
      <c r="EE654" s="1"/>
      <c r="EF654" s="1"/>
      <c r="EG654" s="1"/>
      <c r="EH654" s="1"/>
      <c r="EI654" s="1"/>
      <c r="EJ654" s="1"/>
      <c r="EK654" s="1"/>
      <c r="EL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c r="BR655" s="1"/>
      <c r="BS655" s="1"/>
      <c r="BT655" s="1"/>
      <c r="BU655" s="1"/>
      <c r="BV655" s="1"/>
      <c r="BW655" s="1"/>
      <c r="BX655" s="1"/>
      <c r="BY655" s="1"/>
      <c r="BZ655" s="1"/>
      <c r="CA655" s="1"/>
      <c r="CB655" s="1"/>
      <c r="CC655" s="1"/>
      <c r="CD655" s="1"/>
      <c r="CE655" s="1"/>
      <c r="CF655" s="1"/>
      <c r="CG655" s="1"/>
      <c r="CH655" s="1"/>
      <c r="CI655" s="1"/>
      <c r="CJ655" s="1"/>
      <c r="CK655" s="1"/>
      <c r="CL655" s="1"/>
      <c r="CM655" s="1"/>
      <c r="CN655" s="1"/>
      <c r="CO655" s="1"/>
      <c r="CP655" s="1"/>
      <c r="CQ655" s="1"/>
      <c r="CR655" s="1"/>
      <c r="CS655" s="1"/>
      <c r="CT655" s="1"/>
      <c r="CU655" s="1"/>
      <c r="CV655" s="1"/>
      <c r="CW655" s="1"/>
      <c r="CX655" s="1"/>
      <c r="CY655" s="1"/>
      <c r="CZ655" s="1"/>
      <c r="DA655" s="1"/>
      <c r="DB655" s="1"/>
      <c r="DC655" s="1"/>
      <c r="DD655" s="1"/>
      <c r="DE655" s="1"/>
      <c r="DF655" s="1"/>
      <c r="DG655" s="1"/>
      <c r="DH655" s="1"/>
      <c r="DI655" s="1"/>
      <c r="DJ655" s="1"/>
      <c r="DK655" s="1"/>
      <c r="DL655" s="1"/>
      <c r="DM655" s="1"/>
      <c r="DN655" s="1"/>
      <c r="DO655" s="1"/>
      <c r="DP655" s="1"/>
      <c r="DQ655" s="1"/>
      <c r="DR655" s="1"/>
      <c r="DS655" s="1"/>
      <c r="DT655" s="1"/>
      <c r="DU655" s="1"/>
      <c r="DV655" s="1"/>
      <c r="DW655" s="1"/>
      <c r="DX655" s="1"/>
      <c r="DY655" s="1"/>
      <c r="DZ655" s="1"/>
      <c r="EA655" s="1"/>
      <c r="EB655" s="1"/>
      <c r="EC655" s="1"/>
      <c r="ED655" s="1"/>
      <c r="EE655" s="1"/>
      <c r="EF655" s="1"/>
      <c r="EG655" s="1"/>
      <c r="EH655" s="1"/>
      <c r="EI655" s="1"/>
      <c r="EJ655" s="1"/>
      <c r="EK655" s="1"/>
      <c r="EL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c r="BR656" s="1"/>
      <c r="BS656" s="1"/>
      <c r="BT656" s="1"/>
      <c r="BU656" s="1"/>
      <c r="BV656" s="1"/>
      <c r="BW656" s="1"/>
      <c r="BX656" s="1"/>
      <c r="BY656" s="1"/>
      <c r="BZ656" s="1"/>
      <c r="CA656" s="1"/>
      <c r="CB656" s="1"/>
      <c r="CC656" s="1"/>
      <c r="CD656" s="1"/>
      <c r="CE656" s="1"/>
      <c r="CF656" s="1"/>
      <c r="CG656" s="1"/>
      <c r="CH656" s="1"/>
      <c r="CI656" s="1"/>
      <c r="CJ656" s="1"/>
      <c r="CK656" s="1"/>
      <c r="CL656" s="1"/>
      <c r="CM656" s="1"/>
      <c r="CN656" s="1"/>
      <c r="CO656" s="1"/>
      <c r="CP656" s="1"/>
      <c r="CQ656" s="1"/>
      <c r="CR656" s="1"/>
      <c r="CS656" s="1"/>
      <c r="CT656" s="1"/>
      <c r="CU656" s="1"/>
      <c r="CV656" s="1"/>
      <c r="CW656" s="1"/>
      <c r="CX656" s="1"/>
      <c r="CY656" s="1"/>
      <c r="CZ656" s="1"/>
      <c r="DA656" s="1"/>
      <c r="DB656" s="1"/>
      <c r="DC656" s="1"/>
      <c r="DD656" s="1"/>
      <c r="DE656" s="1"/>
      <c r="DF656" s="1"/>
      <c r="DG656" s="1"/>
      <c r="DH656" s="1"/>
      <c r="DI656" s="1"/>
      <c r="DJ656" s="1"/>
      <c r="DK656" s="1"/>
      <c r="DL656" s="1"/>
      <c r="DM656" s="1"/>
      <c r="DN656" s="1"/>
      <c r="DO656" s="1"/>
      <c r="DP656" s="1"/>
      <c r="DQ656" s="1"/>
      <c r="DR656" s="1"/>
      <c r="DS656" s="1"/>
      <c r="DT656" s="1"/>
      <c r="DU656" s="1"/>
      <c r="DV656" s="1"/>
      <c r="DW656" s="1"/>
      <c r="DX656" s="1"/>
      <c r="DY656" s="1"/>
      <c r="DZ656" s="1"/>
      <c r="EA656" s="1"/>
      <c r="EB656" s="1"/>
      <c r="EC656" s="1"/>
      <c r="ED656" s="1"/>
      <c r="EE656" s="1"/>
      <c r="EF656" s="1"/>
      <c r="EG656" s="1"/>
      <c r="EH656" s="1"/>
      <c r="EI656" s="1"/>
      <c r="EJ656" s="1"/>
      <c r="EK656" s="1"/>
      <c r="EL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c r="BR657" s="1"/>
      <c r="BS657" s="1"/>
      <c r="BT657" s="1"/>
      <c r="BU657" s="1"/>
      <c r="BV657" s="1"/>
      <c r="BW657" s="1"/>
      <c r="BX657" s="1"/>
      <c r="BY657" s="1"/>
      <c r="BZ657" s="1"/>
      <c r="CA657" s="1"/>
      <c r="CB657" s="1"/>
      <c r="CC657" s="1"/>
      <c r="CD657" s="1"/>
      <c r="CE657" s="1"/>
      <c r="CF657" s="1"/>
      <c r="CG657" s="1"/>
      <c r="CH657" s="1"/>
      <c r="CI657" s="1"/>
      <c r="CJ657" s="1"/>
      <c r="CK657" s="1"/>
      <c r="CL657" s="1"/>
      <c r="CM657" s="1"/>
      <c r="CN657" s="1"/>
      <c r="CO657" s="1"/>
      <c r="CP657" s="1"/>
      <c r="CQ657" s="1"/>
      <c r="CR657" s="1"/>
      <c r="CS657" s="1"/>
      <c r="CT657" s="1"/>
      <c r="CU657" s="1"/>
      <c r="CV657" s="1"/>
      <c r="CW657" s="1"/>
      <c r="CX657" s="1"/>
      <c r="CY657" s="1"/>
      <c r="CZ657" s="1"/>
      <c r="DA657" s="1"/>
      <c r="DB657" s="1"/>
      <c r="DC657" s="1"/>
      <c r="DD657" s="1"/>
      <c r="DE657" s="1"/>
      <c r="DF657" s="1"/>
      <c r="DG657" s="1"/>
      <c r="DH657" s="1"/>
      <c r="DI657" s="1"/>
      <c r="DJ657" s="1"/>
      <c r="DK657" s="1"/>
      <c r="DL657" s="1"/>
      <c r="DM657" s="1"/>
      <c r="DN657" s="1"/>
      <c r="DO657" s="1"/>
      <c r="DP657" s="1"/>
      <c r="DQ657" s="1"/>
      <c r="DR657" s="1"/>
      <c r="DS657" s="1"/>
      <c r="DT657" s="1"/>
      <c r="DU657" s="1"/>
      <c r="DV657" s="1"/>
      <c r="DW657" s="1"/>
      <c r="DX657" s="1"/>
      <c r="DY657" s="1"/>
      <c r="DZ657" s="1"/>
      <c r="EA657" s="1"/>
      <c r="EB657" s="1"/>
      <c r="EC657" s="1"/>
      <c r="ED657" s="1"/>
      <c r="EE657" s="1"/>
      <c r="EF657" s="1"/>
      <c r="EG657" s="1"/>
      <c r="EH657" s="1"/>
      <c r="EI657" s="1"/>
      <c r="EJ657" s="1"/>
      <c r="EK657" s="1"/>
      <c r="EL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c r="BR658" s="1"/>
      <c r="BS658" s="1"/>
      <c r="BT658" s="1"/>
      <c r="BU658" s="1"/>
      <c r="BV658" s="1"/>
      <c r="BW658" s="1"/>
      <c r="BX658" s="1"/>
      <c r="BY658" s="1"/>
      <c r="BZ658" s="1"/>
      <c r="CA658" s="1"/>
      <c r="CB658" s="1"/>
      <c r="CC658" s="1"/>
      <c r="CD658" s="1"/>
      <c r="CE658" s="1"/>
      <c r="CF658" s="1"/>
      <c r="CG658" s="1"/>
      <c r="CH658" s="1"/>
      <c r="CI658" s="1"/>
      <c r="CJ658" s="1"/>
      <c r="CK658" s="1"/>
      <c r="CL658" s="1"/>
      <c r="CM658" s="1"/>
      <c r="CN658" s="1"/>
      <c r="CO658" s="1"/>
      <c r="CP658" s="1"/>
      <c r="CQ658" s="1"/>
      <c r="CR658" s="1"/>
      <c r="CS658" s="1"/>
      <c r="CT658" s="1"/>
      <c r="CU658" s="1"/>
      <c r="CV658" s="1"/>
      <c r="CW658" s="1"/>
      <c r="CX658" s="1"/>
      <c r="CY658" s="1"/>
      <c r="CZ658" s="1"/>
      <c r="DA658" s="1"/>
      <c r="DB658" s="1"/>
      <c r="DC658" s="1"/>
      <c r="DD658" s="1"/>
      <c r="DE658" s="1"/>
      <c r="DF658" s="1"/>
      <c r="DG658" s="1"/>
      <c r="DH658" s="1"/>
      <c r="DI658" s="1"/>
      <c r="DJ658" s="1"/>
      <c r="DK658" s="1"/>
      <c r="DL658" s="1"/>
      <c r="DM658" s="1"/>
      <c r="DN658" s="1"/>
      <c r="DO658" s="1"/>
      <c r="DP658" s="1"/>
      <c r="DQ658" s="1"/>
      <c r="DR658" s="1"/>
      <c r="DS658" s="1"/>
      <c r="DT658" s="1"/>
      <c r="DU658" s="1"/>
      <c r="DV658" s="1"/>
      <c r="DW658" s="1"/>
      <c r="DX658" s="1"/>
      <c r="DY658" s="1"/>
      <c r="DZ658" s="1"/>
      <c r="EA658" s="1"/>
      <c r="EB658" s="1"/>
      <c r="EC658" s="1"/>
      <c r="ED658" s="1"/>
      <c r="EE658" s="1"/>
      <c r="EF658" s="1"/>
      <c r="EG658" s="1"/>
      <c r="EH658" s="1"/>
      <c r="EI658" s="1"/>
      <c r="EJ658" s="1"/>
      <c r="EK658" s="1"/>
      <c r="EL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c r="BR659" s="1"/>
      <c r="BS659" s="1"/>
      <c r="BT659" s="1"/>
      <c r="BU659" s="1"/>
      <c r="BV659" s="1"/>
      <c r="BW659" s="1"/>
      <c r="BX659" s="1"/>
      <c r="BY659" s="1"/>
      <c r="BZ659" s="1"/>
      <c r="CA659" s="1"/>
      <c r="CB659" s="1"/>
      <c r="CC659" s="1"/>
      <c r="CD659" s="1"/>
      <c r="CE659" s="1"/>
      <c r="CF659" s="1"/>
      <c r="CG659" s="1"/>
      <c r="CH659" s="1"/>
      <c r="CI659" s="1"/>
      <c r="CJ659" s="1"/>
      <c r="CK659" s="1"/>
      <c r="CL659" s="1"/>
      <c r="CM659" s="1"/>
      <c r="CN659" s="1"/>
      <c r="CO659" s="1"/>
      <c r="CP659" s="1"/>
      <c r="CQ659" s="1"/>
      <c r="CR659" s="1"/>
      <c r="CS659" s="1"/>
      <c r="CT659" s="1"/>
      <c r="CU659" s="1"/>
      <c r="CV659" s="1"/>
      <c r="CW659" s="1"/>
      <c r="CX659" s="1"/>
      <c r="CY659" s="1"/>
      <c r="CZ659" s="1"/>
      <c r="DA659" s="1"/>
      <c r="DB659" s="1"/>
      <c r="DC659" s="1"/>
      <c r="DD659" s="1"/>
      <c r="DE659" s="1"/>
      <c r="DF659" s="1"/>
      <c r="DG659" s="1"/>
      <c r="DH659" s="1"/>
      <c r="DI659" s="1"/>
      <c r="DJ659" s="1"/>
      <c r="DK659" s="1"/>
      <c r="DL659" s="1"/>
      <c r="DM659" s="1"/>
      <c r="DN659" s="1"/>
      <c r="DO659" s="1"/>
      <c r="DP659" s="1"/>
      <c r="DQ659" s="1"/>
      <c r="DR659" s="1"/>
      <c r="DS659" s="1"/>
      <c r="DT659" s="1"/>
      <c r="DU659" s="1"/>
      <c r="DV659" s="1"/>
      <c r="DW659" s="1"/>
      <c r="DX659" s="1"/>
      <c r="DY659" s="1"/>
      <c r="DZ659" s="1"/>
      <c r="EA659" s="1"/>
      <c r="EB659" s="1"/>
      <c r="EC659" s="1"/>
      <c r="ED659" s="1"/>
      <c r="EE659" s="1"/>
      <c r="EF659" s="1"/>
      <c r="EG659" s="1"/>
      <c r="EH659" s="1"/>
      <c r="EI659" s="1"/>
      <c r="EJ659" s="1"/>
      <c r="EK659" s="1"/>
      <c r="EL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c r="BR660" s="1"/>
      <c r="BS660" s="1"/>
      <c r="BT660" s="1"/>
      <c r="BU660" s="1"/>
      <c r="BV660" s="1"/>
      <c r="BW660" s="1"/>
      <c r="BX660" s="1"/>
      <c r="BY660" s="1"/>
      <c r="BZ660" s="1"/>
      <c r="CA660" s="1"/>
      <c r="CB660" s="1"/>
      <c r="CC660" s="1"/>
      <c r="CD660" s="1"/>
      <c r="CE660" s="1"/>
      <c r="CF660" s="1"/>
      <c r="CG660" s="1"/>
      <c r="CH660" s="1"/>
      <c r="CI660" s="1"/>
      <c r="CJ660" s="1"/>
      <c r="CK660" s="1"/>
      <c r="CL660" s="1"/>
      <c r="CM660" s="1"/>
      <c r="CN660" s="1"/>
      <c r="CO660" s="1"/>
      <c r="CP660" s="1"/>
      <c r="CQ660" s="1"/>
      <c r="CR660" s="1"/>
      <c r="CS660" s="1"/>
      <c r="CT660" s="1"/>
      <c r="CU660" s="1"/>
      <c r="CV660" s="1"/>
      <c r="CW660" s="1"/>
      <c r="CX660" s="1"/>
      <c r="CY660" s="1"/>
      <c r="CZ660" s="1"/>
      <c r="DA660" s="1"/>
      <c r="DB660" s="1"/>
      <c r="DC660" s="1"/>
      <c r="DD660" s="1"/>
      <c r="DE660" s="1"/>
      <c r="DF660" s="1"/>
      <c r="DG660" s="1"/>
      <c r="DH660" s="1"/>
      <c r="DI660" s="1"/>
      <c r="DJ660" s="1"/>
      <c r="DK660" s="1"/>
      <c r="DL660" s="1"/>
      <c r="DM660" s="1"/>
      <c r="DN660" s="1"/>
      <c r="DO660" s="1"/>
      <c r="DP660" s="1"/>
      <c r="DQ660" s="1"/>
      <c r="DR660" s="1"/>
      <c r="DS660" s="1"/>
      <c r="DT660" s="1"/>
      <c r="DU660" s="1"/>
      <c r="DV660" s="1"/>
      <c r="DW660" s="1"/>
      <c r="DX660" s="1"/>
      <c r="DY660" s="1"/>
      <c r="DZ660" s="1"/>
      <c r="EA660" s="1"/>
      <c r="EB660" s="1"/>
      <c r="EC660" s="1"/>
      <c r="ED660" s="1"/>
      <c r="EE660" s="1"/>
      <c r="EF660" s="1"/>
      <c r="EG660" s="1"/>
      <c r="EH660" s="1"/>
      <c r="EI660" s="1"/>
      <c r="EJ660" s="1"/>
      <c r="EK660" s="1"/>
      <c r="EL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c r="BR661" s="1"/>
      <c r="BS661" s="1"/>
      <c r="BT661" s="1"/>
      <c r="BU661" s="1"/>
      <c r="BV661" s="1"/>
      <c r="BW661" s="1"/>
      <c r="BX661" s="1"/>
      <c r="BY661" s="1"/>
      <c r="BZ661" s="1"/>
      <c r="CA661" s="1"/>
      <c r="CB661" s="1"/>
      <c r="CC661" s="1"/>
      <c r="CD661" s="1"/>
      <c r="CE661" s="1"/>
      <c r="CF661" s="1"/>
      <c r="CG661" s="1"/>
      <c r="CH661" s="1"/>
      <c r="CI661" s="1"/>
      <c r="CJ661" s="1"/>
      <c r="CK661" s="1"/>
      <c r="CL661" s="1"/>
      <c r="CM661" s="1"/>
      <c r="CN661" s="1"/>
      <c r="CO661" s="1"/>
      <c r="CP661" s="1"/>
      <c r="CQ661" s="1"/>
      <c r="CR661" s="1"/>
      <c r="CS661" s="1"/>
      <c r="CT661" s="1"/>
      <c r="CU661" s="1"/>
      <c r="CV661" s="1"/>
      <c r="CW661" s="1"/>
      <c r="CX661" s="1"/>
      <c r="CY661" s="1"/>
      <c r="CZ661" s="1"/>
      <c r="DA661" s="1"/>
      <c r="DB661" s="1"/>
      <c r="DC661" s="1"/>
      <c r="DD661" s="1"/>
      <c r="DE661" s="1"/>
      <c r="DF661" s="1"/>
      <c r="DG661" s="1"/>
      <c r="DH661" s="1"/>
      <c r="DI661" s="1"/>
      <c r="DJ661" s="1"/>
      <c r="DK661" s="1"/>
      <c r="DL661" s="1"/>
      <c r="DM661" s="1"/>
      <c r="DN661" s="1"/>
      <c r="DO661" s="1"/>
      <c r="DP661" s="1"/>
      <c r="DQ661" s="1"/>
      <c r="DR661" s="1"/>
      <c r="DS661" s="1"/>
      <c r="DT661" s="1"/>
      <c r="DU661" s="1"/>
      <c r="DV661" s="1"/>
      <c r="DW661" s="1"/>
      <c r="DX661" s="1"/>
      <c r="DY661" s="1"/>
      <c r="DZ661" s="1"/>
      <c r="EA661" s="1"/>
      <c r="EB661" s="1"/>
      <c r="EC661" s="1"/>
      <c r="ED661" s="1"/>
      <c r="EE661" s="1"/>
      <c r="EF661" s="1"/>
      <c r="EG661" s="1"/>
      <c r="EH661" s="1"/>
      <c r="EI661" s="1"/>
      <c r="EJ661" s="1"/>
      <c r="EK661" s="1"/>
      <c r="EL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c r="BR662" s="1"/>
      <c r="BS662" s="1"/>
      <c r="BT662" s="1"/>
      <c r="BU662" s="1"/>
      <c r="BV662" s="1"/>
      <c r="BW662" s="1"/>
      <c r="BX662" s="1"/>
      <c r="BY662" s="1"/>
      <c r="BZ662" s="1"/>
      <c r="CA662" s="1"/>
      <c r="CB662" s="1"/>
      <c r="CC662" s="1"/>
      <c r="CD662" s="1"/>
      <c r="CE662" s="1"/>
      <c r="CF662" s="1"/>
      <c r="CG662" s="1"/>
      <c r="CH662" s="1"/>
      <c r="CI662" s="1"/>
      <c r="CJ662" s="1"/>
      <c r="CK662" s="1"/>
      <c r="CL662" s="1"/>
      <c r="CM662" s="1"/>
      <c r="CN662" s="1"/>
      <c r="CO662" s="1"/>
      <c r="CP662" s="1"/>
      <c r="CQ662" s="1"/>
      <c r="CR662" s="1"/>
      <c r="CS662" s="1"/>
      <c r="CT662" s="1"/>
      <c r="CU662" s="1"/>
      <c r="CV662" s="1"/>
      <c r="CW662" s="1"/>
      <c r="CX662" s="1"/>
      <c r="CY662" s="1"/>
      <c r="CZ662" s="1"/>
      <c r="DA662" s="1"/>
      <c r="DB662" s="1"/>
      <c r="DC662" s="1"/>
      <c r="DD662" s="1"/>
      <c r="DE662" s="1"/>
      <c r="DF662" s="1"/>
      <c r="DG662" s="1"/>
      <c r="DH662" s="1"/>
      <c r="DI662" s="1"/>
      <c r="DJ662" s="1"/>
      <c r="DK662" s="1"/>
      <c r="DL662" s="1"/>
      <c r="DM662" s="1"/>
      <c r="DN662" s="1"/>
      <c r="DO662" s="1"/>
      <c r="DP662" s="1"/>
      <c r="DQ662" s="1"/>
      <c r="DR662" s="1"/>
      <c r="DS662" s="1"/>
      <c r="DT662" s="1"/>
      <c r="DU662" s="1"/>
      <c r="DV662" s="1"/>
      <c r="DW662" s="1"/>
      <c r="DX662" s="1"/>
      <c r="DY662" s="1"/>
      <c r="DZ662" s="1"/>
      <c r="EA662" s="1"/>
      <c r="EB662" s="1"/>
      <c r="EC662" s="1"/>
      <c r="ED662" s="1"/>
      <c r="EE662" s="1"/>
      <c r="EF662" s="1"/>
      <c r="EG662" s="1"/>
      <c r="EH662" s="1"/>
      <c r="EI662" s="1"/>
      <c r="EJ662" s="1"/>
      <c r="EK662" s="1"/>
      <c r="EL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c r="BR663" s="1"/>
      <c r="BS663" s="1"/>
      <c r="BT663" s="1"/>
      <c r="BU663" s="1"/>
      <c r="BV663" s="1"/>
      <c r="BW663" s="1"/>
      <c r="BX663" s="1"/>
      <c r="BY663" s="1"/>
      <c r="BZ663" s="1"/>
      <c r="CA663" s="1"/>
      <c r="CB663" s="1"/>
      <c r="CC663" s="1"/>
      <c r="CD663" s="1"/>
      <c r="CE663" s="1"/>
      <c r="CF663" s="1"/>
      <c r="CG663" s="1"/>
      <c r="CH663" s="1"/>
      <c r="CI663" s="1"/>
      <c r="CJ663" s="1"/>
      <c r="CK663" s="1"/>
      <c r="CL663" s="1"/>
      <c r="CM663" s="1"/>
      <c r="CN663" s="1"/>
      <c r="CO663" s="1"/>
      <c r="CP663" s="1"/>
      <c r="CQ663" s="1"/>
      <c r="CR663" s="1"/>
      <c r="CS663" s="1"/>
      <c r="CT663" s="1"/>
      <c r="CU663" s="1"/>
      <c r="CV663" s="1"/>
      <c r="CW663" s="1"/>
      <c r="CX663" s="1"/>
      <c r="CY663" s="1"/>
      <c r="CZ663" s="1"/>
      <c r="DA663" s="1"/>
      <c r="DB663" s="1"/>
      <c r="DC663" s="1"/>
      <c r="DD663" s="1"/>
      <c r="DE663" s="1"/>
      <c r="DF663" s="1"/>
      <c r="DG663" s="1"/>
      <c r="DH663" s="1"/>
      <c r="DI663" s="1"/>
      <c r="DJ663" s="1"/>
      <c r="DK663" s="1"/>
      <c r="DL663" s="1"/>
      <c r="DM663" s="1"/>
      <c r="DN663" s="1"/>
      <c r="DO663" s="1"/>
      <c r="DP663" s="1"/>
      <c r="DQ663" s="1"/>
      <c r="DR663" s="1"/>
      <c r="DS663" s="1"/>
      <c r="DT663" s="1"/>
      <c r="DU663" s="1"/>
      <c r="DV663" s="1"/>
      <c r="DW663" s="1"/>
      <c r="DX663" s="1"/>
      <c r="DY663" s="1"/>
      <c r="DZ663" s="1"/>
      <c r="EA663" s="1"/>
      <c r="EB663" s="1"/>
      <c r="EC663" s="1"/>
      <c r="ED663" s="1"/>
      <c r="EE663" s="1"/>
      <c r="EF663" s="1"/>
      <c r="EG663" s="1"/>
      <c r="EH663" s="1"/>
      <c r="EI663" s="1"/>
      <c r="EJ663" s="1"/>
      <c r="EK663" s="1"/>
      <c r="EL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c r="BR664" s="1"/>
      <c r="BS664" s="1"/>
      <c r="BT664" s="1"/>
      <c r="BU664" s="1"/>
      <c r="BV664" s="1"/>
      <c r="BW664" s="1"/>
      <c r="BX664" s="1"/>
      <c r="BY664" s="1"/>
      <c r="BZ664" s="1"/>
      <c r="CA664" s="1"/>
      <c r="CB664" s="1"/>
      <c r="CC664" s="1"/>
      <c r="CD664" s="1"/>
      <c r="CE664" s="1"/>
      <c r="CF664" s="1"/>
      <c r="CG664" s="1"/>
      <c r="CH664" s="1"/>
      <c r="CI664" s="1"/>
      <c r="CJ664" s="1"/>
      <c r="CK664" s="1"/>
      <c r="CL664" s="1"/>
      <c r="CM664" s="1"/>
      <c r="CN664" s="1"/>
      <c r="CO664" s="1"/>
      <c r="CP664" s="1"/>
      <c r="CQ664" s="1"/>
      <c r="CR664" s="1"/>
      <c r="CS664" s="1"/>
      <c r="CT664" s="1"/>
      <c r="CU664" s="1"/>
      <c r="CV664" s="1"/>
      <c r="CW664" s="1"/>
      <c r="CX664" s="1"/>
      <c r="CY664" s="1"/>
      <c r="CZ664" s="1"/>
      <c r="DA664" s="1"/>
      <c r="DB664" s="1"/>
      <c r="DC664" s="1"/>
      <c r="DD664" s="1"/>
      <c r="DE664" s="1"/>
      <c r="DF664" s="1"/>
      <c r="DG664" s="1"/>
      <c r="DH664" s="1"/>
      <c r="DI664" s="1"/>
      <c r="DJ664" s="1"/>
      <c r="DK664" s="1"/>
      <c r="DL664" s="1"/>
      <c r="DM664" s="1"/>
      <c r="DN664" s="1"/>
      <c r="DO664" s="1"/>
      <c r="DP664" s="1"/>
      <c r="DQ664" s="1"/>
      <c r="DR664" s="1"/>
      <c r="DS664" s="1"/>
      <c r="DT664" s="1"/>
      <c r="DU664" s="1"/>
      <c r="DV664" s="1"/>
      <c r="DW664" s="1"/>
      <c r="DX664" s="1"/>
      <c r="DY664" s="1"/>
      <c r="DZ664" s="1"/>
      <c r="EA664" s="1"/>
      <c r="EB664" s="1"/>
      <c r="EC664" s="1"/>
      <c r="ED664" s="1"/>
      <c r="EE664" s="1"/>
      <c r="EF664" s="1"/>
      <c r="EG664" s="1"/>
      <c r="EH664" s="1"/>
      <c r="EI664" s="1"/>
      <c r="EJ664" s="1"/>
      <c r="EK664" s="1"/>
      <c r="EL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c r="BR665" s="1"/>
      <c r="BS665" s="1"/>
      <c r="BT665" s="1"/>
      <c r="BU665" s="1"/>
      <c r="BV665" s="1"/>
      <c r="BW665" s="1"/>
      <c r="BX665" s="1"/>
      <c r="BY665" s="1"/>
      <c r="BZ665" s="1"/>
      <c r="CA665" s="1"/>
      <c r="CB665" s="1"/>
      <c r="CC665" s="1"/>
      <c r="CD665" s="1"/>
      <c r="CE665" s="1"/>
      <c r="CF665" s="1"/>
      <c r="CG665" s="1"/>
      <c r="CH665" s="1"/>
      <c r="CI665" s="1"/>
      <c r="CJ665" s="1"/>
      <c r="CK665" s="1"/>
      <c r="CL665" s="1"/>
      <c r="CM665" s="1"/>
      <c r="CN665" s="1"/>
      <c r="CO665" s="1"/>
      <c r="CP665" s="1"/>
      <c r="CQ665" s="1"/>
      <c r="CR665" s="1"/>
      <c r="CS665" s="1"/>
      <c r="CT665" s="1"/>
      <c r="CU665" s="1"/>
      <c r="CV665" s="1"/>
      <c r="CW665" s="1"/>
      <c r="CX665" s="1"/>
      <c r="CY665" s="1"/>
      <c r="CZ665" s="1"/>
      <c r="DA665" s="1"/>
      <c r="DB665" s="1"/>
      <c r="DC665" s="1"/>
      <c r="DD665" s="1"/>
      <c r="DE665" s="1"/>
      <c r="DF665" s="1"/>
      <c r="DG665" s="1"/>
      <c r="DH665" s="1"/>
      <c r="DI665" s="1"/>
      <c r="DJ665" s="1"/>
      <c r="DK665" s="1"/>
      <c r="DL665" s="1"/>
      <c r="DM665" s="1"/>
      <c r="DN665" s="1"/>
      <c r="DO665" s="1"/>
      <c r="DP665" s="1"/>
      <c r="DQ665" s="1"/>
      <c r="DR665" s="1"/>
      <c r="DS665" s="1"/>
      <c r="DT665" s="1"/>
      <c r="DU665" s="1"/>
      <c r="DV665" s="1"/>
      <c r="DW665" s="1"/>
      <c r="DX665" s="1"/>
      <c r="DY665" s="1"/>
      <c r="DZ665" s="1"/>
      <c r="EA665" s="1"/>
      <c r="EB665" s="1"/>
      <c r="EC665" s="1"/>
      <c r="ED665" s="1"/>
      <c r="EE665" s="1"/>
      <c r="EF665" s="1"/>
      <c r="EG665" s="1"/>
      <c r="EH665" s="1"/>
      <c r="EI665" s="1"/>
      <c r="EJ665" s="1"/>
      <c r="EK665" s="1"/>
      <c r="EL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c r="BR666" s="1"/>
      <c r="BS666" s="1"/>
      <c r="BT666" s="1"/>
      <c r="BU666" s="1"/>
      <c r="BV666" s="1"/>
      <c r="BW666" s="1"/>
      <c r="BX666" s="1"/>
      <c r="BY666" s="1"/>
      <c r="BZ666" s="1"/>
      <c r="CA666" s="1"/>
      <c r="CB666" s="1"/>
      <c r="CC666" s="1"/>
      <c r="CD666" s="1"/>
      <c r="CE666" s="1"/>
      <c r="CF666" s="1"/>
      <c r="CG666" s="1"/>
      <c r="CH666" s="1"/>
      <c r="CI666" s="1"/>
      <c r="CJ666" s="1"/>
      <c r="CK666" s="1"/>
      <c r="CL666" s="1"/>
      <c r="CM666" s="1"/>
      <c r="CN666" s="1"/>
      <c r="CO666" s="1"/>
      <c r="CP666" s="1"/>
      <c r="CQ666" s="1"/>
      <c r="CR666" s="1"/>
      <c r="CS666" s="1"/>
      <c r="CT666" s="1"/>
      <c r="CU666" s="1"/>
      <c r="CV666" s="1"/>
      <c r="CW666" s="1"/>
      <c r="CX666" s="1"/>
      <c r="CY666" s="1"/>
      <c r="CZ666" s="1"/>
      <c r="DA666" s="1"/>
      <c r="DB666" s="1"/>
      <c r="DC666" s="1"/>
      <c r="DD666" s="1"/>
      <c r="DE666" s="1"/>
      <c r="DF666" s="1"/>
      <c r="DG666" s="1"/>
      <c r="DH666" s="1"/>
      <c r="DI666" s="1"/>
      <c r="DJ666" s="1"/>
      <c r="DK666" s="1"/>
      <c r="DL666" s="1"/>
      <c r="DM666" s="1"/>
      <c r="DN666" s="1"/>
      <c r="DO666" s="1"/>
      <c r="DP666" s="1"/>
      <c r="DQ666" s="1"/>
      <c r="DR666" s="1"/>
      <c r="DS666" s="1"/>
      <c r="DT666" s="1"/>
      <c r="DU666" s="1"/>
      <c r="DV666" s="1"/>
      <c r="DW666" s="1"/>
      <c r="DX666" s="1"/>
      <c r="DY666" s="1"/>
      <c r="DZ666" s="1"/>
      <c r="EA666" s="1"/>
      <c r="EB666" s="1"/>
      <c r="EC666" s="1"/>
      <c r="ED666" s="1"/>
      <c r="EE666" s="1"/>
      <c r="EF666" s="1"/>
      <c r="EG666" s="1"/>
      <c r="EH666" s="1"/>
      <c r="EI666" s="1"/>
      <c r="EJ666" s="1"/>
      <c r="EK666" s="1"/>
      <c r="EL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c r="BR667" s="1"/>
      <c r="BS667" s="1"/>
      <c r="BT667" s="1"/>
      <c r="BU667" s="1"/>
      <c r="BV667" s="1"/>
      <c r="BW667" s="1"/>
      <c r="BX667" s="1"/>
      <c r="BY667" s="1"/>
      <c r="BZ667" s="1"/>
      <c r="CA667" s="1"/>
      <c r="CB667" s="1"/>
      <c r="CC667" s="1"/>
      <c r="CD667" s="1"/>
      <c r="CE667" s="1"/>
      <c r="CF667" s="1"/>
      <c r="CG667" s="1"/>
      <c r="CH667" s="1"/>
      <c r="CI667" s="1"/>
      <c r="CJ667" s="1"/>
      <c r="CK667" s="1"/>
      <c r="CL667" s="1"/>
      <c r="CM667" s="1"/>
      <c r="CN667" s="1"/>
      <c r="CO667" s="1"/>
      <c r="CP667" s="1"/>
      <c r="CQ667" s="1"/>
      <c r="CR667" s="1"/>
      <c r="CS667" s="1"/>
      <c r="CT667" s="1"/>
      <c r="CU667" s="1"/>
      <c r="CV667" s="1"/>
      <c r="CW667" s="1"/>
      <c r="CX667" s="1"/>
      <c r="CY667" s="1"/>
      <c r="CZ667" s="1"/>
      <c r="DA667" s="1"/>
      <c r="DB667" s="1"/>
      <c r="DC667" s="1"/>
      <c r="DD667" s="1"/>
      <c r="DE667" s="1"/>
      <c r="DF667" s="1"/>
      <c r="DG667" s="1"/>
      <c r="DH667" s="1"/>
      <c r="DI667" s="1"/>
      <c r="DJ667" s="1"/>
      <c r="DK667" s="1"/>
      <c r="DL667" s="1"/>
      <c r="DM667" s="1"/>
      <c r="DN667" s="1"/>
      <c r="DO667" s="1"/>
      <c r="DP667" s="1"/>
      <c r="DQ667" s="1"/>
      <c r="DR667" s="1"/>
      <c r="DS667" s="1"/>
      <c r="DT667" s="1"/>
      <c r="DU667" s="1"/>
      <c r="DV667" s="1"/>
      <c r="DW667" s="1"/>
      <c r="DX667" s="1"/>
      <c r="DY667" s="1"/>
      <c r="DZ667" s="1"/>
      <c r="EA667" s="1"/>
      <c r="EB667" s="1"/>
      <c r="EC667" s="1"/>
      <c r="ED667" s="1"/>
      <c r="EE667" s="1"/>
      <c r="EF667" s="1"/>
      <c r="EG667" s="1"/>
      <c r="EH667" s="1"/>
      <c r="EI667" s="1"/>
      <c r="EJ667" s="1"/>
      <c r="EK667" s="1"/>
      <c r="EL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c r="BR668" s="1"/>
      <c r="BS668" s="1"/>
      <c r="BT668" s="1"/>
      <c r="BU668" s="1"/>
      <c r="BV668" s="1"/>
      <c r="BW668" s="1"/>
      <c r="BX668" s="1"/>
      <c r="BY668" s="1"/>
      <c r="BZ668" s="1"/>
      <c r="CA668" s="1"/>
      <c r="CB668" s="1"/>
      <c r="CC668" s="1"/>
      <c r="CD668" s="1"/>
      <c r="CE668" s="1"/>
      <c r="CF668" s="1"/>
      <c r="CG668" s="1"/>
      <c r="CH668" s="1"/>
      <c r="CI668" s="1"/>
      <c r="CJ668" s="1"/>
      <c r="CK668" s="1"/>
      <c r="CL668" s="1"/>
      <c r="CM668" s="1"/>
      <c r="CN668" s="1"/>
      <c r="CO668" s="1"/>
      <c r="CP668" s="1"/>
      <c r="CQ668" s="1"/>
      <c r="CR668" s="1"/>
      <c r="CS668" s="1"/>
      <c r="CT668" s="1"/>
      <c r="CU668" s="1"/>
      <c r="CV668" s="1"/>
      <c r="CW668" s="1"/>
      <c r="CX668" s="1"/>
      <c r="CY668" s="1"/>
      <c r="CZ668" s="1"/>
      <c r="DA668" s="1"/>
      <c r="DB668" s="1"/>
      <c r="DC668" s="1"/>
      <c r="DD668" s="1"/>
      <c r="DE668" s="1"/>
      <c r="DF668" s="1"/>
      <c r="DG668" s="1"/>
      <c r="DH668" s="1"/>
      <c r="DI668" s="1"/>
      <c r="DJ668" s="1"/>
      <c r="DK668" s="1"/>
      <c r="DL668" s="1"/>
      <c r="DM668" s="1"/>
      <c r="DN668" s="1"/>
      <c r="DO668" s="1"/>
      <c r="DP668" s="1"/>
      <c r="DQ668" s="1"/>
      <c r="DR668" s="1"/>
      <c r="DS668" s="1"/>
      <c r="DT668" s="1"/>
      <c r="DU668" s="1"/>
      <c r="DV668" s="1"/>
      <c r="DW668" s="1"/>
      <c r="DX668" s="1"/>
      <c r="DY668" s="1"/>
      <c r="DZ668" s="1"/>
      <c r="EA668" s="1"/>
      <c r="EB668" s="1"/>
      <c r="EC668" s="1"/>
      <c r="ED668" s="1"/>
      <c r="EE668" s="1"/>
      <c r="EF668" s="1"/>
      <c r="EG668" s="1"/>
      <c r="EH668" s="1"/>
      <c r="EI668" s="1"/>
      <c r="EJ668" s="1"/>
      <c r="EK668" s="1"/>
      <c r="EL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c r="BR669" s="1"/>
      <c r="BS669" s="1"/>
      <c r="BT669" s="1"/>
      <c r="BU669" s="1"/>
      <c r="BV669" s="1"/>
      <c r="BW669" s="1"/>
      <c r="BX669" s="1"/>
      <c r="BY669" s="1"/>
      <c r="BZ669" s="1"/>
      <c r="CA669" s="1"/>
      <c r="CB669" s="1"/>
      <c r="CC669" s="1"/>
      <c r="CD669" s="1"/>
      <c r="CE669" s="1"/>
      <c r="CF669" s="1"/>
      <c r="CG669" s="1"/>
      <c r="CH669" s="1"/>
      <c r="CI669" s="1"/>
      <c r="CJ669" s="1"/>
      <c r="CK669" s="1"/>
      <c r="CL669" s="1"/>
      <c r="CM669" s="1"/>
      <c r="CN669" s="1"/>
      <c r="CO669" s="1"/>
      <c r="CP669" s="1"/>
      <c r="CQ669" s="1"/>
      <c r="CR669" s="1"/>
      <c r="CS669" s="1"/>
      <c r="CT669" s="1"/>
      <c r="CU669" s="1"/>
      <c r="CV669" s="1"/>
      <c r="CW669" s="1"/>
      <c r="CX669" s="1"/>
      <c r="CY669" s="1"/>
      <c r="CZ669" s="1"/>
      <c r="DA669" s="1"/>
      <c r="DB669" s="1"/>
      <c r="DC669" s="1"/>
      <c r="DD669" s="1"/>
      <c r="DE669" s="1"/>
      <c r="DF669" s="1"/>
      <c r="DG669" s="1"/>
      <c r="DH669" s="1"/>
      <c r="DI669" s="1"/>
      <c r="DJ669" s="1"/>
      <c r="DK669" s="1"/>
      <c r="DL669" s="1"/>
      <c r="DM669" s="1"/>
      <c r="DN669" s="1"/>
      <c r="DO669" s="1"/>
      <c r="DP669" s="1"/>
      <c r="DQ669" s="1"/>
      <c r="DR669" s="1"/>
      <c r="DS669" s="1"/>
      <c r="DT669" s="1"/>
      <c r="DU669" s="1"/>
      <c r="DV669" s="1"/>
      <c r="DW669" s="1"/>
      <c r="DX669" s="1"/>
      <c r="DY669" s="1"/>
      <c r="DZ669" s="1"/>
      <c r="EA669" s="1"/>
      <c r="EB669" s="1"/>
      <c r="EC669" s="1"/>
      <c r="ED669" s="1"/>
      <c r="EE669" s="1"/>
      <c r="EF669" s="1"/>
      <c r="EG669" s="1"/>
      <c r="EH669" s="1"/>
      <c r="EI669" s="1"/>
      <c r="EJ669" s="1"/>
      <c r="EK669" s="1"/>
      <c r="EL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c r="BR670" s="1"/>
      <c r="BS670" s="1"/>
      <c r="BT670" s="1"/>
      <c r="BU670" s="1"/>
      <c r="BV670" s="1"/>
      <c r="BW670" s="1"/>
      <c r="BX670" s="1"/>
      <c r="BY670" s="1"/>
      <c r="BZ670" s="1"/>
      <c r="CA670" s="1"/>
      <c r="CB670" s="1"/>
      <c r="CC670" s="1"/>
      <c r="CD670" s="1"/>
      <c r="CE670" s="1"/>
      <c r="CF670" s="1"/>
      <c r="CG670" s="1"/>
      <c r="CH670" s="1"/>
      <c r="CI670" s="1"/>
      <c r="CJ670" s="1"/>
      <c r="CK670" s="1"/>
      <c r="CL670" s="1"/>
      <c r="CM670" s="1"/>
      <c r="CN670" s="1"/>
      <c r="CO670" s="1"/>
      <c r="CP670" s="1"/>
      <c r="CQ670" s="1"/>
      <c r="CR670" s="1"/>
      <c r="CS670" s="1"/>
      <c r="CT670" s="1"/>
      <c r="CU670" s="1"/>
      <c r="CV670" s="1"/>
      <c r="CW670" s="1"/>
      <c r="CX670" s="1"/>
      <c r="CY670" s="1"/>
      <c r="CZ670" s="1"/>
      <c r="DA670" s="1"/>
      <c r="DB670" s="1"/>
      <c r="DC670" s="1"/>
      <c r="DD670" s="1"/>
      <c r="DE670" s="1"/>
      <c r="DF670" s="1"/>
      <c r="DG670" s="1"/>
      <c r="DH670" s="1"/>
      <c r="DI670" s="1"/>
      <c r="DJ670" s="1"/>
      <c r="DK670" s="1"/>
      <c r="DL670" s="1"/>
      <c r="DM670" s="1"/>
      <c r="DN670" s="1"/>
      <c r="DO670" s="1"/>
      <c r="DP670" s="1"/>
      <c r="DQ670" s="1"/>
      <c r="DR670" s="1"/>
      <c r="DS670" s="1"/>
      <c r="DT670" s="1"/>
      <c r="DU670" s="1"/>
      <c r="DV670" s="1"/>
      <c r="DW670" s="1"/>
      <c r="DX670" s="1"/>
      <c r="DY670" s="1"/>
      <c r="DZ670" s="1"/>
      <c r="EA670" s="1"/>
      <c r="EB670" s="1"/>
      <c r="EC670" s="1"/>
      <c r="ED670" s="1"/>
      <c r="EE670" s="1"/>
      <c r="EF670" s="1"/>
      <c r="EG670" s="1"/>
      <c r="EH670" s="1"/>
      <c r="EI670" s="1"/>
      <c r="EJ670" s="1"/>
      <c r="EK670" s="1"/>
      <c r="EL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c r="BR671" s="1"/>
      <c r="BS671" s="1"/>
      <c r="BT671" s="1"/>
      <c r="BU671" s="1"/>
      <c r="BV671" s="1"/>
      <c r="BW671" s="1"/>
      <c r="BX671" s="1"/>
      <c r="BY671" s="1"/>
      <c r="BZ671" s="1"/>
      <c r="CA671" s="1"/>
      <c r="CB671" s="1"/>
      <c r="CC671" s="1"/>
      <c r="CD671" s="1"/>
      <c r="CE671" s="1"/>
      <c r="CF671" s="1"/>
      <c r="CG671" s="1"/>
      <c r="CH671" s="1"/>
      <c r="CI671" s="1"/>
      <c r="CJ671" s="1"/>
      <c r="CK671" s="1"/>
      <c r="CL671" s="1"/>
      <c r="CM671" s="1"/>
      <c r="CN671" s="1"/>
      <c r="CO671" s="1"/>
      <c r="CP671" s="1"/>
      <c r="CQ671" s="1"/>
      <c r="CR671" s="1"/>
      <c r="CS671" s="1"/>
      <c r="CT671" s="1"/>
      <c r="CU671" s="1"/>
      <c r="CV671" s="1"/>
      <c r="CW671" s="1"/>
      <c r="CX671" s="1"/>
      <c r="CY671" s="1"/>
      <c r="CZ671" s="1"/>
      <c r="DA671" s="1"/>
      <c r="DB671" s="1"/>
      <c r="DC671" s="1"/>
      <c r="DD671" s="1"/>
      <c r="DE671" s="1"/>
      <c r="DF671" s="1"/>
      <c r="DG671" s="1"/>
      <c r="DH671" s="1"/>
      <c r="DI671" s="1"/>
      <c r="DJ671" s="1"/>
      <c r="DK671" s="1"/>
      <c r="DL671" s="1"/>
      <c r="DM671" s="1"/>
      <c r="DN671" s="1"/>
      <c r="DO671" s="1"/>
      <c r="DP671" s="1"/>
      <c r="DQ671" s="1"/>
      <c r="DR671" s="1"/>
      <c r="DS671" s="1"/>
      <c r="DT671" s="1"/>
      <c r="DU671" s="1"/>
      <c r="DV671" s="1"/>
      <c r="DW671" s="1"/>
      <c r="DX671" s="1"/>
      <c r="DY671" s="1"/>
      <c r="DZ671" s="1"/>
      <c r="EA671" s="1"/>
      <c r="EB671" s="1"/>
      <c r="EC671" s="1"/>
      <c r="ED671" s="1"/>
      <c r="EE671" s="1"/>
      <c r="EF671" s="1"/>
      <c r="EG671" s="1"/>
      <c r="EH671" s="1"/>
      <c r="EI671" s="1"/>
      <c r="EJ671" s="1"/>
      <c r="EK671" s="1"/>
      <c r="EL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c r="BR672" s="1"/>
      <c r="BS672" s="1"/>
      <c r="BT672" s="1"/>
      <c r="BU672" s="1"/>
      <c r="BV672" s="1"/>
      <c r="BW672" s="1"/>
      <c r="BX672" s="1"/>
      <c r="BY672" s="1"/>
      <c r="BZ672" s="1"/>
      <c r="CA672" s="1"/>
      <c r="CB672" s="1"/>
      <c r="CC672" s="1"/>
      <c r="CD672" s="1"/>
      <c r="CE672" s="1"/>
      <c r="CF672" s="1"/>
      <c r="CG672" s="1"/>
      <c r="CH672" s="1"/>
      <c r="CI672" s="1"/>
      <c r="CJ672" s="1"/>
      <c r="CK672" s="1"/>
      <c r="CL672" s="1"/>
      <c r="CM672" s="1"/>
      <c r="CN672" s="1"/>
      <c r="CO672" s="1"/>
      <c r="CP672" s="1"/>
      <c r="CQ672" s="1"/>
      <c r="CR672" s="1"/>
      <c r="CS672" s="1"/>
      <c r="CT672" s="1"/>
      <c r="CU672" s="1"/>
      <c r="CV672" s="1"/>
      <c r="CW672" s="1"/>
      <c r="CX672" s="1"/>
      <c r="CY672" s="1"/>
      <c r="CZ672" s="1"/>
      <c r="DA672" s="1"/>
      <c r="DB672" s="1"/>
      <c r="DC672" s="1"/>
      <c r="DD672" s="1"/>
      <c r="DE672" s="1"/>
      <c r="DF672" s="1"/>
      <c r="DG672" s="1"/>
      <c r="DH672" s="1"/>
      <c r="DI672" s="1"/>
      <c r="DJ672" s="1"/>
      <c r="DK672" s="1"/>
      <c r="DL672" s="1"/>
      <c r="DM672" s="1"/>
      <c r="DN672" s="1"/>
      <c r="DO672" s="1"/>
      <c r="DP672" s="1"/>
      <c r="DQ672" s="1"/>
      <c r="DR672" s="1"/>
      <c r="DS672" s="1"/>
      <c r="DT672" s="1"/>
      <c r="DU672" s="1"/>
      <c r="DV672" s="1"/>
      <c r="DW672" s="1"/>
      <c r="DX672" s="1"/>
      <c r="DY672" s="1"/>
      <c r="DZ672" s="1"/>
      <c r="EA672" s="1"/>
      <c r="EB672" s="1"/>
      <c r="EC672" s="1"/>
      <c r="ED672" s="1"/>
      <c r="EE672" s="1"/>
      <c r="EF672" s="1"/>
      <c r="EG672" s="1"/>
      <c r="EH672" s="1"/>
      <c r="EI672" s="1"/>
      <c r="EJ672" s="1"/>
      <c r="EK672" s="1"/>
      <c r="EL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c r="BR673" s="1"/>
      <c r="BS673" s="1"/>
      <c r="BT673" s="1"/>
      <c r="BU673" s="1"/>
      <c r="BV673" s="1"/>
      <c r="BW673" s="1"/>
      <c r="BX673" s="1"/>
      <c r="BY673" s="1"/>
      <c r="BZ673" s="1"/>
      <c r="CA673" s="1"/>
      <c r="CB673" s="1"/>
      <c r="CC673" s="1"/>
      <c r="CD673" s="1"/>
      <c r="CE673" s="1"/>
      <c r="CF673" s="1"/>
      <c r="CG673" s="1"/>
      <c r="CH673" s="1"/>
      <c r="CI673" s="1"/>
      <c r="CJ673" s="1"/>
      <c r="CK673" s="1"/>
      <c r="CL673" s="1"/>
      <c r="CM673" s="1"/>
      <c r="CN673" s="1"/>
      <c r="CO673" s="1"/>
      <c r="CP673" s="1"/>
      <c r="CQ673" s="1"/>
      <c r="CR673" s="1"/>
      <c r="CS673" s="1"/>
      <c r="CT673" s="1"/>
      <c r="CU673" s="1"/>
      <c r="CV673" s="1"/>
      <c r="CW673" s="1"/>
      <c r="CX673" s="1"/>
      <c r="CY673" s="1"/>
      <c r="CZ673" s="1"/>
      <c r="DA673" s="1"/>
      <c r="DB673" s="1"/>
      <c r="DC673" s="1"/>
      <c r="DD673" s="1"/>
      <c r="DE673" s="1"/>
      <c r="DF673" s="1"/>
      <c r="DG673" s="1"/>
      <c r="DH673" s="1"/>
      <c r="DI673" s="1"/>
      <c r="DJ673" s="1"/>
      <c r="DK673" s="1"/>
      <c r="DL673" s="1"/>
      <c r="DM673" s="1"/>
      <c r="DN673" s="1"/>
      <c r="DO673" s="1"/>
      <c r="DP673" s="1"/>
      <c r="DQ673" s="1"/>
      <c r="DR673" s="1"/>
      <c r="DS673" s="1"/>
      <c r="DT673" s="1"/>
      <c r="DU673" s="1"/>
      <c r="DV673" s="1"/>
      <c r="DW673" s="1"/>
      <c r="DX673" s="1"/>
      <c r="DY673" s="1"/>
      <c r="DZ673" s="1"/>
      <c r="EA673" s="1"/>
      <c r="EB673" s="1"/>
      <c r="EC673" s="1"/>
      <c r="ED673" s="1"/>
      <c r="EE673" s="1"/>
      <c r="EF673" s="1"/>
      <c r="EG673" s="1"/>
      <c r="EH673" s="1"/>
      <c r="EI673" s="1"/>
      <c r="EJ673" s="1"/>
      <c r="EK673" s="1"/>
      <c r="EL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c r="BR674" s="1"/>
      <c r="BS674" s="1"/>
      <c r="BT674" s="1"/>
      <c r="BU674" s="1"/>
      <c r="BV674" s="1"/>
      <c r="BW674" s="1"/>
      <c r="BX674" s="1"/>
      <c r="BY674" s="1"/>
      <c r="BZ674" s="1"/>
      <c r="CA674" s="1"/>
      <c r="CB674" s="1"/>
      <c r="CC674" s="1"/>
      <c r="CD674" s="1"/>
      <c r="CE674" s="1"/>
      <c r="CF674" s="1"/>
      <c r="CG674" s="1"/>
      <c r="CH674" s="1"/>
      <c r="CI674" s="1"/>
      <c r="CJ674" s="1"/>
      <c r="CK674" s="1"/>
      <c r="CL674" s="1"/>
      <c r="CM674" s="1"/>
      <c r="CN674" s="1"/>
      <c r="CO674" s="1"/>
      <c r="CP674" s="1"/>
      <c r="CQ674" s="1"/>
      <c r="CR674" s="1"/>
      <c r="CS674" s="1"/>
      <c r="CT674" s="1"/>
      <c r="CU674" s="1"/>
      <c r="CV674" s="1"/>
      <c r="CW674" s="1"/>
      <c r="CX674" s="1"/>
      <c r="CY674" s="1"/>
      <c r="CZ674" s="1"/>
      <c r="DA674" s="1"/>
      <c r="DB674" s="1"/>
      <c r="DC674" s="1"/>
      <c r="DD674" s="1"/>
      <c r="DE674" s="1"/>
      <c r="DF674" s="1"/>
      <c r="DG674" s="1"/>
      <c r="DH674" s="1"/>
      <c r="DI674" s="1"/>
      <c r="DJ674" s="1"/>
      <c r="DK674" s="1"/>
      <c r="DL674" s="1"/>
      <c r="DM674" s="1"/>
      <c r="DN674" s="1"/>
      <c r="DO674" s="1"/>
      <c r="DP674" s="1"/>
      <c r="DQ674" s="1"/>
      <c r="DR674" s="1"/>
      <c r="DS674" s="1"/>
      <c r="DT674" s="1"/>
      <c r="DU674" s="1"/>
      <c r="DV674" s="1"/>
      <c r="DW674" s="1"/>
      <c r="DX674" s="1"/>
      <c r="DY674" s="1"/>
      <c r="DZ674" s="1"/>
      <c r="EA674" s="1"/>
      <c r="EB674" s="1"/>
      <c r="EC674" s="1"/>
      <c r="ED674" s="1"/>
      <c r="EE674" s="1"/>
      <c r="EF674" s="1"/>
      <c r="EG674" s="1"/>
      <c r="EH674" s="1"/>
      <c r="EI674" s="1"/>
      <c r="EJ674" s="1"/>
      <c r="EK674" s="1"/>
      <c r="EL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c r="BR675" s="1"/>
      <c r="BS675" s="1"/>
      <c r="BT675" s="1"/>
      <c r="BU675" s="1"/>
      <c r="BV675" s="1"/>
      <c r="BW675" s="1"/>
      <c r="BX675" s="1"/>
      <c r="BY675" s="1"/>
      <c r="BZ675" s="1"/>
      <c r="CA675" s="1"/>
      <c r="CB675" s="1"/>
      <c r="CC675" s="1"/>
      <c r="CD675" s="1"/>
      <c r="CE675" s="1"/>
      <c r="CF675" s="1"/>
      <c r="CG675" s="1"/>
      <c r="CH675" s="1"/>
      <c r="CI675" s="1"/>
      <c r="CJ675" s="1"/>
      <c r="CK675" s="1"/>
      <c r="CL675" s="1"/>
      <c r="CM675" s="1"/>
      <c r="CN675" s="1"/>
      <c r="CO675" s="1"/>
      <c r="CP675" s="1"/>
      <c r="CQ675" s="1"/>
      <c r="CR675" s="1"/>
      <c r="CS675" s="1"/>
      <c r="CT675" s="1"/>
      <c r="CU675" s="1"/>
      <c r="CV675" s="1"/>
      <c r="CW675" s="1"/>
      <c r="CX675" s="1"/>
      <c r="CY675" s="1"/>
      <c r="CZ675" s="1"/>
      <c r="DA675" s="1"/>
      <c r="DB675" s="1"/>
      <c r="DC675" s="1"/>
      <c r="DD675" s="1"/>
      <c r="DE675" s="1"/>
      <c r="DF675" s="1"/>
      <c r="DG675" s="1"/>
      <c r="DH675" s="1"/>
      <c r="DI675" s="1"/>
      <c r="DJ675" s="1"/>
      <c r="DK675" s="1"/>
      <c r="DL675" s="1"/>
      <c r="DM675" s="1"/>
      <c r="DN675" s="1"/>
      <c r="DO675" s="1"/>
      <c r="DP675" s="1"/>
      <c r="DQ675" s="1"/>
      <c r="DR675" s="1"/>
      <c r="DS675" s="1"/>
      <c r="DT675" s="1"/>
      <c r="DU675" s="1"/>
      <c r="DV675" s="1"/>
      <c r="DW675" s="1"/>
      <c r="DX675" s="1"/>
      <c r="DY675" s="1"/>
      <c r="DZ675" s="1"/>
      <c r="EA675" s="1"/>
      <c r="EB675" s="1"/>
      <c r="EC675" s="1"/>
      <c r="ED675" s="1"/>
      <c r="EE675" s="1"/>
      <c r="EF675" s="1"/>
      <c r="EG675" s="1"/>
      <c r="EH675" s="1"/>
      <c r="EI675" s="1"/>
      <c r="EJ675" s="1"/>
      <c r="EK675" s="1"/>
      <c r="EL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c r="BR676" s="1"/>
      <c r="BS676" s="1"/>
      <c r="BT676" s="1"/>
      <c r="BU676" s="1"/>
      <c r="BV676" s="1"/>
      <c r="BW676" s="1"/>
      <c r="BX676" s="1"/>
      <c r="BY676" s="1"/>
      <c r="BZ676" s="1"/>
      <c r="CA676" s="1"/>
      <c r="CB676" s="1"/>
      <c r="CC676" s="1"/>
      <c r="CD676" s="1"/>
      <c r="CE676" s="1"/>
      <c r="CF676" s="1"/>
      <c r="CG676" s="1"/>
      <c r="CH676" s="1"/>
      <c r="CI676" s="1"/>
      <c r="CJ676" s="1"/>
      <c r="CK676" s="1"/>
      <c r="CL676" s="1"/>
      <c r="CM676" s="1"/>
      <c r="CN676" s="1"/>
      <c r="CO676" s="1"/>
      <c r="CP676" s="1"/>
      <c r="CQ676" s="1"/>
      <c r="CR676" s="1"/>
      <c r="CS676" s="1"/>
      <c r="CT676" s="1"/>
      <c r="CU676" s="1"/>
      <c r="CV676" s="1"/>
      <c r="CW676" s="1"/>
      <c r="CX676" s="1"/>
      <c r="CY676" s="1"/>
      <c r="CZ676" s="1"/>
      <c r="DA676" s="1"/>
      <c r="DB676" s="1"/>
      <c r="DC676" s="1"/>
      <c r="DD676" s="1"/>
      <c r="DE676" s="1"/>
      <c r="DF676" s="1"/>
      <c r="DG676" s="1"/>
      <c r="DH676" s="1"/>
      <c r="DI676" s="1"/>
      <c r="DJ676" s="1"/>
      <c r="DK676" s="1"/>
      <c r="DL676" s="1"/>
      <c r="DM676" s="1"/>
      <c r="DN676" s="1"/>
      <c r="DO676" s="1"/>
      <c r="DP676" s="1"/>
      <c r="DQ676" s="1"/>
      <c r="DR676" s="1"/>
      <c r="DS676" s="1"/>
      <c r="DT676" s="1"/>
      <c r="DU676" s="1"/>
      <c r="DV676" s="1"/>
      <c r="DW676" s="1"/>
      <c r="DX676" s="1"/>
      <c r="DY676" s="1"/>
      <c r="DZ676" s="1"/>
      <c r="EA676" s="1"/>
      <c r="EB676" s="1"/>
      <c r="EC676" s="1"/>
      <c r="ED676" s="1"/>
      <c r="EE676" s="1"/>
      <c r="EF676" s="1"/>
      <c r="EG676" s="1"/>
      <c r="EH676" s="1"/>
      <c r="EI676" s="1"/>
      <c r="EJ676" s="1"/>
      <c r="EK676" s="1"/>
      <c r="EL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c r="BR677" s="1"/>
      <c r="BS677" s="1"/>
      <c r="BT677" s="1"/>
      <c r="BU677" s="1"/>
      <c r="BV677" s="1"/>
      <c r="BW677" s="1"/>
      <c r="BX677" s="1"/>
      <c r="BY677" s="1"/>
      <c r="BZ677" s="1"/>
      <c r="CA677" s="1"/>
      <c r="CB677" s="1"/>
      <c r="CC677" s="1"/>
      <c r="CD677" s="1"/>
      <c r="CE677" s="1"/>
      <c r="CF677" s="1"/>
      <c r="CG677" s="1"/>
      <c r="CH677" s="1"/>
      <c r="CI677" s="1"/>
      <c r="CJ677" s="1"/>
      <c r="CK677" s="1"/>
      <c r="CL677" s="1"/>
      <c r="CM677" s="1"/>
      <c r="CN677" s="1"/>
      <c r="CO677" s="1"/>
      <c r="CP677" s="1"/>
      <c r="CQ677" s="1"/>
      <c r="CR677" s="1"/>
      <c r="CS677" s="1"/>
      <c r="CT677" s="1"/>
      <c r="CU677" s="1"/>
      <c r="CV677" s="1"/>
      <c r="CW677" s="1"/>
      <c r="CX677" s="1"/>
      <c r="CY677" s="1"/>
      <c r="CZ677" s="1"/>
      <c r="DA677" s="1"/>
      <c r="DB677" s="1"/>
      <c r="DC677" s="1"/>
      <c r="DD677" s="1"/>
      <c r="DE677" s="1"/>
      <c r="DF677" s="1"/>
      <c r="DG677" s="1"/>
      <c r="DH677" s="1"/>
      <c r="DI677" s="1"/>
      <c r="DJ677" s="1"/>
      <c r="DK677" s="1"/>
      <c r="DL677" s="1"/>
      <c r="DM677" s="1"/>
      <c r="DN677" s="1"/>
      <c r="DO677" s="1"/>
      <c r="DP677" s="1"/>
      <c r="DQ677" s="1"/>
      <c r="DR677" s="1"/>
      <c r="DS677" s="1"/>
      <c r="DT677" s="1"/>
      <c r="DU677" s="1"/>
      <c r="DV677" s="1"/>
      <c r="DW677" s="1"/>
      <c r="DX677" s="1"/>
      <c r="DY677" s="1"/>
      <c r="DZ677" s="1"/>
      <c r="EA677" s="1"/>
      <c r="EB677" s="1"/>
      <c r="EC677" s="1"/>
      <c r="ED677" s="1"/>
      <c r="EE677" s="1"/>
      <c r="EF677" s="1"/>
      <c r="EG677" s="1"/>
      <c r="EH677" s="1"/>
      <c r="EI677" s="1"/>
      <c r="EJ677" s="1"/>
      <c r="EK677" s="1"/>
      <c r="EL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c r="BR678" s="1"/>
      <c r="BS678" s="1"/>
      <c r="BT678" s="1"/>
      <c r="BU678" s="1"/>
      <c r="BV678" s="1"/>
      <c r="BW678" s="1"/>
      <c r="BX678" s="1"/>
      <c r="BY678" s="1"/>
      <c r="BZ678" s="1"/>
      <c r="CA678" s="1"/>
      <c r="CB678" s="1"/>
      <c r="CC678" s="1"/>
      <c r="CD678" s="1"/>
      <c r="CE678" s="1"/>
      <c r="CF678" s="1"/>
      <c r="CG678" s="1"/>
      <c r="CH678" s="1"/>
      <c r="CI678" s="1"/>
      <c r="CJ678" s="1"/>
      <c r="CK678" s="1"/>
      <c r="CL678" s="1"/>
      <c r="CM678" s="1"/>
      <c r="CN678" s="1"/>
      <c r="CO678" s="1"/>
      <c r="CP678" s="1"/>
      <c r="CQ678" s="1"/>
      <c r="CR678" s="1"/>
      <c r="CS678" s="1"/>
      <c r="CT678" s="1"/>
      <c r="CU678" s="1"/>
      <c r="CV678" s="1"/>
      <c r="CW678" s="1"/>
      <c r="CX678" s="1"/>
      <c r="CY678" s="1"/>
      <c r="CZ678" s="1"/>
      <c r="DA678" s="1"/>
      <c r="DB678" s="1"/>
      <c r="DC678" s="1"/>
      <c r="DD678" s="1"/>
      <c r="DE678" s="1"/>
      <c r="DF678" s="1"/>
      <c r="DG678" s="1"/>
      <c r="DH678" s="1"/>
      <c r="DI678" s="1"/>
      <c r="DJ678" s="1"/>
      <c r="DK678" s="1"/>
      <c r="DL678" s="1"/>
      <c r="DM678" s="1"/>
      <c r="DN678" s="1"/>
      <c r="DO678" s="1"/>
      <c r="DP678" s="1"/>
      <c r="DQ678" s="1"/>
      <c r="DR678" s="1"/>
      <c r="DS678" s="1"/>
      <c r="DT678" s="1"/>
      <c r="DU678" s="1"/>
      <c r="DV678" s="1"/>
      <c r="DW678" s="1"/>
      <c r="DX678" s="1"/>
      <c r="DY678" s="1"/>
      <c r="DZ678" s="1"/>
      <c r="EA678" s="1"/>
      <c r="EB678" s="1"/>
      <c r="EC678" s="1"/>
      <c r="ED678" s="1"/>
      <c r="EE678" s="1"/>
      <c r="EF678" s="1"/>
      <c r="EG678" s="1"/>
      <c r="EH678" s="1"/>
      <c r="EI678" s="1"/>
      <c r="EJ678" s="1"/>
      <c r="EK678" s="1"/>
      <c r="EL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c r="BR679" s="1"/>
      <c r="BS679" s="1"/>
      <c r="BT679" s="1"/>
      <c r="BU679" s="1"/>
      <c r="BV679" s="1"/>
      <c r="BW679" s="1"/>
      <c r="BX679" s="1"/>
      <c r="BY679" s="1"/>
      <c r="BZ679" s="1"/>
      <c r="CA679" s="1"/>
      <c r="CB679" s="1"/>
      <c r="CC679" s="1"/>
      <c r="CD679" s="1"/>
      <c r="CE679" s="1"/>
      <c r="CF679" s="1"/>
      <c r="CG679" s="1"/>
      <c r="CH679" s="1"/>
      <c r="CI679" s="1"/>
      <c r="CJ679" s="1"/>
      <c r="CK679" s="1"/>
      <c r="CL679" s="1"/>
      <c r="CM679" s="1"/>
      <c r="CN679" s="1"/>
      <c r="CO679" s="1"/>
      <c r="CP679" s="1"/>
      <c r="CQ679" s="1"/>
      <c r="CR679" s="1"/>
      <c r="CS679" s="1"/>
      <c r="CT679" s="1"/>
      <c r="CU679" s="1"/>
      <c r="CV679" s="1"/>
      <c r="CW679" s="1"/>
      <c r="CX679" s="1"/>
      <c r="CY679" s="1"/>
      <c r="CZ679" s="1"/>
      <c r="DA679" s="1"/>
      <c r="DB679" s="1"/>
      <c r="DC679" s="1"/>
      <c r="DD679" s="1"/>
      <c r="DE679" s="1"/>
      <c r="DF679" s="1"/>
      <c r="DG679" s="1"/>
      <c r="DH679" s="1"/>
      <c r="DI679" s="1"/>
      <c r="DJ679" s="1"/>
      <c r="DK679" s="1"/>
      <c r="DL679" s="1"/>
      <c r="DM679" s="1"/>
      <c r="DN679" s="1"/>
      <c r="DO679" s="1"/>
      <c r="DP679" s="1"/>
      <c r="DQ679" s="1"/>
      <c r="DR679" s="1"/>
      <c r="DS679" s="1"/>
      <c r="DT679" s="1"/>
      <c r="DU679" s="1"/>
      <c r="DV679" s="1"/>
      <c r="DW679" s="1"/>
      <c r="DX679" s="1"/>
      <c r="DY679" s="1"/>
      <c r="DZ679" s="1"/>
      <c r="EA679" s="1"/>
      <c r="EB679" s="1"/>
      <c r="EC679" s="1"/>
      <c r="ED679" s="1"/>
      <c r="EE679" s="1"/>
      <c r="EF679" s="1"/>
      <c r="EG679" s="1"/>
      <c r="EH679" s="1"/>
      <c r="EI679" s="1"/>
      <c r="EJ679" s="1"/>
      <c r="EK679" s="1"/>
      <c r="EL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c r="BR680" s="1"/>
      <c r="BS680" s="1"/>
      <c r="BT680" s="1"/>
      <c r="BU680" s="1"/>
      <c r="BV680" s="1"/>
      <c r="BW680" s="1"/>
      <c r="BX680" s="1"/>
      <c r="BY680" s="1"/>
      <c r="BZ680" s="1"/>
      <c r="CA680" s="1"/>
      <c r="CB680" s="1"/>
      <c r="CC680" s="1"/>
      <c r="CD680" s="1"/>
      <c r="CE680" s="1"/>
      <c r="CF680" s="1"/>
      <c r="CG680" s="1"/>
      <c r="CH680" s="1"/>
      <c r="CI680" s="1"/>
      <c r="CJ680" s="1"/>
      <c r="CK680" s="1"/>
      <c r="CL680" s="1"/>
      <c r="CM680" s="1"/>
      <c r="CN680" s="1"/>
      <c r="CO680" s="1"/>
      <c r="CP680" s="1"/>
      <c r="CQ680" s="1"/>
      <c r="CR680" s="1"/>
      <c r="CS680" s="1"/>
      <c r="CT680" s="1"/>
      <c r="CU680" s="1"/>
      <c r="CV680" s="1"/>
      <c r="CW680" s="1"/>
      <c r="CX680" s="1"/>
      <c r="CY680" s="1"/>
      <c r="CZ680" s="1"/>
      <c r="DA680" s="1"/>
      <c r="DB680" s="1"/>
      <c r="DC680" s="1"/>
      <c r="DD680" s="1"/>
      <c r="DE680" s="1"/>
      <c r="DF680" s="1"/>
      <c r="DG680" s="1"/>
      <c r="DH680" s="1"/>
      <c r="DI680" s="1"/>
      <c r="DJ680" s="1"/>
      <c r="DK680" s="1"/>
      <c r="DL680" s="1"/>
      <c r="DM680" s="1"/>
      <c r="DN680" s="1"/>
      <c r="DO680" s="1"/>
      <c r="DP680" s="1"/>
      <c r="DQ680" s="1"/>
      <c r="DR680" s="1"/>
      <c r="DS680" s="1"/>
      <c r="DT680" s="1"/>
      <c r="DU680" s="1"/>
      <c r="DV680" s="1"/>
      <c r="DW680" s="1"/>
      <c r="DX680" s="1"/>
      <c r="DY680" s="1"/>
      <c r="DZ680" s="1"/>
      <c r="EA680" s="1"/>
      <c r="EB680" s="1"/>
      <c r="EC680" s="1"/>
      <c r="ED680" s="1"/>
      <c r="EE680" s="1"/>
      <c r="EF680" s="1"/>
      <c r="EG680" s="1"/>
      <c r="EH680" s="1"/>
      <c r="EI680" s="1"/>
      <c r="EJ680" s="1"/>
      <c r="EK680" s="1"/>
      <c r="EL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c r="BR681" s="1"/>
      <c r="BS681" s="1"/>
      <c r="BT681" s="1"/>
      <c r="BU681" s="1"/>
      <c r="BV681" s="1"/>
      <c r="BW681" s="1"/>
      <c r="BX681" s="1"/>
      <c r="BY681" s="1"/>
      <c r="BZ681" s="1"/>
      <c r="CA681" s="1"/>
      <c r="CB681" s="1"/>
      <c r="CC681" s="1"/>
      <c r="CD681" s="1"/>
      <c r="CE681" s="1"/>
      <c r="CF681" s="1"/>
      <c r="CG681" s="1"/>
      <c r="CH681" s="1"/>
      <c r="CI681" s="1"/>
      <c r="CJ681" s="1"/>
      <c r="CK681" s="1"/>
      <c r="CL681" s="1"/>
      <c r="CM681" s="1"/>
      <c r="CN681" s="1"/>
      <c r="CO681" s="1"/>
      <c r="CP681" s="1"/>
      <c r="CQ681" s="1"/>
      <c r="CR681" s="1"/>
      <c r="CS681" s="1"/>
      <c r="CT681" s="1"/>
      <c r="CU681" s="1"/>
      <c r="CV681" s="1"/>
      <c r="CW681" s="1"/>
      <c r="CX681" s="1"/>
      <c r="CY681" s="1"/>
      <c r="CZ681" s="1"/>
      <c r="DA681" s="1"/>
      <c r="DB681" s="1"/>
      <c r="DC681" s="1"/>
      <c r="DD681" s="1"/>
      <c r="DE681" s="1"/>
      <c r="DF681" s="1"/>
      <c r="DG681" s="1"/>
      <c r="DH681" s="1"/>
      <c r="DI681" s="1"/>
      <c r="DJ681" s="1"/>
      <c r="DK681" s="1"/>
      <c r="DL681" s="1"/>
      <c r="DM681" s="1"/>
      <c r="DN681" s="1"/>
      <c r="DO681" s="1"/>
      <c r="DP681" s="1"/>
      <c r="DQ681" s="1"/>
      <c r="DR681" s="1"/>
      <c r="DS681" s="1"/>
      <c r="DT681" s="1"/>
      <c r="DU681" s="1"/>
      <c r="DV681" s="1"/>
      <c r="DW681" s="1"/>
      <c r="DX681" s="1"/>
      <c r="DY681" s="1"/>
      <c r="DZ681" s="1"/>
      <c r="EA681" s="1"/>
      <c r="EB681" s="1"/>
      <c r="EC681" s="1"/>
      <c r="ED681" s="1"/>
      <c r="EE681" s="1"/>
      <c r="EF681" s="1"/>
      <c r="EG681" s="1"/>
      <c r="EH681" s="1"/>
      <c r="EI681" s="1"/>
      <c r="EJ681" s="1"/>
      <c r="EK681" s="1"/>
      <c r="EL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c r="BR682" s="1"/>
      <c r="BS682" s="1"/>
      <c r="BT682" s="1"/>
      <c r="BU682" s="1"/>
      <c r="BV682" s="1"/>
      <c r="BW682" s="1"/>
      <c r="BX682" s="1"/>
      <c r="BY682" s="1"/>
      <c r="BZ682" s="1"/>
      <c r="CA682" s="1"/>
      <c r="CB682" s="1"/>
      <c r="CC682" s="1"/>
      <c r="CD682" s="1"/>
      <c r="CE682" s="1"/>
      <c r="CF682" s="1"/>
      <c r="CG682" s="1"/>
      <c r="CH682" s="1"/>
      <c r="CI682" s="1"/>
      <c r="CJ682" s="1"/>
      <c r="CK682" s="1"/>
      <c r="CL682" s="1"/>
      <c r="CM682" s="1"/>
      <c r="CN682" s="1"/>
      <c r="CO682" s="1"/>
      <c r="CP682" s="1"/>
      <c r="CQ682" s="1"/>
      <c r="CR682" s="1"/>
      <c r="CS682" s="1"/>
      <c r="CT682" s="1"/>
      <c r="CU682" s="1"/>
      <c r="CV682" s="1"/>
      <c r="CW682" s="1"/>
      <c r="CX682" s="1"/>
      <c r="CY682" s="1"/>
      <c r="CZ682" s="1"/>
      <c r="DA682" s="1"/>
      <c r="DB682" s="1"/>
      <c r="DC682" s="1"/>
      <c r="DD682" s="1"/>
      <c r="DE682" s="1"/>
      <c r="DF682" s="1"/>
      <c r="DG682" s="1"/>
      <c r="DH682" s="1"/>
      <c r="DI682" s="1"/>
      <c r="DJ682" s="1"/>
      <c r="DK682" s="1"/>
      <c r="DL682" s="1"/>
      <c r="DM682" s="1"/>
      <c r="DN682" s="1"/>
      <c r="DO682" s="1"/>
      <c r="DP682" s="1"/>
      <c r="DQ682" s="1"/>
      <c r="DR682" s="1"/>
      <c r="DS682" s="1"/>
      <c r="DT682" s="1"/>
      <c r="DU682" s="1"/>
      <c r="DV682" s="1"/>
      <c r="DW682" s="1"/>
      <c r="DX682" s="1"/>
      <c r="DY682" s="1"/>
      <c r="DZ682" s="1"/>
      <c r="EA682" s="1"/>
      <c r="EB682" s="1"/>
      <c r="EC682" s="1"/>
      <c r="ED682" s="1"/>
      <c r="EE682" s="1"/>
      <c r="EF682" s="1"/>
      <c r="EG682" s="1"/>
      <c r="EH682" s="1"/>
      <c r="EI682" s="1"/>
      <c r="EJ682" s="1"/>
      <c r="EK682" s="1"/>
      <c r="EL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c r="BR683" s="1"/>
      <c r="BS683" s="1"/>
      <c r="BT683" s="1"/>
      <c r="BU683" s="1"/>
      <c r="BV683" s="1"/>
      <c r="BW683" s="1"/>
      <c r="BX683" s="1"/>
      <c r="BY683" s="1"/>
      <c r="BZ683" s="1"/>
      <c r="CA683" s="1"/>
      <c r="CB683" s="1"/>
      <c r="CC683" s="1"/>
      <c r="CD683" s="1"/>
      <c r="CE683" s="1"/>
      <c r="CF683" s="1"/>
      <c r="CG683" s="1"/>
      <c r="CH683" s="1"/>
      <c r="CI683" s="1"/>
      <c r="CJ683" s="1"/>
      <c r="CK683" s="1"/>
      <c r="CL683" s="1"/>
      <c r="CM683" s="1"/>
      <c r="CN683" s="1"/>
      <c r="CO683" s="1"/>
      <c r="CP683" s="1"/>
      <c r="CQ683" s="1"/>
      <c r="CR683" s="1"/>
      <c r="CS683" s="1"/>
      <c r="CT683" s="1"/>
      <c r="CU683" s="1"/>
      <c r="CV683" s="1"/>
      <c r="CW683" s="1"/>
      <c r="CX683" s="1"/>
      <c r="CY683" s="1"/>
      <c r="CZ683" s="1"/>
      <c r="DA683" s="1"/>
      <c r="DB683" s="1"/>
      <c r="DC683" s="1"/>
      <c r="DD683" s="1"/>
      <c r="DE683" s="1"/>
      <c r="DF683" s="1"/>
      <c r="DG683" s="1"/>
      <c r="DH683" s="1"/>
      <c r="DI683" s="1"/>
      <c r="DJ683" s="1"/>
      <c r="DK683" s="1"/>
      <c r="DL683" s="1"/>
      <c r="DM683" s="1"/>
      <c r="DN683" s="1"/>
      <c r="DO683" s="1"/>
      <c r="DP683" s="1"/>
      <c r="DQ683" s="1"/>
      <c r="DR683" s="1"/>
      <c r="DS683" s="1"/>
      <c r="DT683" s="1"/>
      <c r="DU683" s="1"/>
      <c r="DV683" s="1"/>
      <c r="DW683" s="1"/>
      <c r="DX683" s="1"/>
      <c r="DY683" s="1"/>
      <c r="DZ683" s="1"/>
      <c r="EA683" s="1"/>
      <c r="EB683" s="1"/>
      <c r="EC683" s="1"/>
      <c r="ED683" s="1"/>
      <c r="EE683" s="1"/>
      <c r="EF683" s="1"/>
      <c r="EG683" s="1"/>
      <c r="EH683" s="1"/>
      <c r="EI683" s="1"/>
      <c r="EJ683" s="1"/>
      <c r="EK683" s="1"/>
      <c r="EL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c r="BR684" s="1"/>
      <c r="BS684" s="1"/>
      <c r="BT684" s="1"/>
      <c r="BU684" s="1"/>
      <c r="BV684" s="1"/>
      <c r="BW684" s="1"/>
      <c r="BX684" s="1"/>
      <c r="BY684" s="1"/>
      <c r="BZ684" s="1"/>
      <c r="CA684" s="1"/>
      <c r="CB684" s="1"/>
      <c r="CC684" s="1"/>
      <c r="CD684" s="1"/>
      <c r="CE684" s="1"/>
      <c r="CF684" s="1"/>
      <c r="CG684" s="1"/>
      <c r="CH684" s="1"/>
      <c r="CI684" s="1"/>
      <c r="CJ684" s="1"/>
      <c r="CK684" s="1"/>
      <c r="CL684" s="1"/>
      <c r="CM684" s="1"/>
      <c r="CN684" s="1"/>
      <c r="CO684" s="1"/>
      <c r="CP684" s="1"/>
      <c r="CQ684" s="1"/>
      <c r="CR684" s="1"/>
      <c r="CS684" s="1"/>
      <c r="CT684" s="1"/>
      <c r="CU684" s="1"/>
      <c r="CV684" s="1"/>
      <c r="CW684" s="1"/>
      <c r="CX684" s="1"/>
      <c r="CY684" s="1"/>
      <c r="CZ684" s="1"/>
      <c r="DA684" s="1"/>
      <c r="DB684" s="1"/>
      <c r="DC684" s="1"/>
      <c r="DD684" s="1"/>
      <c r="DE684" s="1"/>
      <c r="DF684" s="1"/>
      <c r="DG684" s="1"/>
      <c r="DH684" s="1"/>
      <c r="DI684" s="1"/>
      <c r="DJ684" s="1"/>
      <c r="DK684" s="1"/>
      <c r="DL684" s="1"/>
      <c r="DM684" s="1"/>
      <c r="DN684" s="1"/>
      <c r="DO684" s="1"/>
      <c r="DP684" s="1"/>
      <c r="DQ684" s="1"/>
      <c r="DR684" s="1"/>
      <c r="DS684" s="1"/>
      <c r="DT684" s="1"/>
      <c r="DU684" s="1"/>
      <c r="DV684" s="1"/>
      <c r="DW684" s="1"/>
      <c r="DX684" s="1"/>
      <c r="DY684" s="1"/>
      <c r="DZ684" s="1"/>
      <c r="EA684" s="1"/>
      <c r="EB684" s="1"/>
      <c r="EC684" s="1"/>
      <c r="ED684" s="1"/>
      <c r="EE684" s="1"/>
      <c r="EF684" s="1"/>
      <c r="EG684" s="1"/>
      <c r="EH684" s="1"/>
      <c r="EI684" s="1"/>
      <c r="EJ684" s="1"/>
      <c r="EK684" s="1"/>
      <c r="EL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c r="BR685" s="1"/>
      <c r="BS685" s="1"/>
      <c r="BT685" s="1"/>
      <c r="BU685" s="1"/>
      <c r="BV685" s="1"/>
      <c r="BW685" s="1"/>
      <c r="BX685" s="1"/>
      <c r="BY685" s="1"/>
      <c r="BZ685" s="1"/>
      <c r="CA685" s="1"/>
      <c r="CB685" s="1"/>
      <c r="CC685" s="1"/>
      <c r="CD685" s="1"/>
      <c r="CE685" s="1"/>
      <c r="CF685" s="1"/>
      <c r="CG685" s="1"/>
      <c r="CH685" s="1"/>
      <c r="CI685" s="1"/>
      <c r="CJ685" s="1"/>
      <c r="CK685" s="1"/>
      <c r="CL685" s="1"/>
      <c r="CM685" s="1"/>
      <c r="CN685" s="1"/>
      <c r="CO685" s="1"/>
      <c r="CP685" s="1"/>
      <c r="CQ685" s="1"/>
      <c r="CR685" s="1"/>
      <c r="CS685" s="1"/>
      <c r="CT685" s="1"/>
      <c r="CU685" s="1"/>
      <c r="CV685" s="1"/>
      <c r="CW685" s="1"/>
      <c r="CX685" s="1"/>
      <c r="CY685" s="1"/>
      <c r="CZ685" s="1"/>
      <c r="DA685" s="1"/>
      <c r="DB685" s="1"/>
      <c r="DC685" s="1"/>
      <c r="DD685" s="1"/>
      <c r="DE685" s="1"/>
      <c r="DF685" s="1"/>
      <c r="DG685" s="1"/>
      <c r="DH685" s="1"/>
      <c r="DI685" s="1"/>
      <c r="DJ685" s="1"/>
      <c r="DK685" s="1"/>
      <c r="DL685" s="1"/>
      <c r="DM685" s="1"/>
      <c r="DN685" s="1"/>
      <c r="DO685" s="1"/>
      <c r="DP685" s="1"/>
      <c r="DQ685" s="1"/>
      <c r="DR685" s="1"/>
      <c r="DS685" s="1"/>
      <c r="DT685" s="1"/>
      <c r="DU685" s="1"/>
      <c r="DV685" s="1"/>
      <c r="DW685" s="1"/>
      <c r="DX685" s="1"/>
      <c r="DY685" s="1"/>
      <c r="DZ685" s="1"/>
      <c r="EA685" s="1"/>
      <c r="EB685" s="1"/>
      <c r="EC685" s="1"/>
      <c r="ED685" s="1"/>
      <c r="EE685" s="1"/>
      <c r="EF685" s="1"/>
      <c r="EG685" s="1"/>
      <c r="EH685" s="1"/>
      <c r="EI685" s="1"/>
      <c r="EJ685" s="1"/>
      <c r="EK685" s="1"/>
      <c r="EL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c r="BR686" s="1"/>
      <c r="BS686" s="1"/>
      <c r="BT686" s="1"/>
      <c r="BU686" s="1"/>
      <c r="BV686" s="1"/>
      <c r="BW686" s="1"/>
      <c r="BX686" s="1"/>
      <c r="BY686" s="1"/>
      <c r="BZ686" s="1"/>
      <c r="CA686" s="1"/>
      <c r="CB686" s="1"/>
      <c r="CC686" s="1"/>
      <c r="CD686" s="1"/>
      <c r="CE686" s="1"/>
      <c r="CF686" s="1"/>
      <c r="CG686" s="1"/>
      <c r="CH686" s="1"/>
      <c r="CI686" s="1"/>
      <c r="CJ686" s="1"/>
      <c r="CK686" s="1"/>
      <c r="CL686" s="1"/>
      <c r="CM686" s="1"/>
      <c r="CN686" s="1"/>
      <c r="CO686" s="1"/>
      <c r="CP686" s="1"/>
      <c r="CQ686" s="1"/>
      <c r="CR686" s="1"/>
      <c r="CS686" s="1"/>
      <c r="CT686" s="1"/>
      <c r="CU686" s="1"/>
      <c r="CV686" s="1"/>
      <c r="CW686" s="1"/>
      <c r="CX686" s="1"/>
      <c r="CY686" s="1"/>
      <c r="CZ686" s="1"/>
      <c r="DA686" s="1"/>
      <c r="DB686" s="1"/>
      <c r="DC686" s="1"/>
      <c r="DD686" s="1"/>
      <c r="DE686" s="1"/>
      <c r="DF686" s="1"/>
      <c r="DG686" s="1"/>
      <c r="DH686" s="1"/>
      <c r="DI686" s="1"/>
      <c r="DJ686" s="1"/>
      <c r="DK686" s="1"/>
      <c r="DL686" s="1"/>
      <c r="DM686" s="1"/>
      <c r="DN686" s="1"/>
      <c r="DO686" s="1"/>
      <c r="DP686" s="1"/>
      <c r="DQ686" s="1"/>
      <c r="DR686" s="1"/>
      <c r="DS686" s="1"/>
      <c r="DT686" s="1"/>
      <c r="DU686" s="1"/>
      <c r="DV686" s="1"/>
      <c r="DW686" s="1"/>
      <c r="DX686" s="1"/>
      <c r="DY686" s="1"/>
      <c r="DZ686" s="1"/>
      <c r="EA686" s="1"/>
      <c r="EB686" s="1"/>
      <c r="EC686" s="1"/>
      <c r="ED686" s="1"/>
      <c r="EE686" s="1"/>
      <c r="EF686" s="1"/>
      <c r="EG686" s="1"/>
      <c r="EH686" s="1"/>
      <c r="EI686" s="1"/>
      <c r="EJ686" s="1"/>
      <c r="EK686" s="1"/>
      <c r="EL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c r="BR687" s="1"/>
      <c r="BS687" s="1"/>
      <c r="BT687" s="1"/>
      <c r="BU687" s="1"/>
      <c r="BV687" s="1"/>
      <c r="BW687" s="1"/>
      <c r="BX687" s="1"/>
      <c r="BY687" s="1"/>
      <c r="BZ687" s="1"/>
      <c r="CA687" s="1"/>
      <c r="CB687" s="1"/>
      <c r="CC687" s="1"/>
      <c r="CD687" s="1"/>
      <c r="CE687" s="1"/>
      <c r="CF687" s="1"/>
      <c r="CG687" s="1"/>
      <c r="CH687" s="1"/>
      <c r="CI687" s="1"/>
      <c r="CJ687" s="1"/>
      <c r="CK687" s="1"/>
      <c r="CL687" s="1"/>
      <c r="CM687" s="1"/>
      <c r="CN687" s="1"/>
      <c r="CO687" s="1"/>
      <c r="CP687" s="1"/>
      <c r="CQ687" s="1"/>
      <c r="CR687" s="1"/>
      <c r="CS687" s="1"/>
      <c r="CT687" s="1"/>
      <c r="CU687" s="1"/>
      <c r="CV687" s="1"/>
      <c r="CW687" s="1"/>
      <c r="CX687" s="1"/>
      <c r="CY687" s="1"/>
      <c r="CZ687" s="1"/>
      <c r="DA687" s="1"/>
      <c r="DB687" s="1"/>
      <c r="DC687" s="1"/>
      <c r="DD687" s="1"/>
      <c r="DE687" s="1"/>
      <c r="DF687" s="1"/>
      <c r="DG687" s="1"/>
      <c r="DH687" s="1"/>
      <c r="DI687" s="1"/>
      <c r="DJ687" s="1"/>
      <c r="DK687" s="1"/>
      <c r="DL687" s="1"/>
      <c r="DM687" s="1"/>
      <c r="DN687" s="1"/>
      <c r="DO687" s="1"/>
      <c r="DP687" s="1"/>
      <c r="DQ687" s="1"/>
      <c r="DR687" s="1"/>
      <c r="DS687" s="1"/>
      <c r="DT687" s="1"/>
      <c r="DU687" s="1"/>
      <c r="DV687" s="1"/>
      <c r="DW687" s="1"/>
      <c r="DX687" s="1"/>
      <c r="DY687" s="1"/>
      <c r="DZ687" s="1"/>
      <c r="EA687" s="1"/>
      <c r="EB687" s="1"/>
      <c r="EC687" s="1"/>
      <c r="ED687" s="1"/>
      <c r="EE687" s="1"/>
      <c r="EF687" s="1"/>
      <c r="EG687" s="1"/>
      <c r="EH687" s="1"/>
      <c r="EI687" s="1"/>
      <c r="EJ687" s="1"/>
      <c r="EK687" s="1"/>
      <c r="EL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c r="BR688" s="1"/>
      <c r="BS688" s="1"/>
      <c r="BT688" s="1"/>
      <c r="BU688" s="1"/>
      <c r="BV688" s="1"/>
      <c r="BW688" s="1"/>
      <c r="BX688" s="1"/>
      <c r="BY688" s="1"/>
      <c r="BZ688" s="1"/>
      <c r="CA688" s="1"/>
      <c r="CB688" s="1"/>
      <c r="CC688" s="1"/>
      <c r="CD688" s="1"/>
      <c r="CE688" s="1"/>
      <c r="CF688" s="1"/>
      <c r="CG688" s="1"/>
      <c r="CH688" s="1"/>
      <c r="CI688" s="1"/>
      <c r="CJ688" s="1"/>
      <c r="CK688" s="1"/>
      <c r="CL688" s="1"/>
      <c r="CM688" s="1"/>
      <c r="CN688" s="1"/>
      <c r="CO688" s="1"/>
      <c r="CP688" s="1"/>
      <c r="CQ688" s="1"/>
      <c r="CR688" s="1"/>
      <c r="CS688" s="1"/>
      <c r="CT688" s="1"/>
      <c r="CU688" s="1"/>
      <c r="CV688" s="1"/>
      <c r="CW688" s="1"/>
      <c r="CX688" s="1"/>
      <c r="CY688" s="1"/>
      <c r="CZ688" s="1"/>
      <c r="DA688" s="1"/>
      <c r="DB688" s="1"/>
      <c r="DC688" s="1"/>
      <c r="DD688" s="1"/>
      <c r="DE688" s="1"/>
      <c r="DF688" s="1"/>
      <c r="DG688" s="1"/>
      <c r="DH688" s="1"/>
      <c r="DI688" s="1"/>
      <c r="DJ688" s="1"/>
      <c r="DK688" s="1"/>
      <c r="DL688" s="1"/>
      <c r="DM688" s="1"/>
      <c r="DN688" s="1"/>
      <c r="DO688" s="1"/>
      <c r="DP688" s="1"/>
      <c r="DQ688" s="1"/>
      <c r="DR688" s="1"/>
      <c r="DS688" s="1"/>
      <c r="DT688" s="1"/>
      <c r="DU688" s="1"/>
      <c r="DV688" s="1"/>
      <c r="DW688" s="1"/>
      <c r="DX688" s="1"/>
      <c r="DY688" s="1"/>
      <c r="DZ688" s="1"/>
      <c r="EA688" s="1"/>
      <c r="EB688" s="1"/>
      <c r="EC688" s="1"/>
      <c r="ED688" s="1"/>
      <c r="EE688" s="1"/>
      <c r="EF688" s="1"/>
      <c r="EG688" s="1"/>
      <c r="EH688" s="1"/>
      <c r="EI688" s="1"/>
      <c r="EJ688" s="1"/>
      <c r="EK688" s="1"/>
      <c r="EL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c r="BR689" s="1"/>
      <c r="BS689" s="1"/>
      <c r="BT689" s="1"/>
      <c r="BU689" s="1"/>
      <c r="BV689" s="1"/>
      <c r="BW689" s="1"/>
      <c r="BX689" s="1"/>
      <c r="BY689" s="1"/>
      <c r="BZ689" s="1"/>
      <c r="CA689" s="1"/>
      <c r="CB689" s="1"/>
      <c r="CC689" s="1"/>
      <c r="CD689" s="1"/>
      <c r="CE689" s="1"/>
      <c r="CF689" s="1"/>
      <c r="CG689" s="1"/>
      <c r="CH689" s="1"/>
      <c r="CI689" s="1"/>
      <c r="CJ689" s="1"/>
      <c r="CK689" s="1"/>
      <c r="CL689" s="1"/>
      <c r="CM689" s="1"/>
      <c r="CN689" s="1"/>
      <c r="CO689" s="1"/>
      <c r="CP689" s="1"/>
      <c r="CQ689" s="1"/>
      <c r="CR689" s="1"/>
      <c r="CS689" s="1"/>
      <c r="CT689" s="1"/>
      <c r="CU689" s="1"/>
      <c r="CV689" s="1"/>
      <c r="CW689" s="1"/>
      <c r="CX689" s="1"/>
      <c r="CY689" s="1"/>
      <c r="CZ689" s="1"/>
      <c r="DA689" s="1"/>
      <c r="DB689" s="1"/>
      <c r="DC689" s="1"/>
      <c r="DD689" s="1"/>
      <c r="DE689" s="1"/>
      <c r="DF689" s="1"/>
      <c r="DG689" s="1"/>
      <c r="DH689" s="1"/>
      <c r="DI689" s="1"/>
      <c r="DJ689" s="1"/>
      <c r="DK689" s="1"/>
      <c r="DL689" s="1"/>
      <c r="DM689" s="1"/>
      <c r="DN689" s="1"/>
      <c r="DO689" s="1"/>
      <c r="DP689" s="1"/>
      <c r="DQ689" s="1"/>
      <c r="DR689" s="1"/>
      <c r="DS689" s="1"/>
      <c r="DT689" s="1"/>
      <c r="DU689" s="1"/>
      <c r="DV689" s="1"/>
      <c r="DW689" s="1"/>
      <c r="DX689" s="1"/>
      <c r="DY689" s="1"/>
      <c r="DZ689" s="1"/>
      <c r="EA689" s="1"/>
      <c r="EB689" s="1"/>
      <c r="EC689" s="1"/>
      <c r="ED689" s="1"/>
      <c r="EE689" s="1"/>
      <c r="EF689" s="1"/>
      <c r="EG689" s="1"/>
      <c r="EH689" s="1"/>
      <c r="EI689" s="1"/>
      <c r="EJ689" s="1"/>
      <c r="EK689" s="1"/>
      <c r="EL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c r="BR690" s="1"/>
      <c r="BS690" s="1"/>
      <c r="BT690" s="1"/>
      <c r="BU690" s="1"/>
      <c r="BV690" s="1"/>
      <c r="BW690" s="1"/>
      <c r="BX690" s="1"/>
      <c r="BY690" s="1"/>
      <c r="BZ690" s="1"/>
      <c r="CA690" s="1"/>
      <c r="CB690" s="1"/>
      <c r="CC690" s="1"/>
      <c r="CD690" s="1"/>
      <c r="CE690" s="1"/>
      <c r="CF690" s="1"/>
      <c r="CG690" s="1"/>
      <c r="CH690" s="1"/>
      <c r="CI690" s="1"/>
      <c r="CJ690" s="1"/>
      <c r="CK690" s="1"/>
      <c r="CL690" s="1"/>
      <c r="CM690" s="1"/>
      <c r="CN690" s="1"/>
      <c r="CO690" s="1"/>
      <c r="CP690" s="1"/>
      <c r="CQ690" s="1"/>
      <c r="CR690" s="1"/>
      <c r="CS690" s="1"/>
      <c r="CT690" s="1"/>
      <c r="CU690" s="1"/>
      <c r="CV690" s="1"/>
      <c r="CW690" s="1"/>
      <c r="CX690" s="1"/>
      <c r="CY690" s="1"/>
      <c r="CZ690" s="1"/>
      <c r="DA690" s="1"/>
      <c r="DB690" s="1"/>
      <c r="DC690" s="1"/>
      <c r="DD690" s="1"/>
      <c r="DE690" s="1"/>
      <c r="DF690" s="1"/>
      <c r="DG690" s="1"/>
      <c r="DH690" s="1"/>
      <c r="DI690" s="1"/>
      <c r="DJ690" s="1"/>
      <c r="DK690" s="1"/>
      <c r="DL690" s="1"/>
      <c r="DM690" s="1"/>
      <c r="DN690" s="1"/>
      <c r="DO690" s="1"/>
      <c r="DP690" s="1"/>
      <c r="DQ690" s="1"/>
      <c r="DR690" s="1"/>
      <c r="DS690" s="1"/>
      <c r="DT690" s="1"/>
      <c r="DU690" s="1"/>
      <c r="DV690" s="1"/>
      <c r="DW690" s="1"/>
      <c r="DX690" s="1"/>
      <c r="DY690" s="1"/>
      <c r="DZ690" s="1"/>
      <c r="EA690" s="1"/>
      <c r="EB690" s="1"/>
      <c r="EC690" s="1"/>
      <c r="ED690" s="1"/>
      <c r="EE690" s="1"/>
      <c r="EF690" s="1"/>
      <c r="EG690" s="1"/>
      <c r="EH690" s="1"/>
      <c r="EI690" s="1"/>
      <c r="EJ690" s="1"/>
      <c r="EK690" s="1"/>
      <c r="EL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c r="BR691" s="1"/>
      <c r="BS691" s="1"/>
      <c r="BT691" s="1"/>
      <c r="BU691" s="1"/>
      <c r="BV691" s="1"/>
      <c r="BW691" s="1"/>
      <c r="BX691" s="1"/>
      <c r="BY691" s="1"/>
      <c r="BZ691" s="1"/>
      <c r="CA691" s="1"/>
      <c r="CB691" s="1"/>
      <c r="CC691" s="1"/>
      <c r="CD691" s="1"/>
      <c r="CE691" s="1"/>
      <c r="CF691" s="1"/>
      <c r="CG691" s="1"/>
      <c r="CH691" s="1"/>
      <c r="CI691" s="1"/>
      <c r="CJ691" s="1"/>
      <c r="CK691" s="1"/>
      <c r="CL691" s="1"/>
      <c r="CM691" s="1"/>
      <c r="CN691" s="1"/>
      <c r="CO691" s="1"/>
      <c r="CP691" s="1"/>
      <c r="CQ691" s="1"/>
      <c r="CR691" s="1"/>
      <c r="CS691" s="1"/>
      <c r="CT691" s="1"/>
      <c r="CU691" s="1"/>
      <c r="CV691" s="1"/>
      <c r="CW691" s="1"/>
      <c r="CX691" s="1"/>
      <c r="CY691" s="1"/>
      <c r="CZ691" s="1"/>
      <c r="DA691" s="1"/>
      <c r="DB691" s="1"/>
      <c r="DC691" s="1"/>
      <c r="DD691" s="1"/>
      <c r="DE691" s="1"/>
      <c r="DF691" s="1"/>
      <c r="DG691" s="1"/>
      <c r="DH691" s="1"/>
      <c r="DI691" s="1"/>
      <c r="DJ691" s="1"/>
      <c r="DK691" s="1"/>
      <c r="DL691" s="1"/>
      <c r="DM691" s="1"/>
      <c r="DN691" s="1"/>
      <c r="DO691" s="1"/>
      <c r="DP691" s="1"/>
      <c r="DQ691" s="1"/>
      <c r="DR691" s="1"/>
      <c r="DS691" s="1"/>
      <c r="DT691" s="1"/>
      <c r="DU691" s="1"/>
      <c r="DV691" s="1"/>
      <c r="DW691" s="1"/>
      <c r="DX691" s="1"/>
      <c r="DY691" s="1"/>
      <c r="DZ691" s="1"/>
      <c r="EA691" s="1"/>
      <c r="EB691" s="1"/>
      <c r="EC691" s="1"/>
      <c r="ED691" s="1"/>
      <c r="EE691" s="1"/>
      <c r="EF691" s="1"/>
      <c r="EG691" s="1"/>
      <c r="EH691" s="1"/>
      <c r="EI691" s="1"/>
      <c r="EJ691" s="1"/>
      <c r="EK691" s="1"/>
      <c r="EL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c r="BR692" s="1"/>
      <c r="BS692" s="1"/>
      <c r="BT692" s="1"/>
      <c r="BU692" s="1"/>
      <c r="BV692" s="1"/>
      <c r="BW692" s="1"/>
      <c r="BX692" s="1"/>
      <c r="BY692" s="1"/>
      <c r="BZ692" s="1"/>
      <c r="CA692" s="1"/>
      <c r="CB692" s="1"/>
      <c r="CC692" s="1"/>
      <c r="CD692" s="1"/>
      <c r="CE692" s="1"/>
      <c r="CF692" s="1"/>
      <c r="CG692" s="1"/>
      <c r="CH692" s="1"/>
      <c r="CI692" s="1"/>
      <c r="CJ692" s="1"/>
      <c r="CK692" s="1"/>
      <c r="CL692" s="1"/>
      <c r="CM692" s="1"/>
      <c r="CN692" s="1"/>
      <c r="CO692" s="1"/>
      <c r="CP692" s="1"/>
      <c r="CQ692" s="1"/>
      <c r="CR692" s="1"/>
      <c r="CS692" s="1"/>
      <c r="CT692" s="1"/>
      <c r="CU692" s="1"/>
      <c r="CV692" s="1"/>
      <c r="CW692" s="1"/>
      <c r="CX692" s="1"/>
      <c r="CY692" s="1"/>
      <c r="CZ692" s="1"/>
      <c r="DA692" s="1"/>
      <c r="DB692" s="1"/>
      <c r="DC692" s="1"/>
      <c r="DD692" s="1"/>
      <c r="DE692" s="1"/>
      <c r="DF692" s="1"/>
      <c r="DG692" s="1"/>
      <c r="DH692" s="1"/>
      <c r="DI692" s="1"/>
      <c r="DJ692" s="1"/>
      <c r="DK692" s="1"/>
      <c r="DL692" s="1"/>
      <c r="DM692" s="1"/>
      <c r="DN692" s="1"/>
      <c r="DO692" s="1"/>
      <c r="DP692" s="1"/>
      <c r="DQ692" s="1"/>
      <c r="DR692" s="1"/>
      <c r="DS692" s="1"/>
      <c r="DT692" s="1"/>
      <c r="DU692" s="1"/>
      <c r="DV692" s="1"/>
      <c r="DW692" s="1"/>
      <c r="DX692" s="1"/>
      <c r="DY692" s="1"/>
      <c r="DZ692" s="1"/>
      <c r="EA692" s="1"/>
      <c r="EB692" s="1"/>
      <c r="EC692" s="1"/>
      <c r="ED692" s="1"/>
      <c r="EE692" s="1"/>
      <c r="EF692" s="1"/>
      <c r="EG692" s="1"/>
      <c r="EH692" s="1"/>
      <c r="EI692" s="1"/>
      <c r="EJ692" s="1"/>
      <c r="EK692" s="1"/>
      <c r="EL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c r="BR693" s="1"/>
      <c r="BS693" s="1"/>
      <c r="BT693" s="1"/>
      <c r="BU693" s="1"/>
      <c r="BV693" s="1"/>
      <c r="BW693" s="1"/>
      <c r="BX693" s="1"/>
      <c r="BY693" s="1"/>
      <c r="BZ693" s="1"/>
      <c r="CA693" s="1"/>
      <c r="CB693" s="1"/>
      <c r="CC693" s="1"/>
      <c r="CD693" s="1"/>
      <c r="CE693" s="1"/>
      <c r="CF693" s="1"/>
      <c r="CG693" s="1"/>
      <c r="CH693" s="1"/>
      <c r="CI693" s="1"/>
      <c r="CJ693" s="1"/>
      <c r="CK693" s="1"/>
      <c r="CL693" s="1"/>
      <c r="CM693" s="1"/>
      <c r="CN693" s="1"/>
      <c r="CO693" s="1"/>
      <c r="CP693" s="1"/>
      <c r="CQ693" s="1"/>
      <c r="CR693" s="1"/>
      <c r="CS693" s="1"/>
      <c r="CT693" s="1"/>
      <c r="CU693" s="1"/>
      <c r="CV693" s="1"/>
      <c r="CW693" s="1"/>
      <c r="CX693" s="1"/>
      <c r="CY693" s="1"/>
      <c r="CZ693" s="1"/>
      <c r="DA693" s="1"/>
      <c r="DB693" s="1"/>
      <c r="DC693" s="1"/>
      <c r="DD693" s="1"/>
      <c r="DE693" s="1"/>
      <c r="DF693" s="1"/>
      <c r="DG693" s="1"/>
      <c r="DH693" s="1"/>
      <c r="DI693" s="1"/>
      <c r="DJ693" s="1"/>
      <c r="DK693" s="1"/>
      <c r="DL693" s="1"/>
      <c r="DM693" s="1"/>
      <c r="DN693" s="1"/>
      <c r="DO693" s="1"/>
      <c r="DP693" s="1"/>
      <c r="DQ693" s="1"/>
      <c r="DR693" s="1"/>
      <c r="DS693" s="1"/>
      <c r="DT693" s="1"/>
      <c r="DU693" s="1"/>
      <c r="DV693" s="1"/>
      <c r="DW693" s="1"/>
      <c r="DX693" s="1"/>
      <c r="DY693" s="1"/>
      <c r="DZ693" s="1"/>
      <c r="EA693" s="1"/>
      <c r="EB693" s="1"/>
      <c r="EC693" s="1"/>
      <c r="ED693" s="1"/>
      <c r="EE693" s="1"/>
      <c r="EF693" s="1"/>
      <c r="EG693" s="1"/>
      <c r="EH693" s="1"/>
      <c r="EI693" s="1"/>
      <c r="EJ693" s="1"/>
      <c r="EK693" s="1"/>
      <c r="EL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c r="BR694" s="1"/>
      <c r="BS694" s="1"/>
      <c r="BT694" s="1"/>
      <c r="BU694" s="1"/>
      <c r="BV694" s="1"/>
      <c r="BW694" s="1"/>
      <c r="BX694" s="1"/>
      <c r="BY694" s="1"/>
      <c r="BZ694" s="1"/>
      <c r="CA694" s="1"/>
      <c r="CB694" s="1"/>
      <c r="CC694" s="1"/>
      <c r="CD694" s="1"/>
      <c r="CE694" s="1"/>
      <c r="CF694" s="1"/>
      <c r="CG694" s="1"/>
      <c r="CH694" s="1"/>
      <c r="CI694" s="1"/>
      <c r="CJ694" s="1"/>
      <c r="CK694" s="1"/>
      <c r="CL694" s="1"/>
      <c r="CM694" s="1"/>
      <c r="CN694" s="1"/>
      <c r="CO694" s="1"/>
      <c r="CP694" s="1"/>
      <c r="CQ694" s="1"/>
      <c r="CR694" s="1"/>
      <c r="CS694" s="1"/>
      <c r="CT694" s="1"/>
      <c r="CU694" s="1"/>
      <c r="CV694" s="1"/>
      <c r="CW694" s="1"/>
      <c r="CX694" s="1"/>
      <c r="CY694" s="1"/>
      <c r="CZ694" s="1"/>
      <c r="DA694" s="1"/>
      <c r="DB694" s="1"/>
      <c r="DC694" s="1"/>
      <c r="DD694" s="1"/>
      <c r="DE694" s="1"/>
      <c r="DF694" s="1"/>
      <c r="DG694" s="1"/>
      <c r="DH694" s="1"/>
      <c r="DI694" s="1"/>
      <c r="DJ694" s="1"/>
      <c r="DK694" s="1"/>
      <c r="DL694" s="1"/>
      <c r="DM694" s="1"/>
      <c r="DN694" s="1"/>
      <c r="DO694" s="1"/>
      <c r="DP694" s="1"/>
      <c r="DQ694" s="1"/>
      <c r="DR694" s="1"/>
      <c r="DS694" s="1"/>
      <c r="DT694" s="1"/>
      <c r="DU694" s="1"/>
      <c r="DV694" s="1"/>
      <c r="DW694" s="1"/>
      <c r="DX694" s="1"/>
      <c r="DY694" s="1"/>
      <c r="DZ694" s="1"/>
      <c r="EA694" s="1"/>
      <c r="EB694" s="1"/>
      <c r="EC694" s="1"/>
      <c r="ED694" s="1"/>
      <c r="EE694" s="1"/>
      <c r="EF694" s="1"/>
      <c r="EG694" s="1"/>
      <c r="EH694" s="1"/>
      <c r="EI694" s="1"/>
      <c r="EJ694" s="1"/>
      <c r="EK694" s="1"/>
      <c r="EL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c r="BR695" s="1"/>
      <c r="BS695" s="1"/>
      <c r="BT695" s="1"/>
      <c r="BU695" s="1"/>
      <c r="BV695" s="1"/>
      <c r="BW695" s="1"/>
      <c r="BX695" s="1"/>
      <c r="BY695" s="1"/>
      <c r="BZ695" s="1"/>
      <c r="CA695" s="1"/>
      <c r="CB695" s="1"/>
      <c r="CC695" s="1"/>
      <c r="CD695" s="1"/>
      <c r="CE695" s="1"/>
      <c r="CF695" s="1"/>
      <c r="CG695" s="1"/>
      <c r="CH695" s="1"/>
      <c r="CI695" s="1"/>
      <c r="CJ695" s="1"/>
      <c r="CK695" s="1"/>
      <c r="CL695" s="1"/>
      <c r="CM695" s="1"/>
      <c r="CN695" s="1"/>
      <c r="CO695" s="1"/>
      <c r="CP695" s="1"/>
      <c r="CQ695" s="1"/>
      <c r="CR695" s="1"/>
      <c r="CS695" s="1"/>
      <c r="CT695" s="1"/>
      <c r="CU695" s="1"/>
      <c r="CV695" s="1"/>
      <c r="CW695" s="1"/>
      <c r="CX695" s="1"/>
      <c r="CY695" s="1"/>
      <c r="CZ695" s="1"/>
      <c r="DA695" s="1"/>
      <c r="DB695" s="1"/>
      <c r="DC695" s="1"/>
      <c r="DD695" s="1"/>
      <c r="DE695" s="1"/>
      <c r="DF695" s="1"/>
      <c r="DG695" s="1"/>
      <c r="DH695" s="1"/>
      <c r="DI695" s="1"/>
      <c r="DJ695" s="1"/>
      <c r="DK695" s="1"/>
      <c r="DL695" s="1"/>
      <c r="DM695" s="1"/>
      <c r="DN695" s="1"/>
      <c r="DO695" s="1"/>
      <c r="DP695" s="1"/>
      <c r="DQ695" s="1"/>
      <c r="DR695" s="1"/>
      <c r="DS695" s="1"/>
      <c r="DT695" s="1"/>
      <c r="DU695" s="1"/>
      <c r="DV695" s="1"/>
      <c r="DW695" s="1"/>
      <c r="DX695" s="1"/>
      <c r="DY695" s="1"/>
      <c r="DZ695" s="1"/>
      <c r="EA695" s="1"/>
      <c r="EB695" s="1"/>
      <c r="EC695" s="1"/>
      <c r="ED695" s="1"/>
      <c r="EE695" s="1"/>
      <c r="EF695" s="1"/>
      <c r="EG695" s="1"/>
      <c r="EH695" s="1"/>
      <c r="EI695" s="1"/>
      <c r="EJ695" s="1"/>
      <c r="EK695" s="1"/>
      <c r="EL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c r="BR696" s="1"/>
      <c r="BS696" s="1"/>
      <c r="BT696" s="1"/>
      <c r="BU696" s="1"/>
      <c r="BV696" s="1"/>
      <c r="BW696" s="1"/>
      <c r="BX696" s="1"/>
      <c r="BY696" s="1"/>
      <c r="BZ696" s="1"/>
      <c r="CA696" s="1"/>
      <c r="CB696" s="1"/>
      <c r="CC696" s="1"/>
      <c r="CD696" s="1"/>
      <c r="CE696" s="1"/>
      <c r="CF696" s="1"/>
      <c r="CG696" s="1"/>
      <c r="CH696" s="1"/>
      <c r="CI696" s="1"/>
      <c r="CJ696" s="1"/>
      <c r="CK696" s="1"/>
      <c r="CL696" s="1"/>
      <c r="CM696" s="1"/>
      <c r="CN696" s="1"/>
      <c r="CO696" s="1"/>
      <c r="CP696" s="1"/>
      <c r="CQ696" s="1"/>
      <c r="CR696" s="1"/>
      <c r="CS696" s="1"/>
      <c r="CT696" s="1"/>
      <c r="CU696" s="1"/>
      <c r="CV696" s="1"/>
      <c r="CW696" s="1"/>
      <c r="CX696" s="1"/>
      <c r="CY696" s="1"/>
      <c r="CZ696" s="1"/>
      <c r="DA696" s="1"/>
      <c r="DB696" s="1"/>
      <c r="DC696" s="1"/>
      <c r="DD696" s="1"/>
      <c r="DE696" s="1"/>
      <c r="DF696" s="1"/>
      <c r="DG696" s="1"/>
      <c r="DH696" s="1"/>
      <c r="DI696" s="1"/>
      <c r="DJ696" s="1"/>
      <c r="DK696" s="1"/>
      <c r="DL696" s="1"/>
      <c r="DM696" s="1"/>
      <c r="DN696" s="1"/>
      <c r="DO696" s="1"/>
      <c r="DP696" s="1"/>
      <c r="DQ696" s="1"/>
      <c r="DR696" s="1"/>
      <c r="DS696" s="1"/>
      <c r="DT696" s="1"/>
      <c r="DU696" s="1"/>
      <c r="DV696" s="1"/>
      <c r="DW696" s="1"/>
      <c r="DX696" s="1"/>
      <c r="DY696" s="1"/>
      <c r="DZ696" s="1"/>
      <c r="EA696" s="1"/>
      <c r="EB696" s="1"/>
      <c r="EC696" s="1"/>
      <c r="ED696" s="1"/>
      <c r="EE696" s="1"/>
      <c r="EF696" s="1"/>
      <c r="EG696" s="1"/>
      <c r="EH696" s="1"/>
      <c r="EI696" s="1"/>
      <c r="EJ696" s="1"/>
      <c r="EK696" s="1"/>
      <c r="EL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c r="BR697" s="1"/>
      <c r="BS697" s="1"/>
      <c r="BT697" s="1"/>
      <c r="BU697" s="1"/>
      <c r="BV697" s="1"/>
      <c r="BW697" s="1"/>
      <c r="BX697" s="1"/>
      <c r="BY697" s="1"/>
      <c r="BZ697" s="1"/>
      <c r="CA697" s="1"/>
      <c r="CB697" s="1"/>
      <c r="CC697" s="1"/>
      <c r="CD697" s="1"/>
      <c r="CE697" s="1"/>
      <c r="CF697" s="1"/>
      <c r="CG697" s="1"/>
      <c r="CH697" s="1"/>
      <c r="CI697" s="1"/>
      <c r="CJ697" s="1"/>
      <c r="CK697" s="1"/>
      <c r="CL697" s="1"/>
      <c r="CM697" s="1"/>
      <c r="CN697" s="1"/>
      <c r="CO697" s="1"/>
      <c r="CP697" s="1"/>
      <c r="CQ697" s="1"/>
      <c r="CR697" s="1"/>
      <c r="CS697" s="1"/>
      <c r="CT697" s="1"/>
      <c r="CU697" s="1"/>
      <c r="CV697" s="1"/>
      <c r="CW697" s="1"/>
      <c r="CX697" s="1"/>
      <c r="CY697" s="1"/>
      <c r="CZ697" s="1"/>
      <c r="DA697" s="1"/>
      <c r="DB697" s="1"/>
      <c r="DC697" s="1"/>
      <c r="DD697" s="1"/>
      <c r="DE697" s="1"/>
      <c r="DF697" s="1"/>
      <c r="DG697" s="1"/>
      <c r="DH697" s="1"/>
      <c r="DI697" s="1"/>
      <c r="DJ697" s="1"/>
      <c r="DK697" s="1"/>
      <c r="DL697" s="1"/>
      <c r="DM697" s="1"/>
      <c r="DN697" s="1"/>
      <c r="DO697" s="1"/>
      <c r="DP697" s="1"/>
      <c r="DQ697" s="1"/>
      <c r="DR697" s="1"/>
      <c r="DS697" s="1"/>
      <c r="DT697" s="1"/>
      <c r="DU697" s="1"/>
      <c r="DV697" s="1"/>
      <c r="DW697" s="1"/>
      <c r="DX697" s="1"/>
      <c r="DY697" s="1"/>
      <c r="DZ697" s="1"/>
      <c r="EA697" s="1"/>
      <c r="EB697" s="1"/>
      <c r="EC697" s="1"/>
      <c r="ED697" s="1"/>
      <c r="EE697" s="1"/>
      <c r="EF697" s="1"/>
      <c r="EG697" s="1"/>
      <c r="EH697" s="1"/>
      <c r="EI697" s="1"/>
      <c r="EJ697" s="1"/>
      <c r="EK697" s="1"/>
      <c r="EL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c r="BR698" s="1"/>
      <c r="BS698" s="1"/>
      <c r="BT698" s="1"/>
      <c r="BU698" s="1"/>
      <c r="BV698" s="1"/>
      <c r="BW698" s="1"/>
      <c r="BX698" s="1"/>
      <c r="BY698" s="1"/>
      <c r="BZ698" s="1"/>
      <c r="CA698" s="1"/>
      <c r="CB698" s="1"/>
      <c r="CC698" s="1"/>
      <c r="CD698" s="1"/>
      <c r="CE698" s="1"/>
      <c r="CF698" s="1"/>
      <c r="CG698" s="1"/>
      <c r="CH698" s="1"/>
      <c r="CI698" s="1"/>
      <c r="CJ698" s="1"/>
      <c r="CK698" s="1"/>
      <c r="CL698" s="1"/>
      <c r="CM698" s="1"/>
      <c r="CN698" s="1"/>
      <c r="CO698" s="1"/>
      <c r="CP698" s="1"/>
      <c r="CQ698" s="1"/>
      <c r="CR698" s="1"/>
      <c r="CS698" s="1"/>
      <c r="CT698" s="1"/>
      <c r="CU698" s="1"/>
      <c r="CV698" s="1"/>
      <c r="CW698" s="1"/>
      <c r="CX698" s="1"/>
      <c r="CY698" s="1"/>
      <c r="CZ698" s="1"/>
      <c r="DA698" s="1"/>
      <c r="DB698" s="1"/>
      <c r="DC698" s="1"/>
      <c r="DD698" s="1"/>
      <c r="DE698" s="1"/>
      <c r="DF698" s="1"/>
      <c r="DG698" s="1"/>
      <c r="DH698" s="1"/>
      <c r="DI698" s="1"/>
      <c r="DJ698" s="1"/>
      <c r="DK698" s="1"/>
      <c r="DL698" s="1"/>
      <c r="DM698" s="1"/>
      <c r="DN698" s="1"/>
      <c r="DO698" s="1"/>
      <c r="DP698" s="1"/>
      <c r="DQ698" s="1"/>
      <c r="DR698" s="1"/>
      <c r="DS698" s="1"/>
      <c r="DT698" s="1"/>
      <c r="DU698" s="1"/>
      <c r="DV698" s="1"/>
      <c r="DW698" s="1"/>
      <c r="DX698" s="1"/>
      <c r="DY698" s="1"/>
      <c r="DZ698" s="1"/>
      <c r="EA698" s="1"/>
      <c r="EB698" s="1"/>
      <c r="EC698" s="1"/>
      <c r="ED698" s="1"/>
      <c r="EE698" s="1"/>
      <c r="EF698" s="1"/>
      <c r="EG698" s="1"/>
      <c r="EH698" s="1"/>
      <c r="EI698" s="1"/>
      <c r="EJ698" s="1"/>
      <c r="EK698" s="1"/>
      <c r="EL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c r="BR699" s="1"/>
      <c r="BS699" s="1"/>
      <c r="BT699" s="1"/>
      <c r="BU699" s="1"/>
      <c r="BV699" s="1"/>
      <c r="BW699" s="1"/>
      <c r="BX699" s="1"/>
      <c r="BY699" s="1"/>
      <c r="BZ699" s="1"/>
      <c r="CA699" s="1"/>
      <c r="CB699" s="1"/>
      <c r="CC699" s="1"/>
      <c r="CD699" s="1"/>
      <c r="CE699" s="1"/>
      <c r="CF699" s="1"/>
      <c r="CG699" s="1"/>
      <c r="CH699" s="1"/>
      <c r="CI699" s="1"/>
      <c r="CJ699" s="1"/>
      <c r="CK699" s="1"/>
      <c r="CL699" s="1"/>
      <c r="CM699" s="1"/>
      <c r="CN699" s="1"/>
      <c r="CO699" s="1"/>
      <c r="CP699" s="1"/>
      <c r="CQ699" s="1"/>
      <c r="CR699" s="1"/>
      <c r="CS699" s="1"/>
      <c r="CT699" s="1"/>
      <c r="CU699" s="1"/>
      <c r="CV699" s="1"/>
      <c r="CW699" s="1"/>
      <c r="CX699" s="1"/>
      <c r="CY699" s="1"/>
      <c r="CZ699" s="1"/>
      <c r="DA699" s="1"/>
      <c r="DB699" s="1"/>
      <c r="DC699" s="1"/>
      <c r="DD699" s="1"/>
      <c r="DE699" s="1"/>
      <c r="DF699" s="1"/>
      <c r="DG699" s="1"/>
      <c r="DH699" s="1"/>
      <c r="DI699" s="1"/>
      <c r="DJ699" s="1"/>
      <c r="DK699" s="1"/>
      <c r="DL699" s="1"/>
      <c r="DM699" s="1"/>
      <c r="DN699" s="1"/>
      <c r="DO699" s="1"/>
      <c r="DP699" s="1"/>
      <c r="DQ699" s="1"/>
      <c r="DR699" s="1"/>
      <c r="DS699" s="1"/>
      <c r="DT699" s="1"/>
      <c r="DU699" s="1"/>
      <c r="DV699" s="1"/>
      <c r="DW699" s="1"/>
      <c r="DX699" s="1"/>
      <c r="DY699" s="1"/>
      <c r="DZ699" s="1"/>
      <c r="EA699" s="1"/>
      <c r="EB699" s="1"/>
      <c r="EC699" s="1"/>
      <c r="ED699" s="1"/>
      <c r="EE699" s="1"/>
      <c r="EF699" s="1"/>
      <c r="EG699" s="1"/>
      <c r="EH699" s="1"/>
      <c r="EI699" s="1"/>
      <c r="EJ699" s="1"/>
      <c r="EK699" s="1"/>
      <c r="EL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c r="BR700" s="1"/>
      <c r="BS700" s="1"/>
      <c r="BT700" s="1"/>
      <c r="BU700" s="1"/>
      <c r="BV700" s="1"/>
      <c r="BW700" s="1"/>
      <c r="BX700" s="1"/>
      <c r="BY700" s="1"/>
      <c r="BZ700" s="1"/>
      <c r="CA700" s="1"/>
      <c r="CB700" s="1"/>
      <c r="CC700" s="1"/>
      <c r="CD700" s="1"/>
      <c r="CE700" s="1"/>
      <c r="CF700" s="1"/>
      <c r="CG700" s="1"/>
      <c r="CH700" s="1"/>
      <c r="CI700" s="1"/>
      <c r="CJ700" s="1"/>
      <c r="CK700" s="1"/>
      <c r="CL700" s="1"/>
      <c r="CM700" s="1"/>
      <c r="CN700" s="1"/>
      <c r="CO700" s="1"/>
      <c r="CP700" s="1"/>
      <c r="CQ700" s="1"/>
      <c r="CR700" s="1"/>
      <c r="CS700" s="1"/>
      <c r="CT700" s="1"/>
      <c r="CU700" s="1"/>
      <c r="CV700" s="1"/>
      <c r="CW700" s="1"/>
      <c r="CX700" s="1"/>
      <c r="CY700" s="1"/>
      <c r="CZ700" s="1"/>
      <c r="DA700" s="1"/>
      <c r="DB700" s="1"/>
      <c r="DC700" s="1"/>
      <c r="DD700" s="1"/>
      <c r="DE700" s="1"/>
      <c r="DF700" s="1"/>
      <c r="DG700" s="1"/>
      <c r="DH700" s="1"/>
      <c r="DI700" s="1"/>
      <c r="DJ700" s="1"/>
      <c r="DK700" s="1"/>
      <c r="DL700" s="1"/>
      <c r="DM700" s="1"/>
      <c r="DN700" s="1"/>
      <c r="DO700" s="1"/>
      <c r="DP700" s="1"/>
      <c r="DQ700" s="1"/>
      <c r="DR700" s="1"/>
      <c r="DS700" s="1"/>
      <c r="DT700" s="1"/>
      <c r="DU700" s="1"/>
      <c r="DV700" s="1"/>
      <c r="DW700" s="1"/>
      <c r="DX700" s="1"/>
      <c r="DY700" s="1"/>
      <c r="DZ700" s="1"/>
      <c r="EA700" s="1"/>
      <c r="EB700" s="1"/>
      <c r="EC700" s="1"/>
      <c r="ED700" s="1"/>
      <c r="EE700" s="1"/>
      <c r="EF700" s="1"/>
      <c r="EG700" s="1"/>
      <c r="EH700" s="1"/>
      <c r="EI700" s="1"/>
      <c r="EJ700" s="1"/>
      <c r="EK700" s="1"/>
      <c r="EL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c r="BR701" s="1"/>
      <c r="BS701" s="1"/>
      <c r="BT701" s="1"/>
      <c r="BU701" s="1"/>
      <c r="BV701" s="1"/>
      <c r="BW701" s="1"/>
      <c r="BX701" s="1"/>
      <c r="BY701" s="1"/>
      <c r="BZ701" s="1"/>
      <c r="CA701" s="1"/>
      <c r="CB701" s="1"/>
      <c r="CC701" s="1"/>
      <c r="CD701" s="1"/>
      <c r="CE701" s="1"/>
      <c r="CF701" s="1"/>
      <c r="CG701" s="1"/>
      <c r="CH701" s="1"/>
      <c r="CI701" s="1"/>
      <c r="CJ701" s="1"/>
      <c r="CK701" s="1"/>
      <c r="CL701" s="1"/>
      <c r="CM701" s="1"/>
      <c r="CN701" s="1"/>
      <c r="CO701" s="1"/>
      <c r="CP701" s="1"/>
      <c r="CQ701" s="1"/>
      <c r="CR701" s="1"/>
      <c r="CS701" s="1"/>
      <c r="CT701" s="1"/>
      <c r="CU701" s="1"/>
      <c r="CV701" s="1"/>
      <c r="CW701" s="1"/>
      <c r="CX701" s="1"/>
      <c r="CY701" s="1"/>
      <c r="CZ701" s="1"/>
      <c r="DA701" s="1"/>
      <c r="DB701" s="1"/>
      <c r="DC701" s="1"/>
      <c r="DD701" s="1"/>
      <c r="DE701" s="1"/>
      <c r="DF701" s="1"/>
      <c r="DG701" s="1"/>
      <c r="DH701" s="1"/>
      <c r="DI701" s="1"/>
      <c r="DJ701" s="1"/>
      <c r="DK701" s="1"/>
      <c r="DL701" s="1"/>
      <c r="DM701" s="1"/>
      <c r="DN701" s="1"/>
      <c r="DO701" s="1"/>
      <c r="DP701" s="1"/>
      <c r="DQ701" s="1"/>
      <c r="DR701" s="1"/>
      <c r="DS701" s="1"/>
      <c r="DT701" s="1"/>
      <c r="DU701" s="1"/>
      <c r="DV701" s="1"/>
      <c r="DW701" s="1"/>
      <c r="DX701" s="1"/>
      <c r="DY701" s="1"/>
      <c r="DZ701" s="1"/>
      <c r="EA701" s="1"/>
      <c r="EB701" s="1"/>
      <c r="EC701" s="1"/>
      <c r="ED701" s="1"/>
      <c r="EE701" s="1"/>
      <c r="EF701" s="1"/>
      <c r="EG701" s="1"/>
      <c r="EH701" s="1"/>
      <c r="EI701" s="1"/>
      <c r="EJ701" s="1"/>
      <c r="EK701" s="1"/>
      <c r="EL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c r="BR702" s="1"/>
      <c r="BS702" s="1"/>
      <c r="BT702" s="1"/>
      <c r="BU702" s="1"/>
      <c r="BV702" s="1"/>
      <c r="BW702" s="1"/>
      <c r="BX702" s="1"/>
      <c r="BY702" s="1"/>
      <c r="BZ702" s="1"/>
      <c r="CA702" s="1"/>
      <c r="CB702" s="1"/>
      <c r="CC702" s="1"/>
      <c r="CD702" s="1"/>
      <c r="CE702" s="1"/>
      <c r="CF702" s="1"/>
      <c r="CG702" s="1"/>
      <c r="CH702" s="1"/>
      <c r="CI702" s="1"/>
      <c r="CJ702" s="1"/>
      <c r="CK702" s="1"/>
      <c r="CL702" s="1"/>
      <c r="CM702" s="1"/>
      <c r="CN702" s="1"/>
      <c r="CO702" s="1"/>
      <c r="CP702" s="1"/>
      <c r="CQ702" s="1"/>
      <c r="CR702" s="1"/>
      <c r="CS702" s="1"/>
      <c r="CT702" s="1"/>
      <c r="CU702" s="1"/>
      <c r="CV702" s="1"/>
      <c r="CW702" s="1"/>
      <c r="CX702" s="1"/>
      <c r="CY702" s="1"/>
      <c r="CZ702" s="1"/>
      <c r="DA702" s="1"/>
      <c r="DB702" s="1"/>
      <c r="DC702" s="1"/>
      <c r="DD702" s="1"/>
      <c r="DE702" s="1"/>
      <c r="DF702" s="1"/>
      <c r="DG702" s="1"/>
      <c r="DH702" s="1"/>
      <c r="DI702" s="1"/>
      <c r="DJ702" s="1"/>
      <c r="DK702" s="1"/>
      <c r="DL702" s="1"/>
      <c r="DM702" s="1"/>
      <c r="DN702" s="1"/>
      <c r="DO702" s="1"/>
      <c r="DP702" s="1"/>
      <c r="DQ702" s="1"/>
      <c r="DR702" s="1"/>
      <c r="DS702" s="1"/>
      <c r="DT702" s="1"/>
      <c r="DU702" s="1"/>
      <c r="DV702" s="1"/>
      <c r="DW702" s="1"/>
      <c r="DX702" s="1"/>
      <c r="DY702" s="1"/>
      <c r="DZ702" s="1"/>
      <c r="EA702" s="1"/>
      <c r="EB702" s="1"/>
      <c r="EC702" s="1"/>
      <c r="ED702" s="1"/>
      <c r="EE702" s="1"/>
      <c r="EF702" s="1"/>
      <c r="EG702" s="1"/>
      <c r="EH702" s="1"/>
      <c r="EI702" s="1"/>
      <c r="EJ702" s="1"/>
      <c r="EK702" s="1"/>
      <c r="EL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c r="BR703" s="1"/>
      <c r="BS703" s="1"/>
      <c r="BT703" s="1"/>
      <c r="BU703" s="1"/>
      <c r="BV703" s="1"/>
      <c r="BW703" s="1"/>
      <c r="BX703" s="1"/>
      <c r="BY703" s="1"/>
      <c r="BZ703" s="1"/>
      <c r="CA703" s="1"/>
      <c r="CB703" s="1"/>
      <c r="CC703" s="1"/>
      <c r="CD703" s="1"/>
      <c r="CE703" s="1"/>
      <c r="CF703" s="1"/>
      <c r="CG703" s="1"/>
      <c r="CH703" s="1"/>
      <c r="CI703" s="1"/>
      <c r="CJ703" s="1"/>
      <c r="CK703" s="1"/>
      <c r="CL703" s="1"/>
      <c r="CM703" s="1"/>
      <c r="CN703" s="1"/>
      <c r="CO703" s="1"/>
      <c r="CP703" s="1"/>
      <c r="CQ703" s="1"/>
      <c r="CR703" s="1"/>
      <c r="CS703" s="1"/>
      <c r="CT703" s="1"/>
      <c r="CU703" s="1"/>
      <c r="CV703" s="1"/>
      <c r="CW703" s="1"/>
      <c r="CX703" s="1"/>
      <c r="CY703" s="1"/>
      <c r="CZ703" s="1"/>
      <c r="DA703" s="1"/>
      <c r="DB703" s="1"/>
      <c r="DC703" s="1"/>
      <c r="DD703" s="1"/>
      <c r="DE703" s="1"/>
      <c r="DF703" s="1"/>
      <c r="DG703" s="1"/>
      <c r="DH703" s="1"/>
      <c r="DI703" s="1"/>
      <c r="DJ703" s="1"/>
      <c r="DK703" s="1"/>
      <c r="DL703" s="1"/>
      <c r="DM703" s="1"/>
      <c r="DN703" s="1"/>
      <c r="DO703" s="1"/>
      <c r="DP703" s="1"/>
      <c r="DQ703" s="1"/>
      <c r="DR703" s="1"/>
      <c r="DS703" s="1"/>
      <c r="DT703" s="1"/>
      <c r="DU703" s="1"/>
      <c r="DV703" s="1"/>
      <c r="DW703" s="1"/>
      <c r="DX703" s="1"/>
      <c r="DY703" s="1"/>
      <c r="DZ703" s="1"/>
      <c r="EA703" s="1"/>
      <c r="EB703" s="1"/>
      <c r="EC703" s="1"/>
      <c r="ED703" s="1"/>
      <c r="EE703" s="1"/>
      <c r="EF703" s="1"/>
      <c r="EG703" s="1"/>
      <c r="EH703" s="1"/>
      <c r="EI703" s="1"/>
      <c r="EJ703" s="1"/>
      <c r="EK703" s="1"/>
      <c r="EL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c r="BR704" s="1"/>
      <c r="BS704" s="1"/>
      <c r="BT704" s="1"/>
      <c r="BU704" s="1"/>
      <c r="BV704" s="1"/>
      <c r="BW704" s="1"/>
      <c r="BX704" s="1"/>
      <c r="BY704" s="1"/>
      <c r="BZ704" s="1"/>
      <c r="CA704" s="1"/>
      <c r="CB704" s="1"/>
      <c r="CC704" s="1"/>
      <c r="CD704" s="1"/>
      <c r="CE704" s="1"/>
      <c r="CF704" s="1"/>
      <c r="CG704" s="1"/>
      <c r="CH704" s="1"/>
      <c r="CI704" s="1"/>
      <c r="CJ704" s="1"/>
      <c r="CK704" s="1"/>
      <c r="CL704" s="1"/>
      <c r="CM704" s="1"/>
      <c r="CN704" s="1"/>
      <c r="CO704" s="1"/>
      <c r="CP704" s="1"/>
      <c r="CQ704" s="1"/>
      <c r="CR704" s="1"/>
      <c r="CS704" s="1"/>
      <c r="CT704" s="1"/>
      <c r="CU704" s="1"/>
      <c r="CV704" s="1"/>
      <c r="CW704" s="1"/>
      <c r="CX704" s="1"/>
      <c r="CY704" s="1"/>
      <c r="CZ704" s="1"/>
      <c r="DA704" s="1"/>
      <c r="DB704" s="1"/>
      <c r="DC704" s="1"/>
      <c r="DD704" s="1"/>
      <c r="DE704" s="1"/>
      <c r="DF704" s="1"/>
      <c r="DG704" s="1"/>
      <c r="DH704" s="1"/>
      <c r="DI704" s="1"/>
      <c r="DJ704" s="1"/>
      <c r="DK704" s="1"/>
      <c r="DL704" s="1"/>
      <c r="DM704" s="1"/>
      <c r="DN704" s="1"/>
      <c r="DO704" s="1"/>
      <c r="DP704" s="1"/>
      <c r="DQ704" s="1"/>
      <c r="DR704" s="1"/>
      <c r="DS704" s="1"/>
      <c r="DT704" s="1"/>
      <c r="DU704" s="1"/>
      <c r="DV704" s="1"/>
      <c r="DW704" s="1"/>
      <c r="DX704" s="1"/>
      <c r="DY704" s="1"/>
      <c r="DZ704" s="1"/>
      <c r="EA704" s="1"/>
      <c r="EB704" s="1"/>
      <c r="EC704" s="1"/>
      <c r="ED704" s="1"/>
      <c r="EE704" s="1"/>
      <c r="EF704" s="1"/>
      <c r="EG704" s="1"/>
      <c r="EH704" s="1"/>
      <c r="EI704" s="1"/>
      <c r="EJ704" s="1"/>
      <c r="EK704" s="1"/>
      <c r="EL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c r="BR705" s="1"/>
      <c r="BS705" s="1"/>
      <c r="BT705" s="1"/>
      <c r="BU705" s="1"/>
      <c r="BV705" s="1"/>
      <c r="BW705" s="1"/>
      <c r="BX705" s="1"/>
      <c r="BY705" s="1"/>
      <c r="BZ705" s="1"/>
      <c r="CA705" s="1"/>
      <c r="CB705" s="1"/>
      <c r="CC705" s="1"/>
      <c r="CD705" s="1"/>
      <c r="CE705" s="1"/>
      <c r="CF705" s="1"/>
      <c r="CG705" s="1"/>
      <c r="CH705" s="1"/>
      <c r="CI705" s="1"/>
      <c r="CJ705" s="1"/>
      <c r="CK705" s="1"/>
      <c r="CL705" s="1"/>
      <c r="CM705" s="1"/>
      <c r="CN705" s="1"/>
      <c r="CO705" s="1"/>
      <c r="CP705" s="1"/>
      <c r="CQ705" s="1"/>
      <c r="CR705" s="1"/>
      <c r="CS705" s="1"/>
      <c r="CT705" s="1"/>
      <c r="CU705" s="1"/>
      <c r="CV705" s="1"/>
      <c r="CW705" s="1"/>
      <c r="CX705" s="1"/>
      <c r="CY705" s="1"/>
      <c r="CZ705" s="1"/>
      <c r="DA705" s="1"/>
      <c r="DB705" s="1"/>
      <c r="DC705" s="1"/>
      <c r="DD705" s="1"/>
      <c r="DE705" s="1"/>
      <c r="DF705" s="1"/>
      <c r="DG705" s="1"/>
      <c r="DH705" s="1"/>
      <c r="DI705" s="1"/>
      <c r="DJ705" s="1"/>
      <c r="DK705" s="1"/>
      <c r="DL705" s="1"/>
      <c r="DM705" s="1"/>
      <c r="DN705" s="1"/>
      <c r="DO705" s="1"/>
      <c r="DP705" s="1"/>
      <c r="DQ705" s="1"/>
      <c r="DR705" s="1"/>
      <c r="DS705" s="1"/>
      <c r="DT705" s="1"/>
      <c r="DU705" s="1"/>
      <c r="DV705" s="1"/>
      <c r="DW705" s="1"/>
      <c r="DX705" s="1"/>
      <c r="DY705" s="1"/>
      <c r="DZ705" s="1"/>
      <c r="EA705" s="1"/>
      <c r="EB705" s="1"/>
      <c r="EC705" s="1"/>
      <c r="ED705" s="1"/>
      <c r="EE705" s="1"/>
      <c r="EF705" s="1"/>
      <c r="EG705" s="1"/>
      <c r="EH705" s="1"/>
      <c r="EI705" s="1"/>
      <c r="EJ705" s="1"/>
      <c r="EK705" s="1"/>
      <c r="EL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c r="BR706" s="1"/>
      <c r="BS706" s="1"/>
      <c r="BT706" s="1"/>
      <c r="BU706" s="1"/>
      <c r="BV706" s="1"/>
      <c r="BW706" s="1"/>
      <c r="BX706" s="1"/>
      <c r="BY706" s="1"/>
      <c r="BZ706" s="1"/>
      <c r="CA706" s="1"/>
      <c r="CB706" s="1"/>
      <c r="CC706" s="1"/>
      <c r="CD706" s="1"/>
      <c r="CE706" s="1"/>
      <c r="CF706" s="1"/>
      <c r="CG706" s="1"/>
      <c r="CH706" s="1"/>
      <c r="CI706" s="1"/>
      <c r="CJ706" s="1"/>
      <c r="CK706" s="1"/>
      <c r="CL706" s="1"/>
      <c r="CM706" s="1"/>
      <c r="CN706" s="1"/>
      <c r="CO706" s="1"/>
      <c r="CP706" s="1"/>
      <c r="CQ706" s="1"/>
      <c r="CR706" s="1"/>
      <c r="CS706" s="1"/>
      <c r="CT706" s="1"/>
      <c r="CU706" s="1"/>
      <c r="CV706" s="1"/>
      <c r="CW706" s="1"/>
      <c r="CX706" s="1"/>
      <c r="CY706" s="1"/>
      <c r="CZ706" s="1"/>
      <c r="DA706" s="1"/>
      <c r="DB706" s="1"/>
      <c r="DC706" s="1"/>
      <c r="DD706" s="1"/>
      <c r="DE706" s="1"/>
      <c r="DF706" s="1"/>
      <c r="DG706" s="1"/>
      <c r="DH706" s="1"/>
      <c r="DI706" s="1"/>
      <c r="DJ706" s="1"/>
      <c r="DK706" s="1"/>
      <c r="DL706" s="1"/>
      <c r="DM706" s="1"/>
      <c r="DN706" s="1"/>
      <c r="DO706" s="1"/>
      <c r="DP706" s="1"/>
      <c r="DQ706" s="1"/>
      <c r="DR706" s="1"/>
      <c r="DS706" s="1"/>
      <c r="DT706" s="1"/>
      <c r="DU706" s="1"/>
      <c r="DV706" s="1"/>
      <c r="DW706" s="1"/>
      <c r="DX706" s="1"/>
      <c r="DY706" s="1"/>
      <c r="DZ706" s="1"/>
      <c r="EA706" s="1"/>
      <c r="EB706" s="1"/>
      <c r="EC706" s="1"/>
      <c r="ED706" s="1"/>
      <c r="EE706" s="1"/>
      <c r="EF706" s="1"/>
      <c r="EG706" s="1"/>
      <c r="EH706" s="1"/>
      <c r="EI706" s="1"/>
      <c r="EJ706" s="1"/>
      <c r="EK706" s="1"/>
      <c r="EL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c r="BR707" s="1"/>
      <c r="BS707" s="1"/>
      <c r="BT707" s="1"/>
      <c r="BU707" s="1"/>
      <c r="BV707" s="1"/>
      <c r="BW707" s="1"/>
      <c r="BX707" s="1"/>
      <c r="BY707" s="1"/>
      <c r="BZ707" s="1"/>
      <c r="CA707" s="1"/>
      <c r="CB707" s="1"/>
      <c r="CC707" s="1"/>
      <c r="CD707" s="1"/>
      <c r="CE707" s="1"/>
      <c r="CF707" s="1"/>
      <c r="CG707" s="1"/>
      <c r="CH707" s="1"/>
      <c r="CI707" s="1"/>
      <c r="CJ707" s="1"/>
      <c r="CK707" s="1"/>
      <c r="CL707" s="1"/>
      <c r="CM707" s="1"/>
      <c r="CN707" s="1"/>
      <c r="CO707" s="1"/>
      <c r="CP707" s="1"/>
      <c r="CQ707" s="1"/>
      <c r="CR707" s="1"/>
      <c r="CS707" s="1"/>
      <c r="CT707" s="1"/>
      <c r="CU707" s="1"/>
      <c r="CV707" s="1"/>
      <c r="CW707" s="1"/>
      <c r="CX707" s="1"/>
      <c r="CY707" s="1"/>
      <c r="CZ707" s="1"/>
      <c r="DA707" s="1"/>
      <c r="DB707" s="1"/>
      <c r="DC707" s="1"/>
      <c r="DD707" s="1"/>
      <c r="DE707" s="1"/>
      <c r="DF707" s="1"/>
      <c r="DG707" s="1"/>
      <c r="DH707" s="1"/>
      <c r="DI707" s="1"/>
      <c r="DJ707" s="1"/>
      <c r="DK707" s="1"/>
      <c r="DL707" s="1"/>
      <c r="DM707" s="1"/>
      <c r="DN707" s="1"/>
      <c r="DO707" s="1"/>
      <c r="DP707" s="1"/>
      <c r="DQ707" s="1"/>
      <c r="DR707" s="1"/>
      <c r="DS707" s="1"/>
      <c r="DT707" s="1"/>
      <c r="DU707" s="1"/>
      <c r="DV707" s="1"/>
      <c r="DW707" s="1"/>
      <c r="DX707" s="1"/>
      <c r="DY707" s="1"/>
      <c r="DZ707" s="1"/>
      <c r="EA707" s="1"/>
      <c r="EB707" s="1"/>
      <c r="EC707" s="1"/>
      <c r="ED707" s="1"/>
      <c r="EE707" s="1"/>
      <c r="EF707" s="1"/>
      <c r="EG707" s="1"/>
      <c r="EH707" s="1"/>
      <c r="EI707" s="1"/>
      <c r="EJ707" s="1"/>
      <c r="EK707" s="1"/>
      <c r="EL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c r="BR708" s="1"/>
      <c r="BS708" s="1"/>
      <c r="BT708" s="1"/>
      <c r="BU708" s="1"/>
      <c r="BV708" s="1"/>
      <c r="BW708" s="1"/>
      <c r="BX708" s="1"/>
      <c r="BY708" s="1"/>
      <c r="BZ708" s="1"/>
      <c r="CA708" s="1"/>
      <c r="CB708" s="1"/>
      <c r="CC708" s="1"/>
      <c r="CD708" s="1"/>
      <c r="CE708" s="1"/>
      <c r="CF708" s="1"/>
      <c r="CG708" s="1"/>
      <c r="CH708" s="1"/>
      <c r="CI708" s="1"/>
      <c r="CJ708" s="1"/>
      <c r="CK708" s="1"/>
      <c r="CL708" s="1"/>
      <c r="CM708" s="1"/>
      <c r="CN708" s="1"/>
      <c r="CO708" s="1"/>
      <c r="CP708" s="1"/>
      <c r="CQ708" s="1"/>
      <c r="CR708" s="1"/>
      <c r="CS708" s="1"/>
      <c r="CT708" s="1"/>
      <c r="CU708" s="1"/>
      <c r="CV708" s="1"/>
      <c r="CW708" s="1"/>
      <c r="CX708" s="1"/>
      <c r="CY708" s="1"/>
      <c r="CZ708" s="1"/>
      <c r="DA708" s="1"/>
      <c r="DB708" s="1"/>
      <c r="DC708" s="1"/>
      <c r="DD708" s="1"/>
      <c r="DE708" s="1"/>
      <c r="DF708" s="1"/>
      <c r="DG708" s="1"/>
      <c r="DH708" s="1"/>
      <c r="DI708" s="1"/>
      <c r="DJ708" s="1"/>
      <c r="DK708" s="1"/>
      <c r="DL708" s="1"/>
      <c r="DM708" s="1"/>
      <c r="DN708" s="1"/>
      <c r="DO708" s="1"/>
      <c r="DP708" s="1"/>
      <c r="DQ708" s="1"/>
      <c r="DR708" s="1"/>
      <c r="DS708" s="1"/>
      <c r="DT708" s="1"/>
      <c r="DU708" s="1"/>
      <c r="DV708" s="1"/>
      <c r="DW708" s="1"/>
      <c r="DX708" s="1"/>
      <c r="DY708" s="1"/>
      <c r="DZ708" s="1"/>
      <c r="EA708" s="1"/>
      <c r="EB708" s="1"/>
      <c r="EC708" s="1"/>
      <c r="ED708" s="1"/>
      <c r="EE708" s="1"/>
      <c r="EF708" s="1"/>
      <c r="EG708" s="1"/>
      <c r="EH708" s="1"/>
      <c r="EI708" s="1"/>
      <c r="EJ708" s="1"/>
      <c r="EK708" s="1"/>
      <c r="EL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c r="BR709" s="1"/>
      <c r="BS709" s="1"/>
      <c r="BT709" s="1"/>
      <c r="BU709" s="1"/>
      <c r="BV709" s="1"/>
      <c r="BW709" s="1"/>
      <c r="BX709" s="1"/>
      <c r="BY709" s="1"/>
      <c r="BZ709" s="1"/>
      <c r="CA709" s="1"/>
      <c r="CB709" s="1"/>
      <c r="CC709" s="1"/>
      <c r="CD709" s="1"/>
      <c r="CE709" s="1"/>
      <c r="CF709" s="1"/>
      <c r="CG709" s="1"/>
      <c r="CH709" s="1"/>
      <c r="CI709" s="1"/>
      <c r="CJ709" s="1"/>
      <c r="CK709" s="1"/>
      <c r="CL709" s="1"/>
      <c r="CM709" s="1"/>
      <c r="CN709" s="1"/>
      <c r="CO709" s="1"/>
      <c r="CP709" s="1"/>
      <c r="CQ709" s="1"/>
      <c r="CR709" s="1"/>
      <c r="CS709" s="1"/>
      <c r="CT709" s="1"/>
      <c r="CU709" s="1"/>
      <c r="CV709" s="1"/>
      <c r="CW709" s="1"/>
      <c r="CX709" s="1"/>
      <c r="CY709" s="1"/>
      <c r="CZ709" s="1"/>
      <c r="DA709" s="1"/>
      <c r="DB709" s="1"/>
      <c r="DC709" s="1"/>
      <c r="DD709" s="1"/>
      <c r="DE709" s="1"/>
      <c r="DF709" s="1"/>
      <c r="DG709" s="1"/>
      <c r="DH709" s="1"/>
      <c r="DI709" s="1"/>
      <c r="DJ709" s="1"/>
      <c r="DK709" s="1"/>
      <c r="DL709" s="1"/>
      <c r="DM709" s="1"/>
      <c r="DN709" s="1"/>
      <c r="DO709" s="1"/>
      <c r="DP709" s="1"/>
      <c r="DQ709" s="1"/>
      <c r="DR709" s="1"/>
      <c r="DS709" s="1"/>
      <c r="DT709" s="1"/>
      <c r="DU709" s="1"/>
      <c r="DV709" s="1"/>
      <c r="DW709" s="1"/>
      <c r="DX709" s="1"/>
      <c r="DY709" s="1"/>
      <c r="DZ709" s="1"/>
      <c r="EA709" s="1"/>
      <c r="EB709" s="1"/>
      <c r="EC709" s="1"/>
      <c r="ED709" s="1"/>
      <c r="EE709" s="1"/>
      <c r="EF709" s="1"/>
      <c r="EG709" s="1"/>
      <c r="EH709" s="1"/>
      <c r="EI709" s="1"/>
      <c r="EJ709" s="1"/>
      <c r="EK709" s="1"/>
      <c r="EL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c r="BR710" s="1"/>
      <c r="BS710" s="1"/>
      <c r="BT710" s="1"/>
      <c r="BU710" s="1"/>
      <c r="BV710" s="1"/>
      <c r="BW710" s="1"/>
      <c r="BX710" s="1"/>
      <c r="BY710" s="1"/>
      <c r="BZ710" s="1"/>
      <c r="CA710" s="1"/>
      <c r="CB710" s="1"/>
      <c r="CC710" s="1"/>
      <c r="CD710" s="1"/>
      <c r="CE710" s="1"/>
      <c r="CF710" s="1"/>
      <c r="CG710" s="1"/>
      <c r="CH710" s="1"/>
      <c r="CI710" s="1"/>
      <c r="CJ710" s="1"/>
      <c r="CK710" s="1"/>
      <c r="CL710" s="1"/>
      <c r="CM710" s="1"/>
      <c r="CN710" s="1"/>
      <c r="CO710" s="1"/>
      <c r="CP710" s="1"/>
      <c r="CQ710" s="1"/>
      <c r="CR710" s="1"/>
      <c r="CS710" s="1"/>
      <c r="CT710" s="1"/>
      <c r="CU710" s="1"/>
      <c r="CV710" s="1"/>
      <c r="CW710" s="1"/>
      <c r="CX710" s="1"/>
      <c r="CY710" s="1"/>
      <c r="CZ710" s="1"/>
      <c r="DA710" s="1"/>
      <c r="DB710" s="1"/>
      <c r="DC710" s="1"/>
      <c r="DD710" s="1"/>
      <c r="DE710" s="1"/>
      <c r="DF710" s="1"/>
      <c r="DG710" s="1"/>
      <c r="DH710" s="1"/>
      <c r="DI710" s="1"/>
      <c r="DJ710" s="1"/>
      <c r="DK710" s="1"/>
      <c r="DL710" s="1"/>
      <c r="DM710" s="1"/>
      <c r="DN710" s="1"/>
      <c r="DO710" s="1"/>
      <c r="DP710" s="1"/>
      <c r="DQ710" s="1"/>
      <c r="DR710" s="1"/>
      <c r="DS710" s="1"/>
      <c r="DT710" s="1"/>
      <c r="DU710" s="1"/>
      <c r="DV710" s="1"/>
      <c r="DW710" s="1"/>
      <c r="DX710" s="1"/>
      <c r="DY710" s="1"/>
      <c r="DZ710" s="1"/>
      <c r="EA710" s="1"/>
      <c r="EB710" s="1"/>
      <c r="EC710" s="1"/>
      <c r="ED710" s="1"/>
      <c r="EE710" s="1"/>
      <c r="EF710" s="1"/>
      <c r="EG710" s="1"/>
      <c r="EH710" s="1"/>
      <c r="EI710" s="1"/>
      <c r="EJ710" s="1"/>
      <c r="EK710" s="1"/>
      <c r="EL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c r="BR711" s="1"/>
      <c r="BS711" s="1"/>
      <c r="BT711" s="1"/>
      <c r="BU711" s="1"/>
      <c r="BV711" s="1"/>
      <c r="BW711" s="1"/>
      <c r="BX711" s="1"/>
      <c r="BY711" s="1"/>
      <c r="BZ711" s="1"/>
      <c r="CA711" s="1"/>
      <c r="CB711" s="1"/>
      <c r="CC711" s="1"/>
      <c r="CD711" s="1"/>
      <c r="CE711" s="1"/>
      <c r="CF711" s="1"/>
      <c r="CG711" s="1"/>
      <c r="CH711" s="1"/>
      <c r="CI711" s="1"/>
      <c r="CJ711" s="1"/>
      <c r="CK711" s="1"/>
      <c r="CL711" s="1"/>
      <c r="CM711" s="1"/>
      <c r="CN711" s="1"/>
      <c r="CO711" s="1"/>
      <c r="CP711" s="1"/>
      <c r="CQ711" s="1"/>
      <c r="CR711" s="1"/>
      <c r="CS711" s="1"/>
      <c r="CT711" s="1"/>
      <c r="CU711" s="1"/>
      <c r="CV711" s="1"/>
      <c r="CW711" s="1"/>
      <c r="CX711" s="1"/>
      <c r="CY711" s="1"/>
      <c r="CZ711" s="1"/>
      <c r="DA711" s="1"/>
      <c r="DB711" s="1"/>
      <c r="DC711" s="1"/>
      <c r="DD711" s="1"/>
      <c r="DE711" s="1"/>
      <c r="DF711" s="1"/>
      <c r="DG711" s="1"/>
      <c r="DH711" s="1"/>
      <c r="DI711" s="1"/>
      <c r="DJ711" s="1"/>
      <c r="DK711" s="1"/>
      <c r="DL711" s="1"/>
      <c r="DM711" s="1"/>
      <c r="DN711" s="1"/>
      <c r="DO711" s="1"/>
      <c r="DP711" s="1"/>
      <c r="DQ711" s="1"/>
      <c r="DR711" s="1"/>
      <c r="DS711" s="1"/>
      <c r="DT711" s="1"/>
      <c r="DU711" s="1"/>
      <c r="DV711" s="1"/>
      <c r="DW711" s="1"/>
      <c r="DX711" s="1"/>
      <c r="DY711" s="1"/>
      <c r="DZ711" s="1"/>
      <c r="EA711" s="1"/>
      <c r="EB711" s="1"/>
      <c r="EC711" s="1"/>
      <c r="ED711" s="1"/>
      <c r="EE711" s="1"/>
      <c r="EF711" s="1"/>
      <c r="EG711" s="1"/>
      <c r="EH711" s="1"/>
      <c r="EI711" s="1"/>
      <c r="EJ711" s="1"/>
      <c r="EK711" s="1"/>
      <c r="EL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c r="BR712" s="1"/>
      <c r="BS712" s="1"/>
      <c r="BT712" s="1"/>
      <c r="BU712" s="1"/>
      <c r="BV712" s="1"/>
      <c r="BW712" s="1"/>
      <c r="BX712" s="1"/>
      <c r="BY712" s="1"/>
      <c r="BZ712" s="1"/>
      <c r="CA712" s="1"/>
      <c r="CB712" s="1"/>
      <c r="CC712" s="1"/>
      <c r="CD712" s="1"/>
      <c r="CE712" s="1"/>
      <c r="CF712" s="1"/>
      <c r="CG712" s="1"/>
      <c r="CH712" s="1"/>
      <c r="CI712" s="1"/>
      <c r="CJ712" s="1"/>
      <c r="CK712" s="1"/>
      <c r="CL712" s="1"/>
      <c r="CM712" s="1"/>
      <c r="CN712" s="1"/>
      <c r="CO712" s="1"/>
      <c r="CP712" s="1"/>
      <c r="CQ712" s="1"/>
      <c r="CR712" s="1"/>
      <c r="CS712" s="1"/>
      <c r="CT712" s="1"/>
      <c r="CU712" s="1"/>
      <c r="CV712" s="1"/>
      <c r="CW712" s="1"/>
      <c r="CX712" s="1"/>
      <c r="CY712" s="1"/>
      <c r="CZ712" s="1"/>
      <c r="DA712" s="1"/>
      <c r="DB712" s="1"/>
      <c r="DC712" s="1"/>
      <c r="DD712" s="1"/>
      <c r="DE712" s="1"/>
      <c r="DF712" s="1"/>
      <c r="DG712" s="1"/>
      <c r="DH712" s="1"/>
      <c r="DI712" s="1"/>
      <c r="DJ712" s="1"/>
      <c r="DK712" s="1"/>
      <c r="DL712" s="1"/>
      <c r="DM712" s="1"/>
      <c r="DN712" s="1"/>
      <c r="DO712" s="1"/>
      <c r="DP712" s="1"/>
      <c r="DQ712" s="1"/>
      <c r="DR712" s="1"/>
      <c r="DS712" s="1"/>
      <c r="DT712" s="1"/>
      <c r="DU712" s="1"/>
      <c r="DV712" s="1"/>
      <c r="DW712" s="1"/>
      <c r="DX712" s="1"/>
      <c r="DY712" s="1"/>
      <c r="DZ712" s="1"/>
      <c r="EA712" s="1"/>
      <c r="EB712" s="1"/>
      <c r="EC712" s="1"/>
      <c r="ED712" s="1"/>
      <c r="EE712" s="1"/>
      <c r="EF712" s="1"/>
      <c r="EG712" s="1"/>
      <c r="EH712" s="1"/>
      <c r="EI712" s="1"/>
      <c r="EJ712" s="1"/>
      <c r="EK712" s="1"/>
      <c r="EL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c r="BR713" s="1"/>
      <c r="BS713" s="1"/>
      <c r="BT713" s="1"/>
      <c r="BU713" s="1"/>
      <c r="BV713" s="1"/>
      <c r="BW713" s="1"/>
      <c r="BX713" s="1"/>
      <c r="BY713" s="1"/>
      <c r="BZ713" s="1"/>
      <c r="CA713" s="1"/>
      <c r="CB713" s="1"/>
      <c r="CC713" s="1"/>
      <c r="CD713" s="1"/>
      <c r="CE713" s="1"/>
      <c r="CF713" s="1"/>
      <c r="CG713" s="1"/>
      <c r="CH713" s="1"/>
      <c r="CI713" s="1"/>
      <c r="CJ713" s="1"/>
      <c r="CK713" s="1"/>
      <c r="CL713" s="1"/>
      <c r="CM713" s="1"/>
      <c r="CN713" s="1"/>
      <c r="CO713" s="1"/>
      <c r="CP713" s="1"/>
      <c r="CQ713" s="1"/>
      <c r="CR713" s="1"/>
      <c r="CS713" s="1"/>
      <c r="CT713" s="1"/>
      <c r="CU713" s="1"/>
      <c r="CV713" s="1"/>
      <c r="CW713" s="1"/>
      <c r="CX713" s="1"/>
      <c r="CY713" s="1"/>
      <c r="CZ713" s="1"/>
      <c r="DA713" s="1"/>
      <c r="DB713" s="1"/>
      <c r="DC713" s="1"/>
      <c r="DD713" s="1"/>
      <c r="DE713" s="1"/>
      <c r="DF713" s="1"/>
      <c r="DG713" s="1"/>
      <c r="DH713" s="1"/>
      <c r="DI713" s="1"/>
      <c r="DJ713" s="1"/>
      <c r="DK713" s="1"/>
      <c r="DL713" s="1"/>
      <c r="DM713" s="1"/>
      <c r="DN713" s="1"/>
      <c r="DO713" s="1"/>
      <c r="DP713" s="1"/>
      <c r="DQ713" s="1"/>
      <c r="DR713" s="1"/>
      <c r="DS713" s="1"/>
      <c r="DT713" s="1"/>
      <c r="DU713" s="1"/>
      <c r="DV713" s="1"/>
      <c r="DW713" s="1"/>
      <c r="DX713" s="1"/>
      <c r="DY713" s="1"/>
      <c r="DZ713" s="1"/>
      <c r="EA713" s="1"/>
      <c r="EB713" s="1"/>
      <c r="EC713" s="1"/>
      <c r="ED713" s="1"/>
      <c r="EE713" s="1"/>
      <c r="EF713" s="1"/>
      <c r="EG713" s="1"/>
      <c r="EH713" s="1"/>
      <c r="EI713" s="1"/>
      <c r="EJ713" s="1"/>
      <c r="EK713" s="1"/>
      <c r="EL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c r="BR714" s="1"/>
      <c r="BS714" s="1"/>
      <c r="BT714" s="1"/>
      <c r="BU714" s="1"/>
      <c r="BV714" s="1"/>
      <c r="BW714" s="1"/>
      <c r="BX714" s="1"/>
      <c r="BY714" s="1"/>
      <c r="BZ714" s="1"/>
      <c r="CA714" s="1"/>
      <c r="CB714" s="1"/>
      <c r="CC714" s="1"/>
      <c r="CD714" s="1"/>
      <c r="CE714" s="1"/>
      <c r="CF714" s="1"/>
      <c r="CG714" s="1"/>
      <c r="CH714" s="1"/>
      <c r="CI714" s="1"/>
      <c r="CJ714" s="1"/>
      <c r="CK714" s="1"/>
      <c r="CL714" s="1"/>
      <c r="CM714" s="1"/>
      <c r="CN714" s="1"/>
      <c r="CO714" s="1"/>
      <c r="CP714" s="1"/>
      <c r="CQ714" s="1"/>
      <c r="CR714" s="1"/>
      <c r="CS714" s="1"/>
      <c r="CT714" s="1"/>
      <c r="CU714" s="1"/>
      <c r="CV714" s="1"/>
      <c r="CW714" s="1"/>
      <c r="CX714" s="1"/>
      <c r="CY714" s="1"/>
      <c r="CZ714" s="1"/>
      <c r="DA714" s="1"/>
      <c r="DB714" s="1"/>
      <c r="DC714" s="1"/>
      <c r="DD714" s="1"/>
      <c r="DE714" s="1"/>
      <c r="DF714" s="1"/>
      <c r="DG714" s="1"/>
      <c r="DH714" s="1"/>
      <c r="DI714" s="1"/>
      <c r="DJ714" s="1"/>
      <c r="DK714" s="1"/>
      <c r="DL714" s="1"/>
      <c r="DM714" s="1"/>
      <c r="DN714" s="1"/>
      <c r="DO714" s="1"/>
      <c r="DP714" s="1"/>
      <c r="DQ714" s="1"/>
      <c r="DR714" s="1"/>
      <c r="DS714" s="1"/>
      <c r="DT714" s="1"/>
      <c r="DU714" s="1"/>
      <c r="DV714" s="1"/>
      <c r="DW714" s="1"/>
      <c r="DX714" s="1"/>
      <c r="DY714" s="1"/>
      <c r="DZ714" s="1"/>
      <c r="EA714" s="1"/>
      <c r="EB714" s="1"/>
      <c r="EC714" s="1"/>
      <c r="ED714" s="1"/>
      <c r="EE714" s="1"/>
      <c r="EF714" s="1"/>
      <c r="EG714" s="1"/>
      <c r="EH714" s="1"/>
      <c r="EI714" s="1"/>
      <c r="EJ714" s="1"/>
      <c r="EK714" s="1"/>
      <c r="EL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c r="BR715" s="1"/>
      <c r="BS715" s="1"/>
      <c r="BT715" s="1"/>
      <c r="BU715" s="1"/>
      <c r="BV715" s="1"/>
      <c r="BW715" s="1"/>
      <c r="BX715" s="1"/>
      <c r="BY715" s="1"/>
      <c r="BZ715" s="1"/>
      <c r="CA715" s="1"/>
      <c r="CB715" s="1"/>
      <c r="CC715" s="1"/>
      <c r="CD715" s="1"/>
      <c r="CE715" s="1"/>
      <c r="CF715" s="1"/>
      <c r="CG715" s="1"/>
      <c r="CH715" s="1"/>
      <c r="CI715" s="1"/>
      <c r="CJ715" s="1"/>
      <c r="CK715" s="1"/>
      <c r="CL715" s="1"/>
      <c r="CM715" s="1"/>
      <c r="CN715" s="1"/>
      <c r="CO715" s="1"/>
      <c r="CP715" s="1"/>
      <c r="CQ715" s="1"/>
      <c r="CR715" s="1"/>
      <c r="CS715" s="1"/>
      <c r="CT715" s="1"/>
      <c r="CU715" s="1"/>
      <c r="CV715" s="1"/>
      <c r="CW715" s="1"/>
      <c r="CX715" s="1"/>
      <c r="CY715" s="1"/>
      <c r="CZ715" s="1"/>
      <c r="DA715" s="1"/>
      <c r="DB715" s="1"/>
      <c r="DC715" s="1"/>
      <c r="DD715" s="1"/>
      <c r="DE715" s="1"/>
      <c r="DF715" s="1"/>
      <c r="DG715" s="1"/>
      <c r="DH715" s="1"/>
      <c r="DI715" s="1"/>
      <c r="DJ715" s="1"/>
      <c r="DK715" s="1"/>
      <c r="DL715" s="1"/>
      <c r="DM715" s="1"/>
      <c r="DN715" s="1"/>
      <c r="DO715" s="1"/>
      <c r="DP715" s="1"/>
      <c r="DQ715" s="1"/>
      <c r="DR715" s="1"/>
      <c r="DS715" s="1"/>
      <c r="DT715" s="1"/>
      <c r="DU715" s="1"/>
      <c r="DV715" s="1"/>
      <c r="DW715" s="1"/>
      <c r="DX715" s="1"/>
      <c r="DY715" s="1"/>
      <c r="DZ715" s="1"/>
      <c r="EA715" s="1"/>
      <c r="EB715" s="1"/>
      <c r="EC715" s="1"/>
      <c r="ED715" s="1"/>
      <c r="EE715" s="1"/>
      <c r="EF715" s="1"/>
      <c r="EG715" s="1"/>
      <c r="EH715" s="1"/>
      <c r="EI715" s="1"/>
      <c r="EJ715" s="1"/>
      <c r="EK715" s="1"/>
      <c r="EL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c r="BR716" s="1"/>
      <c r="BS716" s="1"/>
      <c r="BT716" s="1"/>
      <c r="BU716" s="1"/>
      <c r="BV716" s="1"/>
      <c r="BW716" s="1"/>
      <c r="BX716" s="1"/>
      <c r="BY716" s="1"/>
      <c r="BZ716" s="1"/>
      <c r="CA716" s="1"/>
      <c r="CB716" s="1"/>
      <c r="CC716" s="1"/>
      <c r="CD716" s="1"/>
      <c r="CE716" s="1"/>
      <c r="CF716" s="1"/>
      <c r="CG716" s="1"/>
      <c r="CH716" s="1"/>
      <c r="CI716" s="1"/>
      <c r="CJ716" s="1"/>
      <c r="CK716" s="1"/>
      <c r="CL716" s="1"/>
      <c r="CM716" s="1"/>
      <c r="CN716" s="1"/>
      <c r="CO716" s="1"/>
      <c r="CP716" s="1"/>
      <c r="CQ716" s="1"/>
      <c r="CR716" s="1"/>
      <c r="CS716" s="1"/>
      <c r="CT716" s="1"/>
      <c r="CU716" s="1"/>
      <c r="CV716" s="1"/>
      <c r="CW716" s="1"/>
      <c r="CX716" s="1"/>
      <c r="CY716" s="1"/>
      <c r="CZ716" s="1"/>
      <c r="DA716" s="1"/>
      <c r="DB716" s="1"/>
      <c r="DC716" s="1"/>
      <c r="DD716" s="1"/>
      <c r="DE716" s="1"/>
      <c r="DF716" s="1"/>
      <c r="DG716" s="1"/>
      <c r="DH716" s="1"/>
      <c r="DI716" s="1"/>
      <c r="DJ716" s="1"/>
      <c r="DK716" s="1"/>
      <c r="DL716" s="1"/>
      <c r="DM716" s="1"/>
      <c r="DN716" s="1"/>
      <c r="DO716" s="1"/>
      <c r="DP716" s="1"/>
      <c r="DQ716" s="1"/>
      <c r="DR716" s="1"/>
      <c r="DS716" s="1"/>
      <c r="DT716" s="1"/>
      <c r="DU716" s="1"/>
      <c r="DV716" s="1"/>
      <c r="DW716" s="1"/>
      <c r="DX716" s="1"/>
      <c r="DY716" s="1"/>
      <c r="DZ716" s="1"/>
      <c r="EA716" s="1"/>
      <c r="EB716" s="1"/>
      <c r="EC716" s="1"/>
      <c r="ED716" s="1"/>
      <c r="EE716" s="1"/>
      <c r="EF716" s="1"/>
      <c r="EG716" s="1"/>
      <c r="EH716" s="1"/>
      <c r="EI716" s="1"/>
      <c r="EJ716" s="1"/>
      <c r="EK716" s="1"/>
      <c r="EL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c r="BR717" s="1"/>
      <c r="BS717" s="1"/>
      <c r="BT717" s="1"/>
      <c r="BU717" s="1"/>
      <c r="BV717" s="1"/>
      <c r="BW717" s="1"/>
      <c r="BX717" s="1"/>
      <c r="BY717" s="1"/>
      <c r="BZ717" s="1"/>
      <c r="CA717" s="1"/>
      <c r="CB717" s="1"/>
      <c r="CC717" s="1"/>
      <c r="CD717" s="1"/>
      <c r="CE717" s="1"/>
      <c r="CF717" s="1"/>
      <c r="CG717" s="1"/>
      <c r="CH717" s="1"/>
      <c r="CI717" s="1"/>
      <c r="CJ717" s="1"/>
      <c r="CK717" s="1"/>
      <c r="CL717" s="1"/>
      <c r="CM717" s="1"/>
      <c r="CN717" s="1"/>
      <c r="CO717" s="1"/>
      <c r="CP717" s="1"/>
      <c r="CQ717" s="1"/>
      <c r="CR717" s="1"/>
      <c r="CS717" s="1"/>
      <c r="CT717" s="1"/>
      <c r="CU717" s="1"/>
      <c r="CV717" s="1"/>
      <c r="CW717" s="1"/>
      <c r="CX717" s="1"/>
      <c r="CY717" s="1"/>
      <c r="CZ717" s="1"/>
      <c r="DA717" s="1"/>
      <c r="DB717" s="1"/>
      <c r="DC717" s="1"/>
      <c r="DD717" s="1"/>
      <c r="DE717" s="1"/>
      <c r="DF717" s="1"/>
      <c r="DG717" s="1"/>
      <c r="DH717" s="1"/>
      <c r="DI717" s="1"/>
      <c r="DJ717" s="1"/>
      <c r="DK717" s="1"/>
      <c r="DL717" s="1"/>
      <c r="DM717" s="1"/>
      <c r="DN717" s="1"/>
      <c r="DO717" s="1"/>
      <c r="DP717" s="1"/>
      <c r="DQ717" s="1"/>
      <c r="DR717" s="1"/>
      <c r="DS717" s="1"/>
      <c r="DT717" s="1"/>
      <c r="DU717" s="1"/>
      <c r="DV717" s="1"/>
      <c r="DW717" s="1"/>
      <c r="DX717" s="1"/>
      <c r="DY717" s="1"/>
      <c r="DZ717" s="1"/>
      <c r="EA717" s="1"/>
      <c r="EB717" s="1"/>
      <c r="EC717" s="1"/>
      <c r="ED717" s="1"/>
      <c r="EE717" s="1"/>
      <c r="EF717" s="1"/>
      <c r="EG717" s="1"/>
      <c r="EH717" s="1"/>
      <c r="EI717" s="1"/>
      <c r="EJ717" s="1"/>
      <c r="EK717" s="1"/>
      <c r="EL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c r="BR718" s="1"/>
      <c r="BS718" s="1"/>
      <c r="BT718" s="1"/>
      <c r="BU718" s="1"/>
      <c r="BV718" s="1"/>
      <c r="BW718" s="1"/>
      <c r="BX718" s="1"/>
      <c r="BY718" s="1"/>
      <c r="BZ718" s="1"/>
      <c r="CA718" s="1"/>
      <c r="CB718" s="1"/>
      <c r="CC718" s="1"/>
      <c r="CD718" s="1"/>
      <c r="CE718" s="1"/>
      <c r="CF718" s="1"/>
      <c r="CG718" s="1"/>
      <c r="CH718" s="1"/>
      <c r="CI718" s="1"/>
      <c r="CJ718" s="1"/>
      <c r="CK718" s="1"/>
      <c r="CL718" s="1"/>
      <c r="CM718" s="1"/>
      <c r="CN718" s="1"/>
      <c r="CO718" s="1"/>
      <c r="CP718" s="1"/>
      <c r="CQ718" s="1"/>
      <c r="CR718" s="1"/>
      <c r="CS718" s="1"/>
      <c r="CT718" s="1"/>
      <c r="CU718" s="1"/>
      <c r="CV718" s="1"/>
      <c r="CW718" s="1"/>
      <c r="CX718" s="1"/>
      <c r="CY718" s="1"/>
      <c r="CZ718" s="1"/>
      <c r="DA718" s="1"/>
      <c r="DB718" s="1"/>
      <c r="DC718" s="1"/>
      <c r="DD718" s="1"/>
      <c r="DE718" s="1"/>
      <c r="DF718" s="1"/>
      <c r="DG718" s="1"/>
      <c r="DH718" s="1"/>
      <c r="DI718" s="1"/>
      <c r="DJ718" s="1"/>
      <c r="DK718" s="1"/>
      <c r="DL718" s="1"/>
      <c r="DM718" s="1"/>
      <c r="DN718" s="1"/>
      <c r="DO718" s="1"/>
      <c r="DP718" s="1"/>
      <c r="DQ718" s="1"/>
      <c r="DR718" s="1"/>
      <c r="DS718" s="1"/>
      <c r="DT718" s="1"/>
      <c r="DU718" s="1"/>
      <c r="DV718" s="1"/>
      <c r="DW718" s="1"/>
      <c r="DX718" s="1"/>
      <c r="DY718" s="1"/>
      <c r="DZ718" s="1"/>
      <c r="EA718" s="1"/>
      <c r="EB718" s="1"/>
      <c r="EC718" s="1"/>
      <c r="ED718" s="1"/>
      <c r="EE718" s="1"/>
      <c r="EF718" s="1"/>
      <c r="EG718" s="1"/>
      <c r="EH718" s="1"/>
      <c r="EI718" s="1"/>
      <c r="EJ718" s="1"/>
      <c r="EK718" s="1"/>
      <c r="EL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c r="BR719" s="1"/>
      <c r="BS719" s="1"/>
      <c r="BT719" s="1"/>
      <c r="BU719" s="1"/>
      <c r="BV719" s="1"/>
      <c r="BW719" s="1"/>
      <c r="BX719" s="1"/>
      <c r="BY719" s="1"/>
      <c r="BZ719" s="1"/>
      <c r="CA719" s="1"/>
      <c r="CB719" s="1"/>
      <c r="CC719" s="1"/>
      <c r="CD719" s="1"/>
      <c r="CE719" s="1"/>
      <c r="CF719" s="1"/>
      <c r="CG719" s="1"/>
      <c r="CH719" s="1"/>
      <c r="CI719" s="1"/>
      <c r="CJ719" s="1"/>
      <c r="CK719" s="1"/>
      <c r="CL719" s="1"/>
      <c r="CM719" s="1"/>
      <c r="CN719" s="1"/>
      <c r="CO719" s="1"/>
      <c r="CP719" s="1"/>
      <c r="CQ719" s="1"/>
      <c r="CR719" s="1"/>
      <c r="CS719" s="1"/>
      <c r="CT719" s="1"/>
      <c r="CU719" s="1"/>
      <c r="CV719" s="1"/>
      <c r="CW719" s="1"/>
      <c r="CX719" s="1"/>
      <c r="CY719" s="1"/>
      <c r="CZ719" s="1"/>
      <c r="DA719" s="1"/>
      <c r="DB719" s="1"/>
      <c r="DC719" s="1"/>
      <c r="DD719" s="1"/>
      <c r="DE719" s="1"/>
      <c r="DF719" s="1"/>
      <c r="DG719" s="1"/>
      <c r="DH719" s="1"/>
      <c r="DI719" s="1"/>
      <c r="DJ719" s="1"/>
      <c r="DK719" s="1"/>
      <c r="DL719" s="1"/>
      <c r="DM719" s="1"/>
      <c r="DN719" s="1"/>
      <c r="DO719" s="1"/>
      <c r="DP719" s="1"/>
      <c r="DQ719" s="1"/>
      <c r="DR719" s="1"/>
      <c r="DS719" s="1"/>
      <c r="DT719" s="1"/>
      <c r="DU719" s="1"/>
      <c r="DV719" s="1"/>
      <c r="DW719" s="1"/>
      <c r="DX719" s="1"/>
      <c r="DY719" s="1"/>
      <c r="DZ719" s="1"/>
      <c r="EA719" s="1"/>
      <c r="EB719" s="1"/>
      <c r="EC719" s="1"/>
      <c r="ED719" s="1"/>
      <c r="EE719" s="1"/>
      <c r="EF719" s="1"/>
      <c r="EG719" s="1"/>
      <c r="EH719" s="1"/>
      <c r="EI719" s="1"/>
      <c r="EJ719" s="1"/>
      <c r="EK719" s="1"/>
      <c r="EL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c r="BR720" s="1"/>
      <c r="BS720" s="1"/>
      <c r="BT720" s="1"/>
      <c r="BU720" s="1"/>
      <c r="BV720" s="1"/>
      <c r="BW720" s="1"/>
      <c r="BX720" s="1"/>
      <c r="BY720" s="1"/>
      <c r="BZ720" s="1"/>
      <c r="CA720" s="1"/>
      <c r="CB720" s="1"/>
      <c r="CC720" s="1"/>
      <c r="CD720" s="1"/>
      <c r="CE720" s="1"/>
      <c r="CF720" s="1"/>
      <c r="CG720" s="1"/>
      <c r="CH720" s="1"/>
      <c r="CI720" s="1"/>
      <c r="CJ720" s="1"/>
      <c r="CK720" s="1"/>
      <c r="CL720" s="1"/>
      <c r="CM720" s="1"/>
      <c r="CN720" s="1"/>
      <c r="CO720" s="1"/>
      <c r="CP720" s="1"/>
      <c r="CQ720" s="1"/>
      <c r="CR720" s="1"/>
      <c r="CS720" s="1"/>
      <c r="CT720" s="1"/>
      <c r="CU720" s="1"/>
      <c r="CV720" s="1"/>
      <c r="CW720" s="1"/>
      <c r="CX720" s="1"/>
      <c r="CY720" s="1"/>
      <c r="CZ720" s="1"/>
      <c r="DA720" s="1"/>
      <c r="DB720" s="1"/>
      <c r="DC720" s="1"/>
      <c r="DD720" s="1"/>
      <c r="DE720" s="1"/>
      <c r="DF720" s="1"/>
      <c r="DG720" s="1"/>
      <c r="DH720" s="1"/>
      <c r="DI720" s="1"/>
      <c r="DJ720" s="1"/>
      <c r="DK720" s="1"/>
      <c r="DL720" s="1"/>
      <c r="DM720" s="1"/>
      <c r="DN720" s="1"/>
      <c r="DO720" s="1"/>
      <c r="DP720" s="1"/>
      <c r="DQ720" s="1"/>
      <c r="DR720" s="1"/>
      <c r="DS720" s="1"/>
      <c r="DT720" s="1"/>
      <c r="DU720" s="1"/>
      <c r="DV720" s="1"/>
      <c r="DW720" s="1"/>
      <c r="DX720" s="1"/>
      <c r="DY720" s="1"/>
      <c r="DZ720" s="1"/>
      <c r="EA720" s="1"/>
      <c r="EB720" s="1"/>
      <c r="EC720" s="1"/>
      <c r="ED720" s="1"/>
      <c r="EE720" s="1"/>
      <c r="EF720" s="1"/>
      <c r="EG720" s="1"/>
      <c r="EH720" s="1"/>
      <c r="EI720" s="1"/>
      <c r="EJ720" s="1"/>
      <c r="EK720" s="1"/>
      <c r="EL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c r="BR721" s="1"/>
      <c r="BS721" s="1"/>
      <c r="BT721" s="1"/>
      <c r="BU721" s="1"/>
      <c r="BV721" s="1"/>
      <c r="BW721" s="1"/>
      <c r="BX721" s="1"/>
      <c r="BY721" s="1"/>
      <c r="BZ721" s="1"/>
      <c r="CA721" s="1"/>
      <c r="CB721" s="1"/>
      <c r="CC721" s="1"/>
      <c r="CD721" s="1"/>
      <c r="CE721" s="1"/>
      <c r="CF721" s="1"/>
      <c r="CG721" s="1"/>
      <c r="CH721" s="1"/>
      <c r="CI721" s="1"/>
      <c r="CJ721" s="1"/>
      <c r="CK721" s="1"/>
      <c r="CL721" s="1"/>
      <c r="CM721" s="1"/>
      <c r="CN721" s="1"/>
      <c r="CO721" s="1"/>
      <c r="CP721" s="1"/>
      <c r="CQ721" s="1"/>
      <c r="CR721" s="1"/>
      <c r="CS721" s="1"/>
      <c r="CT721" s="1"/>
      <c r="CU721" s="1"/>
      <c r="CV721" s="1"/>
      <c r="CW721" s="1"/>
      <c r="CX721" s="1"/>
      <c r="CY721" s="1"/>
      <c r="CZ721" s="1"/>
      <c r="DA721" s="1"/>
      <c r="DB721" s="1"/>
      <c r="DC721" s="1"/>
      <c r="DD721" s="1"/>
      <c r="DE721" s="1"/>
      <c r="DF721" s="1"/>
      <c r="DG721" s="1"/>
      <c r="DH721" s="1"/>
      <c r="DI721" s="1"/>
      <c r="DJ721" s="1"/>
      <c r="DK721" s="1"/>
      <c r="DL721" s="1"/>
      <c r="DM721" s="1"/>
      <c r="DN721" s="1"/>
      <c r="DO721" s="1"/>
      <c r="DP721" s="1"/>
      <c r="DQ721" s="1"/>
      <c r="DR721" s="1"/>
      <c r="DS721" s="1"/>
      <c r="DT721" s="1"/>
      <c r="DU721" s="1"/>
      <c r="DV721" s="1"/>
      <c r="DW721" s="1"/>
      <c r="DX721" s="1"/>
      <c r="DY721" s="1"/>
      <c r="DZ721" s="1"/>
      <c r="EA721" s="1"/>
      <c r="EB721" s="1"/>
      <c r="EC721" s="1"/>
      <c r="ED721" s="1"/>
      <c r="EE721" s="1"/>
      <c r="EF721" s="1"/>
      <c r="EG721" s="1"/>
      <c r="EH721" s="1"/>
      <c r="EI721" s="1"/>
      <c r="EJ721" s="1"/>
      <c r="EK721" s="1"/>
      <c r="EL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c r="BR722" s="1"/>
      <c r="BS722" s="1"/>
      <c r="BT722" s="1"/>
      <c r="BU722" s="1"/>
      <c r="BV722" s="1"/>
      <c r="BW722" s="1"/>
      <c r="BX722" s="1"/>
      <c r="BY722" s="1"/>
      <c r="BZ722" s="1"/>
      <c r="CA722" s="1"/>
      <c r="CB722" s="1"/>
      <c r="CC722" s="1"/>
      <c r="CD722" s="1"/>
      <c r="CE722" s="1"/>
      <c r="CF722" s="1"/>
      <c r="CG722" s="1"/>
      <c r="CH722" s="1"/>
      <c r="CI722" s="1"/>
      <c r="CJ722" s="1"/>
      <c r="CK722" s="1"/>
      <c r="CL722" s="1"/>
      <c r="CM722" s="1"/>
      <c r="CN722" s="1"/>
      <c r="CO722" s="1"/>
      <c r="CP722" s="1"/>
      <c r="CQ722" s="1"/>
      <c r="CR722" s="1"/>
      <c r="CS722" s="1"/>
      <c r="CT722" s="1"/>
      <c r="CU722" s="1"/>
      <c r="CV722" s="1"/>
      <c r="CW722" s="1"/>
      <c r="CX722" s="1"/>
      <c r="CY722" s="1"/>
      <c r="CZ722" s="1"/>
      <c r="DA722" s="1"/>
      <c r="DB722" s="1"/>
      <c r="DC722" s="1"/>
      <c r="DD722" s="1"/>
      <c r="DE722" s="1"/>
      <c r="DF722" s="1"/>
      <c r="DG722" s="1"/>
      <c r="DH722" s="1"/>
      <c r="DI722" s="1"/>
      <c r="DJ722" s="1"/>
      <c r="DK722" s="1"/>
      <c r="DL722" s="1"/>
      <c r="DM722" s="1"/>
      <c r="DN722" s="1"/>
      <c r="DO722" s="1"/>
      <c r="DP722" s="1"/>
      <c r="DQ722" s="1"/>
      <c r="DR722" s="1"/>
      <c r="DS722" s="1"/>
      <c r="DT722" s="1"/>
      <c r="DU722" s="1"/>
      <c r="DV722" s="1"/>
      <c r="DW722" s="1"/>
      <c r="DX722" s="1"/>
      <c r="DY722" s="1"/>
      <c r="DZ722" s="1"/>
      <c r="EA722" s="1"/>
      <c r="EB722" s="1"/>
      <c r="EC722" s="1"/>
      <c r="ED722" s="1"/>
      <c r="EE722" s="1"/>
      <c r="EF722" s="1"/>
      <c r="EG722" s="1"/>
      <c r="EH722" s="1"/>
      <c r="EI722" s="1"/>
      <c r="EJ722" s="1"/>
      <c r="EK722" s="1"/>
      <c r="EL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c r="BR723" s="1"/>
      <c r="BS723" s="1"/>
      <c r="BT723" s="1"/>
      <c r="BU723" s="1"/>
      <c r="BV723" s="1"/>
      <c r="BW723" s="1"/>
      <c r="BX723" s="1"/>
      <c r="BY723" s="1"/>
      <c r="BZ723" s="1"/>
      <c r="CA723" s="1"/>
      <c r="CB723" s="1"/>
      <c r="CC723" s="1"/>
      <c r="CD723" s="1"/>
      <c r="CE723" s="1"/>
      <c r="CF723" s="1"/>
      <c r="CG723" s="1"/>
      <c r="CH723" s="1"/>
      <c r="CI723" s="1"/>
      <c r="CJ723" s="1"/>
      <c r="CK723" s="1"/>
      <c r="CL723" s="1"/>
      <c r="CM723" s="1"/>
      <c r="CN723" s="1"/>
      <c r="CO723" s="1"/>
      <c r="CP723" s="1"/>
      <c r="CQ723" s="1"/>
      <c r="CR723" s="1"/>
      <c r="CS723" s="1"/>
      <c r="CT723" s="1"/>
      <c r="CU723" s="1"/>
      <c r="CV723" s="1"/>
      <c r="CW723" s="1"/>
      <c r="CX723" s="1"/>
      <c r="CY723" s="1"/>
      <c r="CZ723" s="1"/>
      <c r="DA723" s="1"/>
      <c r="DB723" s="1"/>
      <c r="DC723" s="1"/>
      <c r="DD723" s="1"/>
      <c r="DE723" s="1"/>
      <c r="DF723" s="1"/>
      <c r="DG723" s="1"/>
      <c r="DH723" s="1"/>
      <c r="DI723" s="1"/>
      <c r="DJ723" s="1"/>
      <c r="DK723" s="1"/>
      <c r="DL723" s="1"/>
      <c r="DM723" s="1"/>
      <c r="DN723" s="1"/>
      <c r="DO723" s="1"/>
      <c r="DP723" s="1"/>
      <c r="DQ723" s="1"/>
      <c r="DR723" s="1"/>
      <c r="DS723" s="1"/>
      <c r="DT723" s="1"/>
      <c r="DU723" s="1"/>
      <c r="DV723" s="1"/>
      <c r="DW723" s="1"/>
      <c r="DX723" s="1"/>
      <c r="DY723" s="1"/>
      <c r="DZ723" s="1"/>
      <c r="EA723" s="1"/>
      <c r="EB723" s="1"/>
      <c r="EC723" s="1"/>
      <c r="ED723" s="1"/>
      <c r="EE723" s="1"/>
      <c r="EF723" s="1"/>
      <c r="EG723" s="1"/>
      <c r="EH723" s="1"/>
      <c r="EI723" s="1"/>
      <c r="EJ723" s="1"/>
      <c r="EK723" s="1"/>
      <c r="EL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c r="BR724" s="1"/>
      <c r="BS724" s="1"/>
      <c r="BT724" s="1"/>
      <c r="BU724" s="1"/>
      <c r="BV724" s="1"/>
      <c r="BW724" s="1"/>
      <c r="BX724" s="1"/>
      <c r="BY724" s="1"/>
      <c r="BZ724" s="1"/>
      <c r="CA724" s="1"/>
      <c r="CB724" s="1"/>
      <c r="CC724" s="1"/>
      <c r="CD724" s="1"/>
      <c r="CE724" s="1"/>
      <c r="CF724" s="1"/>
      <c r="CG724" s="1"/>
      <c r="CH724" s="1"/>
      <c r="CI724" s="1"/>
      <c r="CJ724" s="1"/>
      <c r="CK724" s="1"/>
      <c r="CL724" s="1"/>
      <c r="CM724" s="1"/>
      <c r="CN724" s="1"/>
      <c r="CO724" s="1"/>
      <c r="CP724" s="1"/>
      <c r="CQ724" s="1"/>
      <c r="CR724" s="1"/>
      <c r="CS724" s="1"/>
      <c r="CT724" s="1"/>
      <c r="CU724" s="1"/>
      <c r="CV724" s="1"/>
      <c r="CW724" s="1"/>
      <c r="CX724" s="1"/>
      <c r="CY724" s="1"/>
      <c r="CZ724" s="1"/>
      <c r="DA724" s="1"/>
      <c r="DB724" s="1"/>
      <c r="DC724" s="1"/>
      <c r="DD724" s="1"/>
      <c r="DE724" s="1"/>
      <c r="DF724" s="1"/>
      <c r="DG724" s="1"/>
      <c r="DH724" s="1"/>
      <c r="DI724" s="1"/>
      <c r="DJ724" s="1"/>
      <c r="DK724" s="1"/>
      <c r="DL724" s="1"/>
      <c r="DM724" s="1"/>
      <c r="DN724" s="1"/>
      <c r="DO724" s="1"/>
      <c r="DP724" s="1"/>
      <c r="DQ724" s="1"/>
      <c r="DR724" s="1"/>
      <c r="DS724" s="1"/>
      <c r="DT724" s="1"/>
      <c r="DU724" s="1"/>
      <c r="DV724" s="1"/>
      <c r="DW724" s="1"/>
      <c r="DX724" s="1"/>
      <c r="DY724" s="1"/>
      <c r="DZ724" s="1"/>
      <c r="EA724" s="1"/>
      <c r="EB724" s="1"/>
      <c r="EC724" s="1"/>
      <c r="ED724" s="1"/>
      <c r="EE724" s="1"/>
      <c r="EF724" s="1"/>
      <c r="EG724" s="1"/>
      <c r="EH724" s="1"/>
      <c r="EI724" s="1"/>
      <c r="EJ724" s="1"/>
      <c r="EK724" s="1"/>
      <c r="EL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c r="BR725" s="1"/>
      <c r="BS725" s="1"/>
      <c r="BT725" s="1"/>
      <c r="BU725" s="1"/>
      <c r="BV725" s="1"/>
      <c r="BW725" s="1"/>
      <c r="BX725" s="1"/>
      <c r="BY725" s="1"/>
      <c r="BZ725" s="1"/>
      <c r="CA725" s="1"/>
      <c r="CB725" s="1"/>
      <c r="CC725" s="1"/>
      <c r="CD725" s="1"/>
      <c r="CE725" s="1"/>
      <c r="CF725" s="1"/>
      <c r="CG725" s="1"/>
      <c r="CH725" s="1"/>
      <c r="CI725" s="1"/>
      <c r="CJ725" s="1"/>
      <c r="CK725" s="1"/>
      <c r="CL725" s="1"/>
      <c r="CM725" s="1"/>
      <c r="CN725" s="1"/>
      <c r="CO725" s="1"/>
      <c r="CP725" s="1"/>
      <c r="CQ725" s="1"/>
      <c r="CR725" s="1"/>
      <c r="CS725" s="1"/>
      <c r="CT725" s="1"/>
      <c r="CU725" s="1"/>
      <c r="CV725" s="1"/>
      <c r="CW725" s="1"/>
      <c r="CX725" s="1"/>
      <c r="CY725" s="1"/>
      <c r="CZ725" s="1"/>
      <c r="DA725" s="1"/>
      <c r="DB725" s="1"/>
      <c r="DC725" s="1"/>
      <c r="DD725" s="1"/>
      <c r="DE725" s="1"/>
      <c r="DF725" s="1"/>
      <c r="DG725" s="1"/>
      <c r="DH725" s="1"/>
      <c r="DI725" s="1"/>
      <c r="DJ725" s="1"/>
      <c r="DK725" s="1"/>
      <c r="DL725" s="1"/>
      <c r="DM725" s="1"/>
      <c r="DN725" s="1"/>
      <c r="DO725" s="1"/>
      <c r="DP725" s="1"/>
      <c r="DQ725" s="1"/>
      <c r="DR725" s="1"/>
      <c r="DS725" s="1"/>
      <c r="DT725" s="1"/>
      <c r="DU725" s="1"/>
      <c r="DV725" s="1"/>
      <c r="DW725" s="1"/>
      <c r="DX725" s="1"/>
      <c r="DY725" s="1"/>
      <c r="DZ725" s="1"/>
      <c r="EA725" s="1"/>
      <c r="EB725" s="1"/>
      <c r="EC725" s="1"/>
      <c r="ED725" s="1"/>
      <c r="EE725" s="1"/>
      <c r="EF725" s="1"/>
      <c r="EG725" s="1"/>
      <c r="EH725" s="1"/>
      <c r="EI725" s="1"/>
      <c r="EJ725" s="1"/>
      <c r="EK725" s="1"/>
      <c r="EL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c r="BR726" s="1"/>
      <c r="BS726" s="1"/>
      <c r="BT726" s="1"/>
      <c r="BU726" s="1"/>
      <c r="BV726" s="1"/>
      <c r="BW726" s="1"/>
      <c r="BX726" s="1"/>
      <c r="BY726" s="1"/>
      <c r="BZ726" s="1"/>
      <c r="CA726" s="1"/>
      <c r="CB726" s="1"/>
      <c r="CC726" s="1"/>
      <c r="CD726" s="1"/>
      <c r="CE726" s="1"/>
      <c r="CF726" s="1"/>
      <c r="CG726" s="1"/>
      <c r="CH726" s="1"/>
      <c r="CI726" s="1"/>
      <c r="CJ726" s="1"/>
      <c r="CK726" s="1"/>
      <c r="CL726" s="1"/>
      <c r="CM726" s="1"/>
      <c r="CN726" s="1"/>
      <c r="CO726" s="1"/>
      <c r="CP726" s="1"/>
      <c r="CQ726" s="1"/>
      <c r="CR726" s="1"/>
      <c r="CS726" s="1"/>
      <c r="CT726" s="1"/>
      <c r="CU726" s="1"/>
      <c r="CV726" s="1"/>
      <c r="CW726" s="1"/>
      <c r="CX726" s="1"/>
      <c r="CY726" s="1"/>
      <c r="CZ726" s="1"/>
      <c r="DA726" s="1"/>
      <c r="DB726" s="1"/>
      <c r="DC726" s="1"/>
      <c r="DD726" s="1"/>
      <c r="DE726" s="1"/>
      <c r="DF726" s="1"/>
      <c r="DG726" s="1"/>
      <c r="DH726" s="1"/>
      <c r="DI726" s="1"/>
      <c r="DJ726" s="1"/>
      <c r="DK726" s="1"/>
      <c r="DL726" s="1"/>
      <c r="DM726" s="1"/>
      <c r="DN726" s="1"/>
      <c r="DO726" s="1"/>
      <c r="DP726" s="1"/>
      <c r="DQ726" s="1"/>
      <c r="DR726" s="1"/>
      <c r="DS726" s="1"/>
      <c r="DT726" s="1"/>
      <c r="DU726" s="1"/>
      <c r="DV726" s="1"/>
      <c r="DW726" s="1"/>
      <c r="DX726" s="1"/>
      <c r="DY726" s="1"/>
      <c r="DZ726" s="1"/>
      <c r="EA726" s="1"/>
      <c r="EB726" s="1"/>
      <c r="EC726" s="1"/>
      <c r="ED726" s="1"/>
      <c r="EE726" s="1"/>
      <c r="EF726" s="1"/>
      <c r="EG726" s="1"/>
      <c r="EH726" s="1"/>
      <c r="EI726" s="1"/>
      <c r="EJ726" s="1"/>
      <c r="EK726" s="1"/>
      <c r="EL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c r="BR727" s="1"/>
      <c r="BS727" s="1"/>
      <c r="BT727" s="1"/>
      <c r="BU727" s="1"/>
      <c r="BV727" s="1"/>
      <c r="BW727" s="1"/>
      <c r="BX727" s="1"/>
      <c r="BY727" s="1"/>
      <c r="BZ727" s="1"/>
      <c r="CA727" s="1"/>
      <c r="CB727" s="1"/>
      <c r="CC727" s="1"/>
      <c r="CD727" s="1"/>
      <c r="CE727" s="1"/>
      <c r="CF727" s="1"/>
      <c r="CG727" s="1"/>
      <c r="CH727" s="1"/>
      <c r="CI727" s="1"/>
      <c r="CJ727" s="1"/>
      <c r="CK727" s="1"/>
      <c r="CL727" s="1"/>
      <c r="CM727" s="1"/>
      <c r="CN727" s="1"/>
      <c r="CO727" s="1"/>
      <c r="CP727" s="1"/>
      <c r="CQ727" s="1"/>
      <c r="CR727" s="1"/>
      <c r="CS727" s="1"/>
      <c r="CT727" s="1"/>
      <c r="CU727" s="1"/>
      <c r="CV727" s="1"/>
      <c r="CW727" s="1"/>
      <c r="CX727" s="1"/>
      <c r="CY727" s="1"/>
      <c r="CZ727" s="1"/>
      <c r="DA727" s="1"/>
      <c r="DB727" s="1"/>
      <c r="DC727" s="1"/>
      <c r="DD727" s="1"/>
      <c r="DE727" s="1"/>
      <c r="DF727" s="1"/>
      <c r="DG727" s="1"/>
      <c r="DH727" s="1"/>
      <c r="DI727" s="1"/>
      <c r="DJ727" s="1"/>
      <c r="DK727" s="1"/>
      <c r="DL727" s="1"/>
      <c r="DM727" s="1"/>
      <c r="DN727" s="1"/>
      <c r="DO727" s="1"/>
      <c r="DP727" s="1"/>
      <c r="DQ727" s="1"/>
      <c r="DR727" s="1"/>
      <c r="DS727" s="1"/>
      <c r="DT727" s="1"/>
      <c r="DU727" s="1"/>
      <c r="DV727" s="1"/>
      <c r="DW727" s="1"/>
      <c r="DX727" s="1"/>
      <c r="DY727" s="1"/>
      <c r="DZ727" s="1"/>
      <c r="EA727" s="1"/>
      <c r="EB727" s="1"/>
      <c r="EC727" s="1"/>
      <c r="ED727" s="1"/>
      <c r="EE727" s="1"/>
      <c r="EF727" s="1"/>
      <c r="EG727" s="1"/>
      <c r="EH727" s="1"/>
      <c r="EI727" s="1"/>
      <c r="EJ727" s="1"/>
      <c r="EK727" s="1"/>
      <c r="EL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c r="BR728" s="1"/>
      <c r="BS728" s="1"/>
      <c r="BT728" s="1"/>
      <c r="BU728" s="1"/>
      <c r="BV728" s="1"/>
      <c r="BW728" s="1"/>
      <c r="BX728" s="1"/>
      <c r="BY728" s="1"/>
      <c r="BZ728" s="1"/>
      <c r="CA728" s="1"/>
      <c r="CB728" s="1"/>
      <c r="CC728" s="1"/>
      <c r="CD728" s="1"/>
      <c r="CE728" s="1"/>
      <c r="CF728" s="1"/>
      <c r="CG728" s="1"/>
      <c r="CH728" s="1"/>
      <c r="CI728" s="1"/>
      <c r="CJ728" s="1"/>
      <c r="CK728" s="1"/>
      <c r="CL728" s="1"/>
      <c r="CM728" s="1"/>
      <c r="CN728" s="1"/>
      <c r="CO728" s="1"/>
      <c r="CP728" s="1"/>
      <c r="CQ728" s="1"/>
      <c r="CR728" s="1"/>
      <c r="CS728" s="1"/>
      <c r="CT728" s="1"/>
      <c r="CU728" s="1"/>
      <c r="CV728" s="1"/>
      <c r="CW728" s="1"/>
      <c r="CX728" s="1"/>
      <c r="CY728" s="1"/>
      <c r="CZ728" s="1"/>
      <c r="DA728" s="1"/>
      <c r="DB728" s="1"/>
      <c r="DC728" s="1"/>
      <c r="DD728" s="1"/>
      <c r="DE728" s="1"/>
      <c r="DF728" s="1"/>
      <c r="DG728" s="1"/>
      <c r="DH728" s="1"/>
      <c r="DI728" s="1"/>
      <c r="DJ728" s="1"/>
      <c r="DK728" s="1"/>
      <c r="DL728" s="1"/>
      <c r="DM728" s="1"/>
      <c r="DN728" s="1"/>
      <c r="DO728" s="1"/>
      <c r="DP728" s="1"/>
      <c r="DQ728" s="1"/>
      <c r="DR728" s="1"/>
      <c r="DS728" s="1"/>
      <c r="DT728" s="1"/>
      <c r="DU728" s="1"/>
      <c r="DV728" s="1"/>
      <c r="DW728" s="1"/>
      <c r="DX728" s="1"/>
      <c r="DY728" s="1"/>
      <c r="DZ728" s="1"/>
      <c r="EA728" s="1"/>
      <c r="EB728" s="1"/>
      <c r="EC728" s="1"/>
      <c r="ED728" s="1"/>
      <c r="EE728" s="1"/>
      <c r="EF728" s="1"/>
      <c r="EG728" s="1"/>
      <c r="EH728" s="1"/>
      <c r="EI728" s="1"/>
      <c r="EJ728" s="1"/>
      <c r="EK728" s="1"/>
      <c r="EL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c r="BR729" s="1"/>
      <c r="BS729" s="1"/>
      <c r="BT729" s="1"/>
      <c r="BU729" s="1"/>
      <c r="BV729" s="1"/>
      <c r="BW729" s="1"/>
      <c r="BX729" s="1"/>
      <c r="BY729" s="1"/>
      <c r="BZ729" s="1"/>
      <c r="CA729" s="1"/>
      <c r="CB729" s="1"/>
      <c r="CC729" s="1"/>
      <c r="CD729" s="1"/>
      <c r="CE729" s="1"/>
      <c r="CF729" s="1"/>
      <c r="CG729" s="1"/>
      <c r="CH729" s="1"/>
      <c r="CI729" s="1"/>
      <c r="CJ729" s="1"/>
      <c r="CK729" s="1"/>
      <c r="CL729" s="1"/>
      <c r="CM729" s="1"/>
      <c r="CN729" s="1"/>
      <c r="CO729" s="1"/>
      <c r="CP729" s="1"/>
      <c r="CQ729" s="1"/>
      <c r="CR729" s="1"/>
      <c r="CS729" s="1"/>
      <c r="CT729" s="1"/>
      <c r="CU729" s="1"/>
      <c r="CV729" s="1"/>
      <c r="CW729" s="1"/>
      <c r="CX729" s="1"/>
      <c r="CY729" s="1"/>
      <c r="CZ729" s="1"/>
      <c r="DA729" s="1"/>
      <c r="DB729" s="1"/>
      <c r="DC729" s="1"/>
      <c r="DD729" s="1"/>
      <c r="DE729" s="1"/>
      <c r="DF729" s="1"/>
      <c r="DG729" s="1"/>
      <c r="DH729" s="1"/>
      <c r="DI729" s="1"/>
      <c r="DJ729" s="1"/>
      <c r="DK729" s="1"/>
      <c r="DL729" s="1"/>
      <c r="DM729" s="1"/>
      <c r="DN729" s="1"/>
      <c r="DO729" s="1"/>
      <c r="DP729" s="1"/>
      <c r="DQ729" s="1"/>
      <c r="DR729" s="1"/>
      <c r="DS729" s="1"/>
      <c r="DT729" s="1"/>
      <c r="DU729" s="1"/>
      <c r="DV729" s="1"/>
      <c r="DW729" s="1"/>
      <c r="DX729" s="1"/>
      <c r="DY729" s="1"/>
      <c r="DZ729" s="1"/>
      <c r="EA729" s="1"/>
      <c r="EB729" s="1"/>
      <c r="EC729" s="1"/>
      <c r="ED729" s="1"/>
      <c r="EE729" s="1"/>
      <c r="EF729" s="1"/>
      <c r="EG729" s="1"/>
      <c r="EH729" s="1"/>
      <c r="EI729" s="1"/>
      <c r="EJ729" s="1"/>
      <c r="EK729" s="1"/>
      <c r="EL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c r="BR730" s="1"/>
      <c r="BS730" s="1"/>
      <c r="BT730" s="1"/>
      <c r="BU730" s="1"/>
      <c r="BV730" s="1"/>
      <c r="BW730" s="1"/>
      <c r="BX730" s="1"/>
      <c r="BY730" s="1"/>
      <c r="BZ730" s="1"/>
      <c r="CA730" s="1"/>
      <c r="CB730" s="1"/>
      <c r="CC730" s="1"/>
      <c r="CD730" s="1"/>
      <c r="CE730" s="1"/>
      <c r="CF730" s="1"/>
      <c r="CG730" s="1"/>
      <c r="CH730" s="1"/>
      <c r="CI730" s="1"/>
      <c r="CJ730" s="1"/>
      <c r="CK730" s="1"/>
      <c r="CL730" s="1"/>
      <c r="CM730" s="1"/>
      <c r="CN730" s="1"/>
      <c r="CO730" s="1"/>
      <c r="CP730" s="1"/>
      <c r="CQ730" s="1"/>
      <c r="CR730" s="1"/>
      <c r="CS730" s="1"/>
      <c r="CT730" s="1"/>
      <c r="CU730" s="1"/>
      <c r="CV730" s="1"/>
      <c r="CW730" s="1"/>
      <c r="CX730" s="1"/>
      <c r="CY730" s="1"/>
      <c r="CZ730" s="1"/>
      <c r="DA730" s="1"/>
      <c r="DB730" s="1"/>
      <c r="DC730" s="1"/>
      <c r="DD730" s="1"/>
      <c r="DE730" s="1"/>
      <c r="DF730" s="1"/>
      <c r="DG730" s="1"/>
      <c r="DH730" s="1"/>
      <c r="DI730" s="1"/>
      <c r="DJ730" s="1"/>
      <c r="DK730" s="1"/>
      <c r="DL730" s="1"/>
      <c r="DM730" s="1"/>
      <c r="DN730" s="1"/>
      <c r="DO730" s="1"/>
      <c r="DP730" s="1"/>
      <c r="DQ730" s="1"/>
      <c r="DR730" s="1"/>
      <c r="DS730" s="1"/>
      <c r="DT730" s="1"/>
      <c r="DU730" s="1"/>
      <c r="DV730" s="1"/>
      <c r="DW730" s="1"/>
      <c r="DX730" s="1"/>
      <c r="DY730" s="1"/>
      <c r="DZ730" s="1"/>
      <c r="EA730" s="1"/>
      <c r="EB730" s="1"/>
      <c r="EC730" s="1"/>
      <c r="ED730" s="1"/>
      <c r="EE730" s="1"/>
      <c r="EF730" s="1"/>
      <c r="EG730" s="1"/>
      <c r="EH730" s="1"/>
      <c r="EI730" s="1"/>
      <c r="EJ730" s="1"/>
      <c r="EK730" s="1"/>
      <c r="EL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c r="BR731" s="1"/>
      <c r="BS731" s="1"/>
      <c r="BT731" s="1"/>
      <c r="BU731" s="1"/>
      <c r="BV731" s="1"/>
      <c r="BW731" s="1"/>
      <c r="BX731" s="1"/>
      <c r="BY731" s="1"/>
      <c r="BZ731" s="1"/>
      <c r="CA731" s="1"/>
      <c r="CB731" s="1"/>
      <c r="CC731" s="1"/>
      <c r="CD731" s="1"/>
      <c r="CE731" s="1"/>
      <c r="CF731" s="1"/>
      <c r="CG731" s="1"/>
      <c r="CH731" s="1"/>
      <c r="CI731" s="1"/>
      <c r="CJ731" s="1"/>
      <c r="CK731" s="1"/>
      <c r="CL731" s="1"/>
      <c r="CM731" s="1"/>
      <c r="CN731" s="1"/>
      <c r="CO731" s="1"/>
      <c r="CP731" s="1"/>
      <c r="CQ731" s="1"/>
      <c r="CR731" s="1"/>
      <c r="CS731" s="1"/>
      <c r="CT731" s="1"/>
      <c r="CU731" s="1"/>
      <c r="CV731" s="1"/>
      <c r="CW731" s="1"/>
      <c r="CX731" s="1"/>
      <c r="CY731" s="1"/>
      <c r="CZ731" s="1"/>
      <c r="DA731" s="1"/>
      <c r="DB731" s="1"/>
      <c r="DC731" s="1"/>
      <c r="DD731" s="1"/>
      <c r="DE731" s="1"/>
      <c r="DF731" s="1"/>
      <c r="DG731" s="1"/>
      <c r="DH731" s="1"/>
      <c r="DI731" s="1"/>
      <c r="DJ731" s="1"/>
      <c r="DK731" s="1"/>
      <c r="DL731" s="1"/>
      <c r="DM731" s="1"/>
      <c r="DN731" s="1"/>
      <c r="DO731" s="1"/>
      <c r="DP731" s="1"/>
      <c r="DQ731" s="1"/>
      <c r="DR731" s="1"/>
      <c r="DS731" s="1"/>
      <c r="DT731" s="1"/>
      <c r="DU731" s="1"/>
      <c r="DV731" s="1"/>
      <c r="DW731" s="1"/>
      <c r="DX731" s="1"/>
      <c r="DY731" s="1"/>
      <c r="DZ731" s="1"/>
      <c r="EA731" s="1"/>
      <c r="EB731" s="1"/>
      <c r="EC731" s="1"/>
      <c r="ED731" s="1"/>
      <c r="EE731" s="1"/>
      <c r="EF731" s="1"/>
      <c r="EG731" s="1"/>
      <c r="EH731" s="1"/>
      <c r="EI731" s="1"/>
      <c r="EJ731" s="1"/>
      <c r="EK731" s="1"/>
      <c r="EL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c r="BR732" s="1"/>
      <c r="BS732" s="1"/>
      <c r="BT732" s="1"/>
      <c r="BU732" s="1"/>
      <c r="BV732" s="1"/>
      <c r="BW732" s="1"/>
      <c r="BX732" s="1"/>
      <c r="BY732" s="1"/>
      <c r="BZ732" s="1"/>
      <c r="CA732" s="1"/>
      <c r="CB732" s="1"/>
      <c r="CC732" s="1"/>
      <c r="CD732" s="1"/>
      <c r="CE732" s="1"/>
      <c r="CF732" s="1"/>
      <c r="CG732" s="1"/>
      <c r="CH732" s="1"/>
      <c r="CI732" s="1"/>
      <c r="CJ732" s="1"/>
      <c r="CK732" s="1"/>
      <c r="CL732" s="1"/>
      <c r="CM732" s="1"/>
      <c r="CN732" s="1"/>
      <c r="CO732" s="1"/>
      <c r="CP732" s="1"/>
      <c r="CQ732" s="1"/>
      <c r="CR732" s="1"/>
      <c r="CS732" s="1"/>
      <c r="CT732" s="1"/>
      <c r="CU732" s="1"/>
      <c r="CV732" s="1"/>
      <c r="CW732" s="1"/>
      <c r="CX732" s="1"/>
      <c r="CY732" s="1"/>
      <c r="CZ732" s="1"/>
      <c r="DA732" s="1"/>
      <c r="DB732" s="1"/>
      <c r="DC732" s="1"/>
      <c r="DD732" s="1"/>
      <c r="DE732" s="1"/>
      <c r="DF732" s="1"/>
      <c r="DG732" s="1"/>
      <c r="DH732" s="1"/>
      <c r="DI732" s="1"/>
      <c r="DJ732" s="1"/>
      <c r="DK732" s="1"/>
      <c r="DL732" s="1"/>
      <c r="DM732" s="1"/>
      <c r="DN732" s="1"/>
      <c r="DO732" s="1"/>
      <c r="DP732" s="1"/>
      <c r="DQ732" s="1"/>
      <c r="DR732" s="1"/>
      <c r="DS732" s="1"/>
      <c r="DT732" s="1"/>
      <c r="DU732" s="1"/>
      <c r="DV732" s="1"/>
      <c r="DW732" s="1"/>
      <c r="DX732" s="1"/>
      <c r="DY732" s="1"/>
      <c r="DZ732" s="1"/>
      <c r="EA732" s="1"/>
      <c r="EB732" s="1"/>
      <c r="EC732" s="1"/>
      <c r="ED732" s="1"/>
      <c r="EE732" s="1"/>
      <c r="EF732" s="1"/>
      <c r="EG732" s="1"/>
      <c r="EH732" s="1"/>
      <c r="EI732" s="1"/>
      <c r="EJ732" s="1"/>
      <c r="EK732" s="1"/>
      <c r="EL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c r="BR733" s="1"/>
      <c r="BS733" s="1"/>
      <c r="BT733" s="1"/>
      <c r="BU733" s="1"/>
      <c r="BV733" s="1"/>
      <c r="BW733" s="1"/>
      <c r="BX733" s="1"/>
      <c r="BY733" s="1"/>
      <c r="BZ733" s="1"/>
      <c r="CA733" s="1"/>
      <c r="CB733" s="1"/>
      <c r="CC733" s="1"/>
      <c r="CD733" s="1"/>
      <c r="CE733" s="1"/>
      <c r="CF733" s="1"/>
      <c r="CG733" s="1"/>
      <c r="CH733" s="1"/>
      <c r="CI733" s="1"/>
      <c r="CJ733" s="1"/>
      <c r="CK733" s="1"/>
      <c r="CL733" s="1"/>
      <c r="CM733" s="1"/>
      <c r="CN733" s="1"/>
      <c r="CO733" s="1"/>
      <c r="CP733" s="1"/>
      <c r="CQ733" s="1"/>
      <c r="CR733" s="1"/>
      <c r="CS733" s="1"/>
      <c r="CT733" s="1"/>
      <c r="CU733" s="1"/>
      <c r="CV733" s="1"/>
      <c r="CW733" s="1"/>
      <c r="CX733" s="1"/>
      <c r="CY733" s="1"/>
      <c r="CZ733" s="1"/>
      <c r="DA733" s="1"/>
      <c r="DB733" s="1"/>
      <c r="DC733" s="1"/>
      <c r="DD733" s="1"/>
      <c r="DE733" s="1"/>
      <c r="DF733" s="1"/>
      <c r="DG733" s="1"/>
      <c r="DH733" s="1"/>
      <c r="DI733" s="1"/>
      <c r="DJ733" s="1"/>
      <c r="DK733" s="1"/>
      <c r="DL733" s="1"/>
      <c r="DM733" s="1"/>
      <c r="DN733" s="1"/>
      <c r="DO733" s="1"/>
      <c r="DP733" s="1"/>
      <c r="DQ733" s="1"/>
      <c r="DR733" s="1"/>
      <c r="DS733" s="1"/>
      <c r="DT733" s="1"/>
      <c r="DU733" s="1"/>
      <c r="DV733" s="1"/>
      <c r="DW733" s="1"/>
      <c r="DX733" s="1"/>
      <c r="DY733" s="1"/>
      <c r="DZ733" s="1"/>
      <c r="EA733" s="1"/>
      <c r="EB733" s="1"/>
      <c r="EC733" s="1"/>
      <c r="ED733" s="1"/>
      <c r="EE733" s="1"/>
      <c r="EF733" s="1"/>
      <c r="EG733" s="1"/>
      <c r="EH733" s="1"/>
      <c r="EI733" s="1"/>
      <c r="EJ733" s="1"/>
      <c r="EK733" s="1"/>
      <c r="EL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c r="BR734" s="1"/>
      <c r="BS734" s="1"/>
      <c r="BT734" s="1"/>
      <c r="BU734" s="1"/>
      <c r="BV734" s="1"/>
      <c r="BW734" s="1"/>
      <c r="BX734" s="1"/>
      <c r="BY734" s="1"/>
      <c r="BZ734" s="1"/>
      <c r="CA734" s="1"/>
      <c r="CB734" s="1"/>
      <c r="CC734" s="1"/>
      <c r="CD734" s="1"/>
      <c r="CE734" s="1"/>
      <c r="CF734" s="1"/>
      <c r="CG734" s="1"/>
      <c r="CH734" s="1"/>
      <c r="CI734" s="1"/>
      <c r="CJ734" s="1"/>
      <c r="CK734" s="1"/>
      <c r="CL734" s="1"/>
      <c r="CM734" s="1"/>
      <c r="CN734" s="1"/>
      <c r="CO734" s="1"/>
      <c r="CP734" s="1"/>
      <c r="CQ734" s="1"/>
      <c r="CR734" s="1"/>
      <c r="CS734" s="1"/>
      <c r="CT734" s="1"/>
      <c r="CU734" s="1"/>
      <c r="CV734" s="1"/>
      <c r="CW734" s="1"/>
      <c r="CX734" s="1"/>
      <c r="CY734" s="1"/>
      <c r="CZ734" s="1"/>
      <c r="DA734" s="1"/>
      <c r="DB734" s="1"/>
      <c r="DC734" s="1"/>
      <c r="DD734" s="1"/>
      <c r="DE734" s="1"/>
      <c r="DF734" s="1"/>
      <c r="DG734" s="1"/>
      <c r="DH734" s="1"/>
      <c r="DI734" s="1"/>
      <c r="DJ734" s="1"/>
      <c r="DK734" s="1"/>
      <c r="DL734" s="1"/>
      <c r="DM734" s="1"/>
      <c r="DN734" s="1"/>
      <c r="DO734" s="1"/>
      <c r="DP734" s="1"/>
      <c r="DQ734" s="1"/>
      <c r="DR734" s="1"/>
      <c r="DS734" s="1"/>
      <c r="DT734" s="1"/>
      <c r="DU734" s="1"/>
      <c r="DV734" s="1"/>
      <c r="DW734" s="1"/>
      <c r="DX734" s="1"/>
      <c r="DY734" s="1"/>
      <c r="DZ734" s="1"/>
      <c r="EA734" s="1"/>
      <c r="EB734" s="1"/>
      <c r="EC734" s="1"/>
      <c r="ED734" s="1"/>
      <c r="EE734" s="1"/>
      <c r="EF734" s="1"/>
      <c r="EG734" s="1"/>
      <c r="EH734" s="1"/>
      <c r="EI734" s="1"/>
      <c r="EJ734" s="1"/>
      <c r="EK734" s="1"/>
      <c r="EL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c r="BR735" s="1"/>
      <c r="BS735" s="1"/>
      <c r="BT735" s="1"/>
      <c r="BU735" s="1"/>
      <c r="BV735" s="1"/>
      <c r="BW735" s="1"/>
      <c r="BX735" s="1"/>
      <c r="BY735" s="1"/>
      <c r="BZ735" s="1"/>
      <c r="CA735" s="1"/>
      <c r="CB735" s="1"/>
      <c r="CC735" s="1"/>
      <c r="CD735" s="1"/>
      <c r="CE735" s="1"/>
      <c r="CF735" s="1"/>
      <c r="CG735" s="1"/>
      <c r="CH735" s="1"/>
      <c r="CI735" s="1"/>
      <c r="CJ735" s="1"/>
      <c r="CK735" s="1"/>
      <c r="CL735" s="1"/>
      <c r="CM735" s="1"/>
      <c r="CN735" s="1"/>
      <c r="CO735" s="1"/>
      <c r="CP735" s="1"/>
      <c r="CQ735" s="1"/>
      <c r="CR735" s="1"/>
      <c r="CS735" s="1"/>
      <c r="CT735" s="1"/>
      <c r="CU735" s="1"/>
      <c r="CV735" s="1"/>
      <c r="CW735" s="1"/>
      <c r="CX735" s="1"/>
      <c r="CY735" s="1"/>
      <c r="CZ735" s="1"/>
      <c r="DA735" s="1"/>
      <c r="DB735" s="1"/>
      <c r="DC735" s="1"/>
      <c r="DD735" s="1"/>
      <c r="DE735" s="1"/>
      <c r="DF735" s="1"/>
      <c r="DG735" s="1"/>
      <c r="DH735" s="1"/>
      <c r="DI735" s="1"/>
      <c r="DJ735" s="1"/>
      <c r="DK735" s="1"/>
      <c r="DL735" s="1"/>
      <c r="DM735" s="1"/>
      <c r="DN735" s="1"/>
      <c r="DO735" s="1"/>
      <c r="DP735" s="1"/>
      <c r="DQ735" s="1"/>
      <c r="DR735" s="1"/>
      <c r="DS735" s="1"/>
      <c r="DT735" s="1"/>
      <c r="DU735" s="1"/>
      <c r="DV735" s="1"/>
      <c r="DW735" s="1"/>
      <c r="DX735" s="1"/>
      <c r="DY735" s="1"/>
      <c r="DZ735" s="1"/>
      <c r="EA735" s="1"/>
      <c r="EB735" s="1"/>
      <c r="EC735" s="1"/>
      <c r="ED735" s="1"/>
      <c r="EE735" s="1"/>
      <c r="EF735" s="1"/>
      <c r="EG735" s="1"/>
      <c r="EH735" s="1"/>
      <c r="EI735" s="1"/>
      <c r="EJ735" s="1"/>
      <c r="EK735" s="1"/>
      <c r="EL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c r="BR736" s="1"/>
      <c r="BS736" s="1"/>
      <c r="BT736" s="1"/>
      <c r="BU736" s="1"/>
      <c r="BV736" s="1"/>
      <c r="BW736" s="1"/>
      <c r="BX736" s="1"/>
      <c r="BY736" s="1"/>
      <c r="BZ736" s="1"/>
      <c r="CA736" s="1"/>
      <c r="CB736" s="1"/>
      <c r="CC736" s="1"/>
      <c r="CD736" s="1"/>
      <c r="CE736" s="1"/>
      <c r="CF736" s="1"/>
      <c r="CG736" s="1"/>
      <c r="CH736" s="1"/>
      <c r="CI736" s="1"/>
      <c r="CJ736" s="1"/>
      <c r="CK736" s="1"/>
      <c r="CL736" s="1"/>
      <c r="CM736" s="1"/>
      <c r="CN736" s="1"/>
      <c r="CO736" s="1"/>
      <c r="CP736" s="1"/>
      <c r="CQ736" s="1"/>
      <c r="CR736" s="1"/>
      <c r="CS736" s="1"/>
      <c r="CT736" s="1"/>
      <c r="CU736" s="1"/>
      <c r="CV736" s="1"/>
      <c r="CW736" s="1"/>
      <c r="CX736" s="1"/>
      <c r="CY736" s="1"/>
      <c r="CZ736" s="1"/>
      <c r="DA736" s="1"/>
      <c r="DB736" s="1"/>
      <c r="DC736" s="1"/>
      <c r="DD736" s="1"/>
      <c r="DE736" s="1"/>
      <c r="DF736" s="1"/>
      <c r="DG736" s="1"/>
      <c r="DH736" s="1"/>
      <c r="DI736" s="1"/>
      <c r="DJ736" s="1"/>
      <c r="DK736" s="1"/>
      <c r="DL736" s="1"/>
      <c r="DM736" s="1"/>
      <c r="DN736" s="1"/>
      <c r="DO736" s="1"/>
      <c r="DP736" s="1"/>
      <c r="DQ736" s="1"/>
      <c r="DR736" s="1"/>
      <c r="DS736" s="1"/>
      <c r="DT736" s="1"/>
      <c r="DU736" s="1"/>
      <c r="DV736" s="1"/>
      <c r="DW736" s="1"/>
      <c r="DX736" s="1"/>
      <c r="DY736" s="1"/>
      <c r="DZ736" s="1"/>
      <c r="EA736" s="1"/>
      <c r="EB736" s="1"/>
      <c r="EC736" s="1"/>
      <c r="ED736" s="1"/>
      <c r="EE736" s="1"/>
      <c r="EF736" s="1"/>
      <c r="EG736" s="1"/>
      <c r="EH736" s="1"/>
      <c r="EI736" s="1"/>
      <c r="EJ736" s="1"/>
      <c r="EK736" s="1"/>
      <c r="EL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c r="BR737" s="1"/>
      <c r="BS737" s="1"/>
      <c r="BT737" s="1"/>
      <c r="BU737" s="1"/>
      <c r="BV737" s="1"/>
      <c r="BW737" s="1"/>
      <c r="BX737" s="1"/>
      <c r="BY737" s="1"/>
      <c r="BZ737" s="1"/>
      <c r="CA737" s="1"/>
      <c r="CB737" s="1"/>
      <c r="CC737" s="1"/>
      <c r="CD737" s="1"/>
      <c r="CE737" s="1"/>
      <c r="CF737" s="1"/>
      <c r="CG737" s="1"/>
      <c r="CH737" s="1"/>
      <c r="CI737" s="1"/>
      <c r="CJ737" s="1"/>
      <c r="CK737" s="1"/>
      <c r="CL737" s="1"/>
      <c r="CM737" s="1"/>
      <c r="CN737" s="1"/>
      <c r="CO737" s="1"/>
      <c r="CP737" s="1"/>
      <c r="CQ737" s="1"/>
      <c r="CR737" s="1"/>
      <c r="CS737" s="1"/>
      <c r="CT737" s="1"/>
      <c r="CU737" s="1"/>
      <c r="CV737" s="1"/>
      <c r="CW737" s="1"/>
      <c r="CX737" s="1"/>
      <c r="CY737" s="1"/>
      <c r="CZ737" s="1"/>
      <c r="DA737" s="1"/>
      <c r="DB737" s="1"/>
      <c r="DC737" s="1"/>
      <c r="DD737" s="1"/>
      <c r="DE737" s="1"/>
      <c r="DF737" s="1"/>
      <c r="DG737" s="1"/>
      <c r="DH737" s="1"/>
      <c r="DI737" s="1"/>
      <c r="DJ737" s="1"/>
      <c r="DK737" s="1"/>
      <c r="DL737" s="1"/>
      <c r="DM737" s="1"/>
      <c r="DN737" s="1"/>
      <c r="DO737" s="1"/>
      <c r="DP737" s="1"/>
      <c r="DQ737" s="1"/>
      <c r="DR737" s="1"/>
      <c r="DS737" s="1"/>
      <c r="DT737" s="1"/>
      <c r="DU737" s="1"/>
      <c r="DV737" s="1"/>
      <c r="DW737" s="1"/>
      <c r="DX737" s="1"/>
      <c r="DY737" s="1"/>
      <c r="DZ737" s="1"/>
      <c r="EA737" s="1"/>
      <c r="EB737" s="1"/>
      <c r="EC737" s="1"/>
      <c r="ED737" s="1"/>
      <c r="EE737" s="1"/>
      <c r="EF737" s="1"/>
      <c r="EG737" s="1"/>
      <c r="EH737" s="1"/>
      <c r="EI737" s="1"/>
      <c r="EJ737" s="1"/>
      <c r="EK737" s="1"/>
      <c r="EL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c r="BR738" s="1"/>
      <c r="BS738" s="1"/>
      <c r="BT738" s="1"/>
      <c r="BU738" s="1"/>
      <c r="BV738" s="1"/>
      <c r="BW738" s="1"/>
      <c r="BX738" s="1"/>
      <c r="BY738" s="1"/>
      <c r="BZ738" s="1"/>
      <c r="CA738" s="1"/>
      <c r="CB738" s="1"/>
      <c r="CC738" s="1"/>
      <c r="CD738" s="1"/>
      <c r="CE738" s="1"/>
      <c r="CF738" s="1"/>
      <c r="CG738" s="1"/>
      <c r="CH738" s="1"/>
      <c r="CI738" s="1"/>
      <c r="CJ738" s="1"/>
      <c r="CK738" s="1"/>
      <c r="CL738" s="1"/>
      <c r="CM738" s="1"/>
      <c r="CN738" s="1"/>
      <c r="CO738" s="1"/>
      <c r="CP738" s="1"/>
      <c r="CQ738" s="1"/>
      <c r="CR738" s="1"/>
      <c r="CS738" s="1"/>
      <c r="CT738" s="1"/>
      <c r="CU738" s="1"/>
      <c r="CV738" s="1"/>
      <c r="CW738" s="1"/>
      <c r="CX738" s="1"/>
      <c r="CY738" s="1"/>
      <c r="CZ738" s="1"/>
      <c r="DA738" s="1"/>
      <c r="DB738" s="1"/>
      <c r="DC738" s="1"/>
      <c r="DD738" s="1"/>
      <c r="DE738" s="1"/>
      <c r="DF738" s="1"/>
      <c r="DG738" s="1"/>
      <c r="DH738" s="1"/>
      <c r="DI738" s="1"/>
      <c r="DJ738" s="1"/>
      <c r="DK738" s="1"/>
      <c r="DL738" s="1"/>
      <c r="DM738" s="1"/>
      <c r="DN738" s="1"/>
      <c r="DO738" s="1"/>
      <c r="DP738" s="1"/>
      <c r="DQ738" s="1"/>
      <c r="DR738" s="1"/>
      <c r="DS738" s="1"/>
      <c r="DT738" s="1"/>
      <c r="DU738" s="1"/>
      <c r="DV738" s="1"/>
      <c r="DW738" s="1"/>
      <c r="DX738" s="1"/>
      <c r="DY738" s="1"/>
      <c r="DZ738" s="1"/>
      <c r="EA738" s="1"/>
      <c r="EB738" s="1"/>
      <c r="EC738" s="1"/>
      <c r="ED738" s="1"/>
      <c r="EE738" s="1"/>
      <c r="EF738" s="1"/>
      <c r="EG738" s="1"/>
      <c r="EH738" s="1"/>
      <c r="EI738" s="1"/>
      <c r="EJ738" s="1"/>
      <c r="EK738" s="1"/>
      <c r="EL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c r="BR739" s="1"/>
      <c r="BS739" s="1"/>
      <c r="BT739" s="1"/>
      <c r="BU739" s="1"/>
      <c r="BV739" s="1"/>
      <c r="BW739" s="1"/>
      <c r="BX739" s="1"/>
      <c r="BY739" s="1"/>
      <c r="BZ739" s="1"/>
      <c r="CA739" s="1"/>
      <c r="CB739" s="1"/>
      <c r="CC739" s="1"/>
      <c r="CD739" s="1"/>
      <c r="CE739" s="1"/>
      <c r="CF739" s="1"/>
      <c r="CG739" s="1"/>
      <c r="CH739" s="1"/>
      <c r="CI739" s="1"/>
      <c r="CJ739" s="1"/>
      <c r="CK739" s="1"/>
      <c r="CL739" s="1"/>
      <c r="CM739" s="1"/>
      <c r="CN739" s="1"/>
      <c r="CO739" s="1"/>
      <c r="CP739" s="1"/>
      <c r="CQ739" s="1"/>
      <c r="CR739" s="1"/>
      <c r="CS739" s="1"/>
      <c r="CT739" s="1"/>
      <c r="CU739" s="1"/>
      <c r="CV739" s="1"/>
      <c r="CW739" s="1"/>
      <c r="CX739" s="1"/>
      <c r="CY739" s="1"/>
      <c r="CZ739" s="1"/>
      <c r="DA739" s="1"/>
      <c r="DB739" s="1"/>
      <c r="DC739" s="1"/>
      <c r="DD739" s="1"/>
      <c r="DE739" s="1"/>
      <c r="DF739" s="1"/>
      <c r="DG739" s="1"/>
      <c r="DH739" s="1"/>
      <c r="DI739" s="1"/>
      <c r="DJ739" s="1"/>
      <c r="DK739" s="1"/>
      <c r="DL739" s="1"/>
      <c r="DM739" s="1"/>
      <c r="DN739" s="1"/>
      <c r="DO739" s="1"/>
      <c r="DP739" s="1"/>
      <c r="DQ739" s="1"/>
      <c r="DR739" s="1"/>
      <c r="DS739" s="1"/>
      <c r="DT739" s="1"/>
      <c r="DU739" s="1"/>
      <c r="DV739" s="1"/>
      <c r="DW739" s="1"/>
      <c r="DX739" s="1"/>
      <c r="DY739" s="1"/>
      <c r="DZ739" s="1"/>
      <c r="EA739" s="1"/>
      <c r="EB739" s="1"/>
      <c r="EC739" s="1"/>
      <c r="ED739" s="1"/>
      <c r="EE739" s="1"/>
      <c r="EF739" s="1"/>
      <c r="EG739" s="1"/>
      <c r="EH739" s="1"/>
      <c r="EI739" s="1"/>
      <c r="EJ739" s="1"/>
      <c r="EK739" s="1"/>
      <c r="EL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c r="BR740" s="1"/>
      <c r="BS740" s="1"/>
      <c r="BT740" s="1"/>
      <c r="BU740" s="1"/>
      <c r="BV740" s="1"/>
      <c r="BW740" s="1"/>
      <c r="BX740" s="1"/>
      <c r="BY740" s="1"/>
      <c r="BZ740" s="1"/>
      <c r="CA740" s="1"/>
      <c r="CB740" s="1"/>
      <c r="CC740" s="1"/>
      <c r="CD740" s="1"/>
      <c r="CE740" s="1"/>
      <c r="CF740" s="1"/>
      <c r="CG740" s="1"/>
      <c r="CH740" s="1"/>
      <c r="CI740" s="1"/>
      <c r="CJ740" s="1"/>
      <c r="CK740" s="1"/>
      <c r="CL740" s="1"/>
      <c r="CM740" s="1"/>
      <c r="CN740" s="1"/>
      <c r="CO740" s="1"/>
      <c r="CP740" s="1"/>
      <c r="CQ740" s="1"/>
      <c r="CR740" s="1"/>
      <c r="CS740" s="1"/>
      <c r="CT740" s="1"/>
      <c r="CU740" s="1"/>
      <c r="CV740" s="1"/>
      <c r="CW740" s="1"/>
      <c r="CX740" s="1"/>
      <c r="CY740" s="1"/>
      <c r="CZ740" s="1"/>
      <c r="DA740" s="1"/>
      <c r="DB740" s="1"/>
      <c r="DC740" s="1"/>
      <c r="DD740" s="1"/>
      <c r="DE740" s="1"/>
      <c r="DF740" s="1"/>
      <c r="DG740" s="1"/>
      <c r="DH740" s="1"/>
      <c r="DI740" s="1"/>
      <c r="DJ740" s="1"/>
      <c r="DK740" s="1"/>
      <c r="DL740" s="1"/>
      <c r="DM740" s="1"/>
      <c r="DN740" s="1"/>
      <c r="DO740" s="1"/>
      <c r="DP740" s="1"/>
      <c r="DQ740" s="1"/>
      <c r="DR740" s="1"/>
      <c r="DS740" s="1"/>
      <c r="DT740" s="1"/>
      <c r="DU740" s="1"/>
      <c r="DV740" s="1"/>
      <c r="DW740" s="1"/>
      <c r="DX740" s="1"/>
      <c r="DY740" s="1"/>
      <c r="DZ740" s="1"/>
      <c r="EA740" s="1"/>
      <c r="EB740" s="1"/>
      <c r="EC740" s="1"/>
      <c r="ED740" s="1"/>
      <c r="EE740" s="1"/>
      <c r="EF740" s="1"/>
      <c r="EG740" s="1"/>
      <c r="EH740" s="1"/>
      <c r="EI740" s="1"/>
      <c r="EJ740" s="1"/>
      <c r="EK740" s="1"/>
      <c r="EL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c r="BR741" s="1"/>
      <c r="BS741" s="1"/>
      <c r="BT741" s="1"/>
      <c r="BU741" s="1"/>
      <c r="BV741" s="1"/>
      <c r="BW741" s="1"/>
      <c r="BX741" s="1"/>
      <c r="BY741" s="1"/>
      <c r="BZ741" s="1"/>
      <c r="CA741" s="1"/>
      <c r="CB741" s="1"/>
      <c r="CC741" s="1"/>
      <c r="CD741" s="1"/>
      <c r="CE741" s="1"/>
      <c r="CF741" s="1"/>
      <c r="CG741" s="1"/>
      <c r="CH741" s="1"/>
      <c r="CI741" s="1"/>
      <c r="CJ741" s="1"/>
      <c r="CK741" s="1"/>
      <c r="CL741" s="1"/>
      <c r="CM741" s="1"/>
      <c r="CN741" s="1"/>
      <c r="CO741" s="1"/>
      <c r="CP741" s="1"/>
      <c r="CQ741" s="1"/>
      <c r="CR741" s="1"/>
      <c r="CS741" s="1"/>
      <c r="CT741" s="1"/>
      <c r="CU741" s="1"/>
      <c r="CV741" s="1"/>
      <c r="CW741" s="1"/>
      <c r="CX741" s="1"/>
      <c r="CY741" s="1"/>
      <c r="CZ741" s="1"/>
      <c r="DA741" s="1"/>
      <c r="DB741" s="1"/>
      <c r="DC741" s="1"/>
      <c r="DD741" s="1"/>
      <c r="DE741" s="1"/>
      <c r="DF741" s="1"/>
      <c r="DG741" s="1"/>
      <c r="DH741" s="1"/>
      <c r="DI741" s="1"/>
      <c r="DJ741" s="1"/>
      <c r="DK741" s="1"/>
      <c r="DL741" s="1"/>
      <c r="DM741" s="1"/>
      <c r="DN741" s="1"/>
      <c r="DO741" s="1"/>
      <c r="DP741" s="1"/>
      <c r="DQ741" s="1"/>
      <c r="DR741" s="1"/>
      <c r="DS741" s="1"/>
      <c r="DT741" s="1"/>
      <c r="DU741" s="1"/>
      <c r="DV741" s="1"/>
      <c r="DW741" s="1"/>
      <c r="DX741" s="1"/>
      <c r="DY741" s="1"/>
      <c r="DZ741" s="1"/>
      <c r="EA741" s="1"/>
      <c r="EB741" s="1"/>
      <c r="EC741" s="1"/>
      <c r="ED741" s="1"/>
      <c r="EE741" s="1"/>
      <c r="EF741" s="1"/>
      <c r="EG741" s="1"/>
      <c r="EH741" s="1"/>
      <c r="EI741" s="1"/>
      <c r="EJ741" s="1"/>
      <c r="EK741" s="1"/>
      <c r="EL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c r="BR742" s="1"/>
      <c r="BS742" s="1"/>
      <c r="BT742" s="1"/>
      <c r="BU742" s="1"/>
      <c r="BV742" s="1"/>
      <c r="BW742" s="1"/>
      <c r="BX742" s="1"/>
      <c r="BY742" s="1"/>
      <c r="BZ742" s="1"/>
      <c r="CA742" s="1"/>
      <c r="CB742" s="1"/>
      <c r="CC742" s="1"/>
      <c r="CD742" s="1"/>
      <c r="CE742" s="1"/>
      <c r="CF742" s="1"/>
      <c r="CG742" s="1"/>
      <c r="CH742" s="1"/>
      <c r="CI742" s="1"/>
      <c r="CJ742" s="1"/>
      <c r="CK742" s="1"/>
      <c r="CL742" s="1"/>
      <c r="CM742" s="1"/>
      <c r="CN742" s="1"/>
      <c r="CO742" s="1"/>
      <c r="CP742" s="1"/>
      <c r="CQ742" s="1"/>
      <c r="CR742" s="1"/>
      <c r="CS742" s="1"/>
      <c r="CT742" s="1"/>
      <c r="CU742" s="1"/>
      <c r="CV742" s="1"/>
      <c r="CW742" s="1"/>
      <c r="CX742" s="1"/>
      <c r="CY742" s="1"/>
      <c r="CZ742" s="1"/>
      <c r="DA742" s="1"/>
      <c r="DB742" s="1"/>
      <c r="DC742" s="1"/>
      <c r="DD742" s="1"/>
      <c r="DE742" s="1"/>
      <c r="DF742" s="1"/>
      <c r="DG742" s="1"/>
      <c r="DH742" s="1"/>
      <c r="DI742" s="1"/>
      <c r="DJ742" s="1"/>
      <c r="DK742" s="1"/>
      <c r="DL742" s="1"/>
      <c r="DM742" s="1"/>
      <c r="DN742" s="1"/>
      <c r="DO742" s="1"/>
      <c r="DP742" s="1"/>
      <c r="DQ742" s="1"/>
      <c r="DR742" s="1"/>
      <c r="DS742" s="1"/>
      <c r="DT742" s="1"/>
      <c r="DU742" s="1"/>
      <c r="DV742" s="1"/>
      <c r="DW742" s="1"/>
      <c r="DX742" s="1"/>
      <c r="DY742" s="1"/>
      <c r="DZ742" s="1"/>
      <c r="EA742" s="1"/>
      <c r="EB742" s="1"/>
      <c r="EC742" s="1"/>
      <c r="ED742" s="1"/>
      <c r="EE742" s="1"/>
      <c r="EF742" s="1"/>
      <c r="EG742" s="1"/>
      <c r="EH742" s="1"/>
      <c r="EI742" s="1"/>
      <c r="EJ742" s="1"/>
      <c r="EK742" s="1"/>
      <c r="EL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c r="BR743" s="1"/>
      <c r="BS743" s="1"/>
      <c r="BT743" s="1"/>
      <c r="BU743" s="1"/>
      <c r="BV743" s="1"/>
      <c r="BW743" s="1"/>
      <c r="BX743" s="1"/>
      <c r="BY743" s="1"/>
      <c r="BZ743" s="1"/>
      <c r="CA743" s="1"/>
      <c r="CB743" s="1"/>
      <c r="CC743" s="1"/>
      <c r="CD743" s="1"/>
      <c r="CE743" s="1"/>
      <c r="CF743" s="1"/>
      <c r="CG743" s="1"/>
      <c r="CH743" s="1"/>
      <c r="CI743" s="1"/>
      <c r="CJ743" s="1"/>
      <c r="CK743" s="1"/>
      <c r="CL743" s="1"/>
      <c r="CM743" s="1"/>
      <c r="CN743" s="1"/>
      <c r="CO743" s="1"/>
      <c r="CP743" s="1"/>
      <c r="CQ743" s="1"/>
      <c r="CR743" s="1"/>
      <c r="CS743" s="1"/>
      <c r="CT743" s="1"/>
      <c r="CU743" s="1"/>
      <c r="CV743" s="1"/>
      <c r="CW743" s="1"/>
      <c r="CX743" s="1"/>
      <c r="CY743" s="1"/>
      <c r="CZ743" s="1"/>
      <c r="DA743" s="1"/>
      <c r="DB743" s="1"/>
      <c r="DC743" s="1"/>
      <c r="DD743" s="1"/>
      <c r="DE743" s="1"/>
      <c r="DF743" s="1"/>
      <c r="DG743" s="1"/>
      <c r="DH743" s="1"/>
      <c r="DI743" s="1"/>
      <c r="DJ743" s="1"/>
      <c r="DK743" s="1"/>
      <c r="DL743" s="1"/>
      <c r="DM743" s="1"/>
      <c r="DN743" s="1"/>
      <c r="DO743" s="1"/>
      <c r="DP743" s="1"/>
      <c r="DQ743" s="1"/>
      <c r="DR743" s="1"/>
      <c r="DS743" s="1"/>
      <c r="DT743" s="1"/>
      <c r="DU743" s="1"/>
      <c r="DV743" s="1"/>
      <c r="DW743" s="1"/>
      <c r="DX743" s="1"/>
      <c r="DY743" s="1"/>
      <c r="DZ743" s="1"/>
      <c r="EA743" s="1"/>
      <c r="EB743" s="1"/>
      <c r="EC743" s="1"/>
      <c r="ED743" s="1"/>
      <c r="EE743" s="1"/>
      <c r="EF743" s="1"/>
      <c r="EG743" s="1"/>
      <c r="EH743" s="1"/>
      <c r="EI743" s="1"/>
      <c r="EJ743" s="1"/>
      <c r="EK743" s="1"/>
      <c r="EL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c r="BR744" s="1"/>
      <c r="BS744" s="1"/>
      <c r="BT744" s="1"/>
      <c r="BU744" s="1"/>
      <c r="BV744" s="1"/>
      <c r="BW744" s="1"/>
      <c r="BX744" s="1"/>
      <c r="BY744" s="1"/>
      <c r="BZ744" s="1"/>
      <c r="CA744" s="1"/>
      <c r="CB744" s="1"/>
      <c r="CC744" s="1"/>
      <c r="CD744" s="1"/>
      <c r="CE744" s="1"/>
      <c r="CF744" s="1"/>
      <c r="CG744" s="1"/>
      <c r="CH744" s="1"/>
      <c r="CI744" s="1"/>
      <c r="CJ744" s="1"/>
      <c r="CK744" s="1"/>
      <c r="CL744" s="1"/>
      <c r="CM744" s="1"/>
      <c r="CN744" s="1"/>
      <c r="CO744" s="1"/>
      <c r="CP744" s="1"/>
      <c r="CQ744" s="1"/>
      <c r="CR744" s="1"/>
      <c r="CS744" s="1"/>
      <c r="CT744" s="1"/>
      <c r="CU744" s="1"/>
      <c r="CV744" s="1"/>
      <c r="CW744" s="1"/>
      <c r="CX744" s="1"/>
      <c r="CY744" s="1"/>
      <c r="CZ744" s="1"/>
      <c r="DA744" s="1"/>
      <c r="DB744" s="1"/>
      <c r="DC744" s="1"/>
      <c r="DD744" s="1"/>
      <c r="DE744" s="1"/>
      <c r="DF744" s="1"/>
      <c r="DG744" s="1"/>
      <c r="DH744" s="1"/>
      <c r="DI744" s="1"/>
      <c r="DJ744" s="1"/>
      <c r="DK744" s="1"/>
      <c r="DL744" s="1"/>
      <c r="DM744" s="1"/>
      <c r="DN744" s="1"/>
      <c r="DO744" s="1"/>
      <c r="DP744" s="1"/>
      <c r="DQ744" s="1"/>
      <c r="DR744" s="1"/>
      <c r="DS744" s="1"/>
      <c r="DT744" s="1"/>
      <c r="DU744" s="1"/>
      <c r="DV744" s="1"/>
      <c r="DW744" s="1"/>
      <c r="DX744" s="1"/>
      <c r="DY744" s="1"/>
      <c r="DZ744" s="1"/>
      <c r="EA744" s="1"/>
      <c r="EB744" s="1"/>
      <c r="EC744" s="1"/>
      <c r="ED744" s="1"/>
      <c r="EE744" s="1"/>
      <c r="EF744" s="1"/>
      <c r="EG744" s="1"/>
      <c r="EH744" s="1"/>
      <c r="EI744" s="1"/>
      <c r="EJ744" s="1"/>
      <c r="EK744" s="1"/>
      <c r="EL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c r="BR745" s="1"/>
      <c r="BS745" s="1"/>
      <c r="BT745" s="1"/>
      <c r="BU745" s="1"/>
      <c r="BV745" s="1"/>
      <c r="BW745" s="1"/>
      <c r="BX745" s="1"/>
      <c r="BY745" s="1"/>
      <c r="BZ745" s="1"/>
      <c r="CA745" s="1"/>
      <c r="CB745" s="1"/>
      <c r="CC745" s="1"/>
      <c r="CD745" s="1"/>
      <c r="CE745" s="1"/>
      <c r="CF745" s="1"/>
      <c r="CG745" s="1"/>
      <c r="CH745" s="1"/>
      <c r="CI745" s="1"/>
      <c r="CJ745" s="1"/>
      <c r="CK745" s="1"/>
      <c r="CL745" s="1"/>
      <c r="CM745" s="1"/>
      <c r="CN745" s="1"/>
      <c r="CO745" s="1"/>
      <c r="CP745" s="1"/>
      <c r="CQ745" s="1"/>
      <c r="CR745" s="1"/>
      <c r="CS745" s="1"/>
      <c r="CT745" s="1"/>
      <c r="CU745" s="1"/>
      <c r="CV745" s="1"/>
      <c r="CW745" s="1"/>
      <c r="CX745" s="1"/>
      <c r="CY745" s="1"/>
      <c r="CZ745" s="1"/>
      <c r="DA745" s="1"/>
      <c r="DB745" s="1"/>
      <c r="DC745" s="1"/>
      <c r="DD745" s="1"/>
      <c r="DE745" s="1"/>
      <c r="DF745" s="1"/>
      <c r="DG745" s="1"/>
      <c r="DH745" s="1"/>
      <c r="DI745" s="1"/>
      <c r="DJ745" s="1"/>
      <c r="DK745" s="1"/>
      <c r="DL745" s="1"/>
      <c r="DM745" s="1"/>
      <c r="DN745" s="1"/>
      <c r="DO745" s="1"/>
      <c r="DP745" s="1"/>
      <c r="DQ745" s="1"/>
      <c r="DR745" s="1"/>
      <c r="DS745" s="1"/>
      <c r="DT745" s="1"/>
      <c r="DU745" s="1"/>
      <c r="DV745" s="1"/>
      <c r="DW745" s="1"/>
      <c r="DX745" s="1"/>
      <c r="DY745" s="1"/>
      <c r="DZ745" s="1"/>
      <c r="EA745" s="1"/>
      <c r="EB745" s="1"/>
      <c r="EC745" s="1"/>
      <c r="ED745" s="1"/>
      <c r="EE745" s="1"/>
      <c r="EF745" s="1"/>
      <c r="EG745" s="1"/>
      <c r="EH745" s="1"/>
      <c r="EI745" s="1"/>
      <c r="EJ745" s="1"/>
      <c r="EK745" s="1"/>
      <c r="EL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c r="BR746" s="1"/>
      <c r="BS746" s="1"/>
      <c r="BT746" s="1"/>
      <c r="BU746" s="1"/>
      <c r="BV746" s="1"/>
      <c r="BW746" s="1"/>
      <c r="BX746" s="1"/>
      <c r="BY746" s="1"/>
      <c r="BZ746" s="1"/>
      <c r="CA746" s="1"/>
      <c r="CB746" s="1"/>
      <c r="CC746" s="1"/>
      <c r="CD746" s="1"/>
      <c r="CE746" s="1"/>
      <c r="CF746" s="1"/>
      <c r="CG746" s="1"/>
      <c r="CH746" s="1"/>
      <c r="CI746" s="1"/>
      <c r="CJ746" s="1"/>
      <c r="CK746" s="1"/>
      <c r="CL746" s="1"/>
      <c r="CM746" s="1"/>
      <c r="CN746" s="1"/>
      <c r="CO746" s="1"/>
      <c r="CP746" s="1"/>
      <c r="CQ746" s="1"/>
      <c r="CR746" s="1"/>
      <c r="CS746" s="1"/>
      <c r="CT746" s="1"/>
      <c r="CU746" s="1"/>
      <c r="CV746" s="1"/>
      <c r="CW746" s="1"/>
      <c r="CX746" s="1"/>
      <c r="CY746" s="1"/>
      <c r="CZ746" s="1"/>
      <c r="DA746" s="1"/>
      <c r="DB746" s="1"/>
      <c r="DC746" s="1"/>
      <c r="DD746" s="1"/>
      <c r="DE746" s="1"/>
      <c r="DF746" s="1"/>
      <c r="DG746" s="1"/>
      <c r="DH746" s="1"/>
      <c r="DI746" s="1"/>
      <c r="DJ746" s="1"/>
      <c r="DK746" s="1"/>
      <c r="DL746" s="1"/>
      <c r="DM746" s="1"/>
      <c r="DN746" s="1"/>
      <c r="DO746" s="1"/>
      <c r="DP746" s="1"/>
      <c r="DQ746" s="1"/>
      <c r="DR746" s="1"/>
      <c r="DS746" s="1"/>
      <c r="DT746" s="1"/>
      <c r="DU746" s="1"/>
      <c r="DV746" s="1"/>
      <c r="DW746" s="1"/>
      <c r="DX746" s="1"/>
      <c r="DY746" s="1"/>
      <c r="DZ746" s="1"/>
      <c r="EA746" s="1"/>
      <c r="EB746" s="1"/>
      <c r="EC746" s="1"/>
      <c r="ED746" s="1"/>
      <c r="EE746" s="1"/>
      <c r="EF746" s="1"/>
      <c r="EG746" s="1"/>
      <c r="EH746" s="1"/>
      <c r="EI746" s="1"/>
      <c r="EJ746" s="1"/>
      <c r="EK746" s="1"/>
      <c r="EL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c r="BR747" s="1"/>
      <c r="BS747" s="1"/>
      <c r="BT747" s="1"/>
      <c r="BU747" s="1"/>
      <c r="BV747" s="1"/>
      <c r="BW747" s="1"/>
      <c r="BX747" s="1"/>
      <c r="BY747" s="1"/>
      <c r="BZ747" s="1"/>
      <c r="CA747" s="1"/>
      <c r="CB747" s="1"/>
      <c r="CC747" s="1"/>
      <c r="CD747" s="1"/>
      <c r="CE747" s="1"/>
      <c r="CF747" s="1"/>
      <c r="CG747" s="1"/>
      <c r="CH747" s="1"/>
      <c r="CI747" s="1"/>
      <c r="CJ747" s="1"/>
      <c r="CK747" s="1"/>
      <c r="CL747" s="1"/>
      <c r="CM747" s="1"/>
      <c r="CN747" s="1"/>
      <c r="CO747" s="1"/>
      <c r="CP747" s="1"/>
      <c r="CQ747" s="1"/>
      <c r="CR747" s="1"/>
      <c r="CS747" s="1"/>
      <c r="CT747" s="1"/>
      <c r="CU747" s="1"/>
      <c r="CV747" s="1"/>
      <c r="CW747" s="1"/>
      <c r="CX747" s="1"/>
      <c r="CY747" s="1"/>
      <c r="CZ747" s="1"/>
      <c r="DA747" s="1"/>
      <c r="DB747" s="1"/>
      <c r="DC747" s="1"/>
      <c r="DD747" s="1"/>
      <c r="DE747" s="1"/>
      <c r="DF747" s="1"/>
      <c r="DG747" s="1"/>
      <c r="DH747" s="1"/>
      <c r="DI747" s="1"/>
      <c r="DJ747" s="1"/>
      <c r="DK747" s="1"/>
      <c r="DL747" s="1"/>
      <c r="DM747" s="1"/>
      <c r="DN747" s="1"/>
      <c r="DO747" s="1"/>
      <c r="DP747" s="1"/>
      <c r="DQ747" s="1"/>
      <c r="DR747" s="1"/>
      <c r="DS747" s="1"/>
      <c r="DT747" s="1"/>
      <c r="DU747" s="1"/>
      <c r="DV747" s="1"/>
      <c r="DW747" s="1"/>
      <c r="DX747" s="1"/>
      <c r="DY747" s="1"/>
      <c r="DZ747" s="1"/>
      <c r="EA747" s="1"/>
      <c r="EB747" s="1"/>
      <c r="EC747" s="1"/>
      <c r="ED747" s="1"/>
      <c r="EE747" s="1"/>
      <c r="EF747" s="1"/>
      <c r="EG747" s="1"/>
      <c r="EH747" s="1"/>
      <c r="EI747" s="1"/>
      <c r="EJ747" s="1"/>
      <c r="EK747" s="1"/>
      <c r="EL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c r="BR748" s="1"/>
      <c r="BS748" s="1"/>
      <c r="BT748" s="1"/>
      <c r="BU748" s="1"/>
      <c r="BV748" s="1"/>
      <c r="BW748" s="1"/>
      <c r="BX748" s="1"/>
      <c r="BY748" s="1"/>
      <c r="BZ748" s="1"/>
      <c r="CA748" s="1"/>
      <c r="CB748" s="1"/>
      <c r="CC748" s="1"/>
      <c r="CD748" s="1"/>
      <c r="CE748" s="1"/>
      <c r="CF748" s="1"/>
      <c r="CG748" s="1"/>
      <c r="CH748" s="1"/>
      <c r="CI748" s="1"/>
      <c r="CJ748" s="1"/>
      <c r="CK748" s="1"/>
      <c r="CL748" s="1"/>
      <c r="CM748" s="1"/>
      <c r="CN748" s="1"/>
      <c r="CO748" s="1"/>
      <c r="CP748" s="1"/>
      <c r="CQ748" s="1"/>
      <c r="CR748" s="1"/>
      <c r="CS748" s="1"/>
      <c r="CT748" s="1"/>
      <c r="CU748" s="1"/>
      <c r="CV748" s="1"/>
      <c r="CW748" s="1"/>
      <c r="CX748" s="1"/>
      <c r="CY748" s="1"/>
      <c r="CZ748" s="1"/>
      <c r="DA748" s="1"/>
      <c r="DB748" s="1"/>
      <c r="DC748" s="1"/>
      <c r="DD748" s="1"/>
      <c r="DE748" s="1"/>
      <c r="DF748" s="1"/>
      <c r="DG748" s="1"/>
      <c r="DH748" s="1"/>
      <c r="DI748" s="1"/>
      <c r="DJ748" s="1"/>
      <c r="DK748" s="1"/>
      <c r="DL748" s="1"/>
      <c r="DM748" s="1"/>
      <c r="DN748" s="1"/>
      <c r="DO748" s="1"/>
      <c r="DP748" s="1"/>
      <c r="DQ748" s="1"/>
      <c r="DR748" s="1"/>
      <c r="DS748" s="1"/>
      <c r="DT748" s="1"/>
      <c r="DU748" s="1"/>
      <c r="DV748" s="1"/>
      <c r="DW748" s="1"/>
      <c r="DX748" s="1"/>
      <c r="DY748" s="1"/>
      <c r="DZ748" s="1"/>
      <c r="EA748" s="1"/>
      <c r="EB748" s="1"/>
      <c r="EC748" s="1"/>
      <c r="ED748" s="1"/>
      <c r="EE748" s="1"/>
      <c r="EF748" s="1"/>
      <c r="EG748" s="1"/>
      <c r="EH748" s="1"/>
      <c r="EI748" s="1"/>
      <c r="EJ748" s="1"/>
      <c r="EK748" s="1"/>
      <c r="EL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c r="BR749" s="1"/>
      <c r="BS749" s="1"/>
      <c r="BT749" s="1"/>
      <c r="BU749" s="1"/>
      <c r="BV749" s="1"/>
      <c r="BW749" s="1"/>
      <c r="BX749" s="1"/>
      <c r="BY749" s="1"/>
      <c r="BZ749" s="1"/>
      <c r="CA749" s="1"/>
      <c r="CB749" s="1"/>
      <c r="CC749" s="1"/>
      <c r="CD749" s="1"/>
      <c r="CE749" s="1"/>
      <c r="CF749" s="1"/>
      <c r="CG749" s="1"/>
      <c r="CH749" s="1"/>
      <c r="CI749" s="1"/>
      <c r="CJ749" s="1"/>
      <c r="CK749" s="1"/>
      <c r="CL749" s="1"/>
      <c r="CM749" s="1"/>
      <c r="CN749" s="1"/>
      <c r="CO749" s="1"/>
      <c r="CP749" s="1"/>
      <c r="CQ749" s="1"/>
      <c r="CR749" s="1"/>
      <c r="CS749" s="1"/>
      <c r="CT749" s="1"/>
      <c r="CU749" s="1"/>
      <c r="CV749" s="1"/>
      <c r="CW749" s="1"/>
      <c r="CX749" s="1"/>
      <c r="CY749" s="1"/>
      <c r="CZ749" s="1"/>
      <c r="DA749" s="1"/>
      <c r="DB749" s="1"/>
      <c r="DC749" s="1"/>
      <c r="DD749" s="1"/>
      <c r="DE749" s="1"/>
      <c r="DF749" s="1"/>
      <c r="DG749" s="1"/>
      <c r="DH749" s="1"/>
      <c r="DI749" s="1"/>
      <c r="DJ749" s="1"/>
      <c r="DK749" s="1"/>
      <c r="DL749" s="1"/>
      <c r="DM749" s="1"/>
      <c r="DN749" s="1"/>
      <c r="DO749" s="1"/>
      <c r="DP749" s="1"/>
      <c r="DQ749" s="1"/>
      <c r="DR749" s="1"/>
      <c r="DS749" s="1"/>
      <c r="DT749" s="1"/>
      <c r="DU749" s="1"/>
      <c r="DV749" s="1"/>
      <c r="DW749" s="1"/>
      <c r="DX749" s="1"/>
      <c r="DY749" s="1"/>
      <c r="DZ749" s="1"/>
      <c r="EA749" s="1"/>
      <c r="EB749" s="1"/>
      <c r="EC749" s="1"/>
      <c r="ED749" s="1"/>
      <c r="EE749" s="1"/>
      <c r="EF749" s="1"/>
      <c r="EG749" s="1"/>
      <c r="EH749" s="1"/>
      <c r="EI749" s="1"/>
      <c r="EJ749" s="1"/>
      <c r="EK749" s="1"/>
      <c r="EL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c r="BR750" s="1"/>
      <c r="BS750" s="1"/>
      <c r="BT750" s="1"/>
      <c r="BU750" s="1"/>
      <c r="BV750" s="1"/>
      <c r="BW750" s="1"/>
      <c r="BX750" s="1"/>
      <c r="BY750" s="1"/>
      <c r="BZ750" s="1"/>
      <c r="CA750" s="1"/>
      <c r="CB750" s="1"/>
      <c r="CC750" s="1"/>
      <c r="CD750" s="1"/>
      <c r="CE750" s="1"/>
      <c r="CF750" s="1"/>
      <c r="CG750" s="1"/>
      <c r="CH750" s="1"/>
      <c r="CI750" s="1"/>
      <c r="CJ750" s="1"/>
      <c r="CK750" s="1"/>
      <c r="CL750" s="1"/>
      <c r="CM750" s="1"/>
      <c r="CN750" s="1"/>
      <c r="CO750" s="1"/>
      <c r="CP750" s="1"/>
      <c r="CQ750" s="1"/>
      <c r="CR750" s="1"/>
      <c r="CS750" s="1"/>
      <c r="CT750" s="1"/>
      <c r="CU750" s="1"/>
      <c r="CV750" s="1"/>
      <c r="CW750" s="1"/>
      <c r="CX750" s="1"/>
      <c r="CY750" s="1"/>
      <c r="CZ750" s="1"/>
      <c r="DA750" s="1"/>
      <c r="DB750" s="1"/>
      <c r="DC750" s="1"/>
      <c r="DD750" s="1"/>
      <c r="DE750" s="1"/>
      <c r="DF750" s="1"/>
      <c r="DG750" s="1"/>
      <c r="DH750" s="1"/>
      <c r="DI750" s="1"/>
      <c r="DJ750" s="1"/>
      <c r="DK750" s="1"/>
      <c r="DL750" s="1"/>
      <c r="DM750" s="1"/>
      <c r="DN750" s="1"/>
      <c r="DO750" s="1"/>
      <c r="DP750" s="1"/>
      <c r="DQ750" s="1"/>
      <c r="DR750" s="1"/>
      <c r="DS750" s="1"/>
      <c r="DT750" s="1"/>
      <c r="DU750" s="1"/>
      <c r="DV750" s="1"/>
      <c r="DW750" s="1"/>
      <c r="DX750" s="1"/>
      <c r="DY750" s="1"/>
      <c r="DZ750" s="1"/>
      <c r="EA750" s="1"/>
      <c r="EB750" s="1"/>
      <c r="EC750" s="1"/>
      <c r="ED750" s="1"/>
      <c r="EE750" s="1"/>
      <c r="EF750" s="1"/>
      <c r="EG750" s="1"/>
      <c r="EH750" s="1"/>
      <c r="EI750" s="1"/>
      <c r="EJ750" s="1"/>
      <c r="EK750" s="1"/>
      <c r="EL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c r="BR751" s="1"/>
      <c r="BS751" s="1"/>
      <c r="BT751" s="1"/>
      <c r="BU751" s="1"/>
      <c r="BV751" s="1"/>
      <c r="BW751" s="1"/>
      <c r="BX751" s="1"/>
      <c r="BY751" s="1"/>
      <c r="BZ751" s="1"/>
      <c r="CA751" s="1"/>
      <c r="CB751" s="1"/>
      <c r="CC751" s="1"/>
      <c r="CD751" s="1"/>
      <c r="CE751" s="1"/>
      <c r="CF751" s="1"/>
      <c r="CG751" s="1"/>
      <c r="CH751" s="1"/>
      <c r="CI751" s="1"/>
      <c r="CJ751" s="1"/>
      <c r="CK751" s="1"/>
      <c r="CL751" s="1"/>
      <c r="CM751" s="1"/>
      <c r="CN751" s="1"/>
      <c r="CO751" s="1"/>
      <c r="CP751" s="1"/>
      <c r="CQ751" s="1"/>
      <c r="CR751" s="1"/>
      <c r="CS751" s="1"/>
      <c r="CT751" s="1"/>
      <c r="CU751" s="1"/>
      <c r="CV751" s="1"/>
      <c r="CW751" s="1"/>
      <c r="CX751" s="1"/>
      <c r="CY751" s="1"/>
      <c r="CZ751" s="1"/>
      <c r="DA751" s="1"/>
      <c r="DB751" s="1"/>
      <c r="DC751" s="1"/>
      <c r="DD751" s="1"/>
      <c r="DE751" s="1"/>
      <c r="DF751" s="1"/>
      <c r="DG751" s="1"/>
      <c r="DH751" s="1"/>
      <c r="DI751" s="1"/>
      <c r="DJ751" s="1"/>
      <c r="DK751" s="1"/>
      <c r="DL751" s="1"/>
      <c r="DM751" s="1"/>
      <c r="DN751" s="1"/>
      <c r="DO751" s="1"/>
      <c r="DP751" s="1"/>
      <c r="DQ751" s="1"/>
      <c r="DR751" s="1"/>
      <c r="DS751" s="1"/>
      <c r="DT751" s="1"/>
      <c r="DU751" s="1"/>
      <c r="DV751" s="1"/>
      <c r="DW751" s="1"/>
      <c r="DX751" s="1"/>
      <c r="DY751" s="1"/>
      <c r="DZ751" s="1"/>
      <c r="EA751" s="1"/>
      <c r="EB751" s="1"/>
      <c r="EC751" s="1"/>
      <c r="ED751" s="1"/>
      <c r="EE751" s="1"/>
      <c r="EF751" s="1"/>
      <c r="EG751" s="1"/>
      <c r="EH751" s="1"/>
      <c r="EI751" s="1"/>
      <c r="EJ751" s="1"/>
      <c r="EK751" s="1"/>
      <c r="EL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c r="BR752" s="1"/>
      <c r="BS752" s="1"/>
      <c r="BT752" s="1"/>
      <c r="BU752" s="1"/>
      <c r="BV752" s="1"/>
      <c r="BW752" s="1"/>
      <c r="BX752" s="1"/>
      <c r="BY752" s="1"/>
      <c r="BZ752" s="1"/>
      <c r="CA752" s="1"/>
      <c r="CB752" s="1"/>
      <c r="CC752" s="1"/>
      <c r="CD752" s="1"/>
      <c r="CE752" s="1"/>
      <c r="CF752" s="1"/>
      <c r="CG752" s="1"/>
      <c r="CH752" s="1"/>
      <c r="CI752" s="1"/>
      <c r="CJ752" s="1"/>
      <c r="CK752" s="1"/>
      <c r="CL752" s="1"/>
      <c r="CM752" s="1"/>
      <c r="CN752" s="1"/>
      <c r="CO752" s="1"/>
      <c r="CP752" s="1"/>
      <c r="CQ752" s="1"/>
      <c r="CR752" s="1"/>
      <c r="CS752" s="1"/>
      <c r="CT752" s="1"/>
      <c r="CU752" s="1"/>
      <c r="CV752" s="1"/>
      <c r="CW752" s="1"/>
      <c r="CX752" s="1"/>
      <c r="CY752" s="1"/>
      <c r="CZ752" s="1"/>
      <c r="DA752" s="1"/>
      <c r="DB752" s="1"/>
      <c r="DC752" s="1"/>
      <c r="DD752" s="1"/>
      <c r="DE752" s="1"/>
      <c r="DF752" s="1"/>
      <c r="DG752" s="1"/>
      <c r="DH752" s="1"/>
      <c r="DI752" s="1"/>
      <c r="DJ752" s="1"/>
      <c r="DK752" s="1"/>
      <c r="DL752" s="1"/>
      <c r="DM752" s="1"/>
      <c r="DN752" s="1"/>
      <c r="DO752" s="1"/>
      <c r="DP752" s="1"/>
      <c r="DQ752" s="1"/>
      <c r="DR752" s="1"/>
      <c r="DS752" s="1"/>
      <c r="DT752" s="1"/>
      <c r="DU752" s="1"/>
      <c r="DV752" s="1"/>
      <c r="DW752" s="1"/>
      <c r="DX752" s="1"/>
      <c r="DY752" s="1"/>
      <c r="DZ752" s="1"/>
      <c r="EA752" s="1"/>
      <c r="EB752" s="1"/>
      <c r="EC752" s="1"/>
      <c r="ED752" s="1"/>
      <c r="EE752" s="1"/>
      <c r="EF752" s="1"/>
      <c r="EG752" s="1"/>
      <c r="EH752" s="1"/>
      <c r="EI752" s="1"/>
      <c r="EJ752" s="1"/>
      <c r="EK752" s="1"/>
      <c r="EL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c r="BR753" s="1"/>
      <c r="BS753" s="1"/>
      <c r="BT753" s="1"/>
      <c r="BU753" s="1"/>
      <c r="BV753" s="1"/>
      <c r="BW753" s="1"/>
      <c r="BX753" s="1"/>
      <c r="BY753" s="1"/>
      <c r="BZ753" s="1"/>
      <c r="CA753" s="1"/>
      <c r="CB753" s="1"/>
      <c r="CC753" s="1"/>
      <c r="CD753" s="1"/>
      <c r="CE753" s="1"/>
      <c r="CF753" s="1"/>
      <c r="CG753" s="1"/>
      <c r="CH753" s="1"/>
      <c r="CI753" s="1"/>
      <c r="CJ753" s="1"/>
      <c r="CK753" s="1"/>
      <c r="CL753" s="1"/>
      <c r="CM753" s="1"/>
      <c r="CN753" s="1"/>
      <c r="CO753" s="1"/>
      <c r="CP753" s="1"/>
      <c r="CQ753" s="1"/>
      <c r="CR753" s="1"/>
      <c r="CS753" s="1"/>
      <c r="CT753" s="1"/>
      <c r="CU753" s="1"/>
      <c r="CV753" s="1"/>
      <c r="CW753" s="1"/>
      <c r="CX753" s="1"/>
      <c r="CY753" s="1"/>
      <c r="CZ753" s="1"/>
      <c r="DA753" s="1"/>
      <c r="DB753" s="1"/>
      <c r="DC753" s="1"/>
      <c r="DD753" s="1"/>
      <c r="DE753" s="1"/>
      <c r="DF753" s="1"/>
      <c r="DG753" s="1"/>
      <c r="DH753" s="1"/>
      <c r="DI753" s="1"/>
      <c r="DJ753" s="1"/>
      <c r="DK753" s="1"/>
      <c r="DL753" s="1"/>
      <c r="DM753" s="1"/>
      <c r="DN753" s="1"/>
      <c r="DO753" s="1"/>
      <c r="DP753" s="1"/>
      <c r="DQ753" s="1"/>
      <c r="DR753" s="1"/>
      <c r="DS753" s="1"/>
      <c r="DT753" s="1"/>
      <c r="DU753" s="1"/>
      <c r="DV753" s="1"/>
      <c r="DW753" s="1"/>
      <c r="DX753" s="1"/>
      <c r="DY753" s="1"/>
      <c r="DZ753" s="1"/>
      <c r="EA753" s="1"/>
      <c r="EB753" s="1"/>
      <c r="EC753" s="1"/>
      <c r="ED753" s="1"/>
      <c r="EE753" s="1"/>
      <c r="EF753" s="1"/>
      <c r="EG753" s="1"/>
      <c r="EH753" s="1"/>
      <c r="EI753" s="1"/>
      <c r="EJ753" s="1"/>
      <c r="EK753" s="1"/>
      <c r="EL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c r="BR754" s="1"/>
      <c r="BS754" s="1"/>
      <c r="BT754" s="1"/>
      <c r="BU754" s="1"/>
      <c r="BV754" s="1"/>
      <c r="BW754" s="1"/>
      <c r="BX754" s="1"/>
      <c r="BY754" s="1"/>
      <c r="BZ754" s="1"/>
      <c r="CA754" s="1"/>
      <c r="CB754" s="1"/>
      <c r="CC754" s="1"/>
      <c r="CD754" s="1"/>
      <c r="CE754" s="1"/>
      <c r="CF754" s="1"/>
      <c r="CG754" s="1"/>
      <c r="CH754" s="1"/>
      <c r="CI754" s="1"/>
      <c r="CJ754" s="1"/>
      <c r="CK754" s="1"/>
      <c r="CL754" s="1"/>
      <c r="CM754" s="1"/>
      <c r="CN754" s="1"/>
      <c r="CO754" s="1"/>
      <c r="CP754" s="1"/>
      <c r="CQ754" s="1"/>
      <c r="CR754" s="1"/>
      <c r="CS754" s="1"/>
      <c r="CT754" s="1"/>
      <c r="CU754" s="1"/>
      <c r="CV754" s="1"/>
      <c r="CW754" s="1"/>
      <c r="CX754" s="1"/>
      <c r="CY754" s="1"/>
      <c r="CZ754" s="1"/>
      <c r="DA754" s="1"/>
      <c r="DB754" s="1"/>
      <c r="DC754" s="1"/>
      <c r="DD754" s="1"/>
      <c r="DE754" s="1"/>
      <c r="DF754" s="1"/>
      <c r="DG754" s="1"/>
      <c r="DH754" s="1"/>
      <c r="DI754" s="1"/>
      <c r="DJ754" s="1"/>
      <c r="DK754" s="1"/>
      <c r="DL754" s="1"/>
      <c r="DM754" s="1"/>
      <c r="DN754" s="1"/>
      <c r="DO754" s="1"/>
      <c r="DP754" s="1"/>
      <c r="DQ754" s="1"/>
      <c r="DR754" s="1"/>
      <c r="DS754" s="1"/>
      <c r="DT754" s="1"/>
      <c r="DU754" s="1"/>
      <c r="DV754" s="1"/>
      <c r="DW754" s="1"/>
      <c r="DX754" s="1"/>
      <c r="DY754" s="1"/>
      <c r="DZ754" s="1"/>
      <c r="EA754" s="1"/>
      <c r="EB754" s="1"/>
      <c r="EC754" s="1"/>
      <c r="ED754" s="1"/>
      <c r="EE754" s="1"/>
      <c r="EF754" s="1"/>
      <c r="EG754" s="1"/>
      <c r="EH754" s="1"/>
      <c r="EI754" s="1"/>
      <c r="EJ754" s="1"/>
      <c r="EK754" s="1"/>
      <c r="EL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c r="BR755" s="1"/>
      <c r="BS755" s="1"/>
      <c r="BT755" s="1"/>
      <c r="BU755" s="1"/>
      <c r="BV755" s="1"/>
      <c r="BW755" s="1"/>
      <c r="BX755" s="1"/>
      <c r="BY755" s="1"/>
      <c r="BZ755" s="1"/>
      <c r="CA755" s="1"/>
      <c r="CB755" s="1"/>
      <c r="CC755" s="1"/>
      <c r="CD755" s="1"/>
      <c r="CE755" s="1"/>
      <c r="CF755" s="1"/>
      <c r="CG755" s="1"/>
      <c r="CH755" s="1"/>
      <c r="CI755" s="1"/>
      <c r="CJ755" s="1"/>
      <c r="CK755" s="1"/>
      <c r="CL755" s="1"/>
      <c r="CM755" s="1"/>
      <c r="CN755" s="1"/>
      <c r="CO755" s="1"/>
      <c r="CP755" s="1"/>
      <c r="CQ755" s="1"/>
      <c r="CR755" s="1"/>
      <c r="CS755" s="1"/>
      <c r="CT755" s="1"/>
      <c r="CU755" s="1"/>
      <c r="CV755" s="1"/>
      <c r="CW755" s="1"/>
      <c r="CX755" s="1"/>
      <c r="CY755" s="1"/>
      <c r="CZ755" s="1"/>
      <c r="DA755" s="1"/>
      <c r="DB755" s="1"/>
      <c r="DC755" s="1"/>
      <c r="DD755" s="1"/>
      <c r="DE755" s="1"/>
      <c r="DF755" s="1"/>
      <c r="DG755" s="1"/>
      <c r="DH755" s="1"/>
      <c r="DI755" s="1"/>
      <c r="DJ755" s="1"/>
      <c r="DK755" s="1"/>
      <c r="DL755" s="1"/>
      <c r="DM755" s="1"/>
      <c r="DN755" s="1"/>
      <c r="DO755" s="1"/>
      <c r="DP755" s="1"/>
      <c r="DQ755" s="1"/>
      <c r="DR755" s="1"/>
      <c r="DS755" s="1"/>
      <c r="DT755" s="1"/>
      <c r="DU755" s="1"/>
      <c r="DV755" s="1"/>
      <c r="DW755" s="1"/>
      <c r="DX755" s="1"/>
      <c r="DY755" s="1"/>
      <c r="DZ755" s="1"/>
      <c r="EA755" s="1"/>
      <c r="EB755" s="1"/>
      <c r="EC755" s="1"/>
      <c r="ED755" s="1"/>
      <c r="EE755" s="1"/>
      <c r="EF755" s="1"/>
      <c r="EG755" s="1"/>
      <c r="EH755" s="1"/>
      <c r="EI755" s="1"/>
      <c r="EJ755" s="1"/>
      <c r="EK755" s="1"/>
      <c r="EL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c r="BR756" s="1"/>
      <c r="BS756" s="1"/>
      <c r="BT756" s="1"/>
      <c r="BU756" s="1"/>
      <c r="BV756" s="1"/>
      <c r="BW756" s="1"/>
      <c r="BX756" s="1"/>
      <c r="BY756" s="1"/>
      <c r="BZ756" s="1"/>
      <c r="CA756" s="1"/>
      <c r="CB756" s="1"/>
      <c r="CC756" s="1"/>
      <c r="CD756" s="1"/>
      <c r="CE756" s="1"/>
      <c r="CF756" s="1"/>
      <c r="CG756" s="1"/>
      <c r="CH756" s="1"/>
      <c r="CI756" s="1"/>
      <c r="CJ756" s="1"/>
      <c r="CK756" s="1"/>
      <c r="CL756" s="1"/>
      <c r="CM756" s="1"/>
      <c r="CN756" s="1"/>
      <c r="CO756" s="1"/>
      <c r="CP756" s="1"/>
      <c r="CQ756" s="1"/>
      <c r="CR756" s="1"/>
      <c r="CS756" s="1"/>
      <c r="CT756" s="1"/>
      <c r="CU756" s="1"/>
      <c r="CV756" s="1"/>
      <c r="CW756" s="1"/>
      <c r="CX756" s="1"/>
      <c r="CY756" s="1"/>
      <c r="CZ756" s="1"/>
      <c r="DA756" s="1"/>
      <c r="DB756" s="1"/>
      <c r="DC756" s="1"/>
      <c r="DD756" s="1"/>
      <c r="DE756" s="1"/>
      <c r="DF756" s="1"/>
      <c r="DG756" s="1"/>
      <c r="DH756" s="1"/>
      <c r="DI756" s="1"/>
      <c r="DJ756" s="1"/>
      <c r="DK756" s="1"/>
      <c r="DL756" s="1"/>
      <c r="DM756" s="1"/>
      <c r="DN756" s="1"/>
      <c r="DO756" s="1"/>
      <c r="DP756" s="1"/>
      <c r="DQ756" s="1"/>
      <c r="DR756" s="1"/>
      <c r="DS756" s="1"/>
      <c r="DT756" s="1"/>
      <c r="DU756" s="1"/>
      <c r="DV756" s="1"/>
      <c r="DW756" s="1"/>
      <c r="DX756" s="1"/>
      <c r="DY756" s="1"/>
      <c r="DZ756" s="1"/>
      <c r="EA756" s="1"/>
      <c r="EB756" s="1"/>
      <c r="EC756" s="1"/>
      <c r="ED756" s="1"/>
      <c r="EE756" s="1"/>
      <c r="EF756" s="1"/>
      <c r="EG756" s="1"/>
      <c r="EH756" s="1"/>
      <c r="EI756" s="1"/>
      <c r="EJ756" s="1"/>
      <c r="EK756" s="1"/>
      <c r="EL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c r="BR757" s="1"/>
      <c r="BS757" s="1"/>
      <c r="BT757" s="1"/>
      <c r="BU757" s="1"/>
      <c r="BV757" s="1"/>
      <c r="BW757" s="1"/>
      <c r="BX757" s="1"/>
      <c r="BY757" s="1"/>
      <c r="BZ757" s="1"/>
      <c r="CA757" s="1"/>
      <c r="CB757" s="1"/>
      <c r="CC757" s="1"/>
      <c r="CD757" s="1"/>
      <c r="CE757" s="1"/>
      <c r="CF757" s="1"/>
      <c r="CG757" s="1"/>
      <c r="CH757" s="1"/>
      <c r="CI757" s="1"/>
      <c r="CJ757" s="1"/>
      <c r="CK757" s="1"/>
      <c r="CL757" s="1"/>
      <c r="CM757" s="1"/>
      <c r="CN757" s="1"/>
      <c r="CO757" s="1"/>
      <c r="CP757" s="1"/>
      <c r="CQ757" s="1"/>
      <c r="CR757" s="1"/>
      <c r="CS757" s="1"/>
      <c r="CT757" s="1"/>
      <c r="CU757" s="1"/>
      <c r="CV757" s="1"/>
      <c r="CW757" s="1"/>
      <c r="CX757" s="1"/>
      <c r="CY757" s="1"/>
      <c r="CZ757" s="1"/>
      <c r="DA757" s="1"/>
      <c r="DB757" s="1"/>
      <c r="DC757" s="1"/>
      <c r="DD757" s="1"/>
      <c r="DE757" s="1"/>
      <c r="DF757" s="1"/>
      <c r="DG757" s="1"/>
      <c r="DH757" s="1"/>
      <c r="DI757" s="1"/>
      <c r="DJ757" s="1"/>
      <c r="DK757" s="1"/>
      <c r="DL757" s="1"/>
      <c r="DM757" s="1"/>
      <c r="DN757" s="1"/>
      <c r="DO757" s="1"/>
      <c r="DP757" s="1"/>
      <c r="DQ757" s="1"/>
      <c r="DR757" s="1"/>
      <c r="DS757" s="1"/>
      <c r="DT757" s="1"/>
      <c r="DU757" s="1"/>
      <c r="DV757" s="1"/>
      <c r="DW757" s="1"/>
      <c r="DX757" s="1"/>
      <c r="DY757" s="1"/>
      <c r="DZ757" s="1"/>
      <c r="EA757" s="1"/>
      <c r="EB757" s="1"/>
      <c r="EC757" s="1"/>
      <c r="ED757" s="1"/>
      <c r="EE757" s="1"/>
      <c r="EF757" s="1"/>
      <c r="EG757" s="1"/>
      <c r="EH757" s="1"/>
      <c r="EI757" s="1"/>
      <c r="EJ757" s="1"/>
      <c r="EK757" s="1"/>
      <c r="EL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c r="BR758" s="1"/>
      <c r="BS758" s="1"/>
      <c r="BT758" s="1"/>
      <c r="BU758" s="1"/>
      <c r="BV758" s="1"/>
      <c r="BW758" s="1"/>
      <c r="BX758" s="1"/>
      <c r="BY758" s="1"/>
      <c r="BZ758" s="1"/>
      <c r="CA758" s="1"/>
      <c r="CB758" s="1"/>
      <c r="CC758" s="1"/>
      <c r="CD758" s="1"/>
      <c r="CE758" s="1"/>
      <c r="CF758" s="1"/>
      <c r="CG758" s="1"/>
      <c r="CH758" s="1"/>
      <c r="CI758" s="1"/>
      <c r="CJ758" s="1"/>
      <c r="CK758" s="1"/>
      <c r="CL758" s="1"/>
      <c r="CM758" s="1"/>
      <c r="CN758" s="1"/>
      <c r="CO758" s="1"/>
      <c r="CP758" s="1"/>
      <c r="CQ758" s="1"/>
      <c r="CR758" s="1"/>
      <c r="CS758" s="1"/>
      <c r="CT758" s="1"/>
      <c r="CU758" s="1"/>
      <c r="CV758" s="1"/>
      <c r="CW758" s="1"/>
      <c r="CX758" s="1"/>
      <c r="CY758" s="1"/>
      <c r="CZ758" s="1"/>
      <c r="DA758" s="1"/>
      <c r="DB758" s="1"/>
      <c r="DC758" s="1"/>
      <c r="DD758" s="1"/>
      <c r="DE758" s="1"/>
      <c r="DF758" s="1"/>
      <c r="DG758" s="1"/>
      <c r="DH758" s="1"/>
      <c r="DI758" s="1"/>
      <c r="DJ758" s="1"/>
      <c r="DK758" s="1"/>
      <c r="DL758" s="1"/>
      <c r="DM758" s="1"/>
      <c r="DN758" s="1"/>
      <c r="DO758" s="1"/>
      <c r="DP758" s="1"/>
      <c r="DQ758" s="1"/>
      <c r="DR758" s="1"/>
      <c r="DS758" s="1"/>
      <c r="DT758" s="1"/>
      <c r="DU758" s="1"/>
      <c r="DV758" s="1"/>
      <c r="DW758" s="1"/>
      <c r="DX758" s="1"/>
      <c r="DY758" s="1"/>
      <c r="DZ758" s="1"/>
      <c r="EA758" s="1"/>
      <c r="EB758" s="1"/>
      <c r="EC758" s="1"/>
      <c r="ED758" s="1"/>
      <c r="EE758" s="1"/>
      <c r="EF758" s="1"/>
      <c r="EG758" s="1"/>
      <c r="EH758" s="1"/>
      <c r="EI758" s="1"/>
      <c r="EJ758" s="1"/>
      <c r="EK758" s="1"/>
      <c r="EL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c r="BR759" s="1"/>
      <c r="BS759" s="1"/>
      <c r="BT759" s="1"/>
      <c r="BU759" s="1"/>
      <c r="BV759" s="1"/>
      <c r="BW759" s="1"/>
      <c r="BX759" s="1"/>
      <c r="BY759" s="1"/>
      <c r="BZ759" s="1"/>
      <c r="CA759" s="1"/>
      <c r="CB759" s="1"/>
      <c r="CC759" s="1"/>
      <c r="CD759" s="1"/>
      <c r="CE759" s="1"/>
      <c r="CF759" s="1"/>
      <c r="CG759" s="1"/>
      <c r="CH759" s="1"/>
      <c r="CI759" s="1"/>
      <c r="CJ759" s="1"/>
      <c r="CK759" s="1"/>
      <c r="CL759" s="1"/>
      <c r="CM759" s="1"/>
      <c r="CN759" s="1"/>
      <c r="CO759" s="1"/>
      <c r="CP759" s="1"/>
      <c r="CQ759" s="1"/>
      <c r="CR759" s="1"/>
      <c r="CS759" s="1"/>
      <c r="CT759" s="1"/>
      <c r="CU759" s="1"/>
      <c r="CV759" s="1"/>
      <c r="CW759" s="1"/>
      <c r="CX759" s="1"/>
      <c r="CY759" s="1"/>
      <c r="CZ759" s="1"/>
      <c r="DA759" s="1"/>
      <c r="DB759" s="1"/>
      <c r="DC759" s="1"/>
      <c r="DD759" s="1"/>
      <c r="DE759" s="1"/>
      <c r="DF759" s="1"/>
      <c r="DG759" s="1"/>
      <c r="DH759" s="1"/>
      <c r="DI759" s="1"/>
      <c r="DJ759" s="1"/>
      <c r="DK759" s="1"/>
      <c r="DL759" s="1"/>
      <c r="DM759" s="1"/>
      <c r="DN759" s="1"/>
      <c r="DO759" s="1"/>
      <c r="DP759" s="1"/>
      <c r="DQ759" s="1"/>
      <c r="DR759" s="1"/>
      <c r="DS759" s="1"/>
      <c r="DT759" s="1"/>
      <c r="DU759" s="1"/>
      <c r="DV759" s="1"/>
      <c r="DW759" s="1"/>
      <c r="DX759" s="1"/>
      <c r="DY759" s="1"/>
      <c r="DZ759" s="1"/>
      <c r="EA759" s="1"/>
      <c r="EB759" s="1"/>
      <c r="EC759" s="1"/>
      <c r="ED759" s="1"/>
      <c r="EE759" s="1"/>
      <c r="EF759" s="1"/>
      <c r="EG759" s="1"/>
      <c r="EH759" s="1"/>
      <c r="EI759" s="1"/>
      <c r="EJ759" s="1"/>
      <c r="EK759" s="1"/>
      <c r="EL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c r="BR760" s="1"/>
      <c r="BS760" s="1"/>
      <c r="BT760" s="1"/>
      <c r="BU760" s="1"/>
      <c r="BV760" s="1"/>
      <c r="BW760" s="1"/>
      <c r="BX760" s="1"/>
      <c r="BY760" s="1"/>
      <c r="BZ760" s="1"/>
      <c r="CA760" s="1"/>
      <c r="CB760" s="1"/>
      <c r="CC760" s="1"/>
      <c r="CD760" s="1"/>
      <c r="CE760" s="1"/>
      <c r="CF760" s="1"/>
      <c r="CG760" s="1"/>
      <c r="CH760" s="1"/>
      <c r="CI760" s="1"/>
      <c r="CJ760" s="1"/>
      <c r="CK760" s="1"/>
      <c r="CL760" s="1"/>
      <c r="CM760" s="1"/>
      <c r="CN760" s="1"/>
      <c r="CO760" s="1"/>
      <c r="CP760" s="1"/>
      <c r="CQ760" s="1"/>
      <c r="CR760" s="1"/>
      <c r="CS760" s="1"/>
      <c r="CT760" s="1"/>
      <c r="CU760" s="1"/>
      <c r="CV760" s="1"/>
      <c r="CW760" s="1"/>
      <c r="CX760" s="1"/>
      <c r="CY760" s="1"/>
      <c r="CZ760" s="1"/>
      <c r="DA760" s="1"/>
      <c r="DB760" s="1"/>
      <c r="DC760" s="1"/>
      <c r="DD760" s="1"/>
      <c r="DE760" s="1"/>
      <c r="DF760" s="1"/>
      <c r="DG760" s="1"/>
      <c r="DH760" s="1"/>
      <c r="DI760" s="1"/>
      <c r="DJ760" s="1"/>
      <c r="DK760" s="1"/>
      <c r="DL760" s="1"/>
      <c r="DM760" s="1"/>
      <c r="DN760" s="1"/>
      <c r="DO760" s="1"/>
      <c r="DP760" s="1"/>
      <c r="DQ760" s="1"/>
      <c r="DR760" s="1"/>
      <c r="DS760" s="1"/>
      <c r="DT760" s="1"/>
      <c r="DU760" s="1"/>
      <c r="DV760" s="1"/>
      <c r="DW760" s="1"/>
      <c r="DX760" s="1"/>
      <c r="DY760" s="1"/>
      <c r="DZ760" s="1"/>
      <c r="EA760" s="1"/>
      <c r="EB760" s="1"/>
      <c r="EC760" s="1"/>
      <c r="ED760" s="1"/>
      <c r="EE760" s="1"/>
      <c r="EF760" s="1"/>
      <c r="EG760" s="1"/>
      <c r="EH760" s="1"/>
      <c r="EI760" s="1"/>
      <c r="EJ760" s="1"/>
      <c r="EK760" s="1"/>
      <c r="EL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c r="BR761" s="1"/>
      <c r="BS761" s="1"/>
      <c r="BT761" s="1"/>
      <c r="BU761" s="1"/>
      <c r="BV761" s="1"/>
      <c r="BW761" s="1"/>
      <c r="BX761" s="1"/>
      <c r="BY761" s="1"/>
      <c r="BZ761" s="1"/>
      <c r="CA761" s="1"/>
      <c r="CB761" s="1"/>
      <c r="CC761" s="1"/>
      <c r="CD761" s="1"/>
      <c r="CE761" s="1"/>
      <c r="CF761" s="1"/>
      <c r="CG761" s="1"/>
      <c r="CH761" s="1"/>
      <c r="CI761" s="1"/>
      <c r="CJ761" s="1"/>
      <c r="CK761" s="1"/>
      <c r="CL761" s="1"/>
      <c r="CM761" s="1"/>
      <c r="CN761" s="1"/>
      <c r="CO761" s="1"/>
      <c r="CP761" s="1"/>
      <c r="CQ761" s="1"/>
      <c r="CR761" s="1"/>
      <c r="CS761" s="1"/>
      <c r="CT761" s="1"/>
      <c r="CU761" s="1"/>
      <c r="CV761" s="1"/>
      <c r="CW761" s="1"/>
      <c r="CX761" s="1"/>
      <c r="CY761" s="1"/>
      <c r="CZ761" s="1"/>
      <c r="DA761" s="1"/>
      <c r="DB761" s="1"/>
      <c r="DC761" s="1"/>
      <c r="DD761" s="1"/>
      <c r="DE761" s="1"/>
      <c r="DF761" s="1"/>
      <c r="DG761" s="1"/>
      <c r="DH761" s="1"/>
      <c r="DI761" s="1"/>
      <c r="DJ761" s="1"/>
      <c r="DK761" s="1"/>
      <c r="DL761" s="1"/>
      <c r="DM761" s="1"/>
      <c r="DN761" s="1"/>
      <c r="DO761" s="1"/>
      <c r="DP761" s="1"/>
      <c r="DQ761" s="1"/>
      <c r="DR761" s="1"/>
      <c r="DS761" s="1"/>
      <c r="DT761" s="1"/>
      <c r="DU761" s="1"/>
      <c r="DV761" s="1"/>
      <c r="DW761" s="1"/>
      <c r="DX761" s="1"/>
      <c r="DY761" s="1"/>
      <c r="DZ761" s="1"/>
      <c r="EA761" s="1"/>
      <c r="EB761" s="1"/>
      <c r="EC761" s="1"/>
      <c r="ED761" s="1"/>
      <c r="EE761" s="1"/>
      <c r="EF761" s="1"/>
      <c r="EG761" s="1"/>
      <c r="EH761" s="1"/>
      <c r="EI761" s="1"/>
      <c r="EJ761" s="1"/>
      <c r="EK761" s="1"/>
      <c r="EL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c r="BR762" s="1"/>
      <c r="BS762" s="1"/>
      <c r="BT762" s="1"/>
      <c r="BU762" s="1"/>
      <c r="BV762" s="1"/>
      <c r="BW762" s="1"/>
      <c r="BX762" s="1"/>
      <c r="BY762" s="1"/>
      <c r="BZ762" s="1"/>
      <c r="CA762" s="1"/>
      <c r="CB762" s="1"/>
      <c r="CC762" s="1"/>
      <c r="CD762" s="1"/>
      <c r="CE762" s="1"/>
      <c r="CF762" s="1"/>
      <c r="CG762" s="1"/>
      <c r="CH762" s="1"/>
      <c r="CI762" s="1"/>
      <c r="CJ762" s="1"/>
      <c r="CK762" s="1"/>
      <c r="CL762" s="1"/>
      <c r="CM762" s="1"/>
      <c r="CN762" s="1"/>
      <c r="CO762" s="1"/>
      <c r="CP762" s="1"/>
      <c r="CQ762" s="1"/>
      <c r="CR762" s="1"/>
      <c r="CS762" s="1"/>
      <c r="CT762" s="1"/>
      <c r="CU762" s="1"/>
      <c r="CV762" s="1"/>
      <c r="CW762" s="1"/>
      <c r="CX762" s="1"/>
      <c r="CY762" s="1"/>
      <c r="CZ762" s="1"/>
      <c r="DA762" s="1"/>
      <c r="DB762" s="1"/>
      <c r="DC762" s="1"/>
      <c r="DD762" s="1"/>
      <c r="DE762" s="1"/>
      <c r="DF762" s="1"/>
      <c r="DG762" s="1"/>
      <c r="DH762" s="1"/>
      <c r="DI762" s="1"/>
      <c r="DJ762" s="1"/>
      <c r="DK762" s="1"/>
      <c r="DL762" s="1"/>
      <c r="DM762" s="1"/>
      <c r="DN762" s="1"/>
      <c r="DO762" s="1"/>
      <c r="DP762" s="1"/>
      <c r="DQ762" s="1"/>
      <c r="DR762" s="1"/>
      <c r="DS762" s="1"/>
      <c r="DT762" s="1"/>
      <c r="DU762" s="1"/>
      <c r="DV762" s="1"/>
      <c r="DW762" s="1"/>
      <c r="DX762" s="1"/>
      <c r="DY762" s="1"/>
      <c r="DZ762" s="1"/>
      <c r="EA762" s="1"/>
      <c r="EB762" s="1"/>
      <c r="EC762" s="1"/>
      <c r="ED762" s="1"/>
      <c r="EE762" s="1"/>
      <c r="EF762" s="1"/>
      <c r="EG762" s="1"/>
      <c r="EH762" s="1"/>
      <c r="EI762" s="1"/>
      <c r="EJ762" s="1"/>
      <c r="EK762" s="1"/>
      <c r="EL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c r="BR763" s="1"/>
      <c r="BS763" s="1"/>
      <c r="BT763" s="1"/>
      <c r="BU763" s="1"/>
      <c r="BV763" s="1"/>
      <c r="BW763" s="1"/>
      <c r="BX763" s="1"/>
      <c r="BY763" s="1"/>
      <c r="BZ763" s="1"/>
      <c r="CA763" s="1"/>
      <c r="CB763" s="1"/>
      <c r="CC763" s="1"/>
      <c r="CD763" s="1"/>
      <c r="CE763" s="1"/>
      <c r="CF763" s="1"/>
      <c r="CG763" s="1"/>
      <c r="CH763" s="1"/>
      <c r="CI763" s="1"/>
      <c r="CJ763" s="1"/>
      <c r="CK763" s="1"/>
      <c r="CL763" s="1"/>
      <c r="CM763" s="1"/>
      <c r="CN763" s="1"/>
      <c r="CO763" s="1"/>
      <c r="CP763" s="1"/>
      <c r="CQ763" s="1"/>
      <c r="CR763" s="1"/>
      <c r="CS763" s="1"/>
      <c r="CT763" s="1"/>
      <c r="CU763" s="1"/>
      <c r="CV763" s="1"/>
      <c r="CW763" s="1"/>
      <c r="CX763" s="1"/>
      <c r="CY763" s="1"/>
      <c r="CZ763" s="1"/>
      <c r="DA763" s="1"/>
      <c r="DB763" s="1"/>
      <c r="DC763" s="1"/>
      <c r="DD763" s="1"/>
      <c r="DE763" s="1"/>
      <c r="DF763" s="1"/>
      <c r="DG763" s="1"/>
      <c r="DH763" s="1"/>
      <c r="DI763" s="1"/>
      <c r="DJ763" s="1"/>
      <c r="DK763" s="1"/>
      <c r="DL763" s="1"/>
      <c r="DM763" s="1"/>
      <c r="DN763" s="1"/>
      <c r="DO763" s="1"/>
      <c r="DP763" s="1"/>
      <c r="DQ763" s="1"/>
      <c r="DR763" s="1"/>
      <c r="DS763" s="1"/>
      <c r="DT763" s="1"/>
      <c r="DU763" s="1"/>
      <c r="DV763" s="1"/>
      <c r="DW763" s="1"/>
      <c r="DX763" s="1"/>
      <c r="DY763" s="1"/>
      <c r="DZ763" s="1"/>
      <c r="EA763" s="1"/>
      <c r="EB763" s="1"/>
      <c r="EC763" s="1"/>
      <c r="ED763" s="1"/>
      <c r="EE763" s="1"/>
      <c r="EF763" s="1"/>
      <c r="EG763" s="1"/>
      <c r="EH763" s="1"/>
      <c r="EI763" s="1"/>
      <c r="EJ763" s="1"/>
      <c r="EK763" s="1"/>
      <c r="EL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c r="BR764" s="1"/>
      <c r="BS764" s="1"/>
      <c r="BT764" s="1"/>
      <c r="BU764" s="1"/>
      <c r="BV764" s="1"/>
      <c r="BW764" s="1"/>
      <c r="BX764" s="1"/>
      <c r="BY764" s="1"/>
      <c r="BZ764" s="1"/>
      <c r="CA764" s="1"/>
      <c r="CB764" s="1"/>
      <c r="CC764" s="1"/>
      <c r="CD764" s="1"/>
      <c r="CE764" s="1"/>
      <c r="CF764" s="1"/>
      <c r="CG764" s="1"/>
      <c r="CH764" s="1"/>
      <c r="CI764" s="1"/>
      <c r="CJ764" s="1"/>
      <c r="CK764" s="1"/>
      <c r="CL764" s="1"/>
      <c r="CM764" s="1"/>
      <c r="CN764" s="1"/>
      <c r="CO764" s="1"/>
      <c r="CP764" s="1"/>
      <c r="CQ764" s="1"/>
      <c r="CR764" s="1"/>
      <c r="CS764" s="1"/>
      <c r="CT764" s="1"/>
      <c r="CU764" s="1"/>
      <c r="CV764" s="1"/>
      <c r="CW764" s="1"/>
      <c r="CX764" s="1"/>
      <c r="CY764" s="1"/>
      <c r="CZ764" s="1"/>
      <c r="DA764" s="1"/>
      <c r="DB764" s="1"/>
      <c r="DC764" s="1"/>
      <c r="DD764" s="1"/>
      <c r="DE764" s="1"/>
      <c r="DF764" s="1"/>
      <c r="DG764" s="1"/>
      <c r="DH764" s="1"/>
      <c r="DI764" s="1"/>
      <c r="DJ764" s="1"/>
      <c r="DK764" s="1"/>
      <c r="DL764" s="1"/>
      <c r="DM764" s="1"/>
      <c r="DN764" s="1"/>
      <c r="DO764" s="1"/>
      <c r="DP764" s="1"/>
      <c r="DQ764" s="1"/>
      <c r="DR764" s="1"/>
      <c r="DS764" s="1"/>
      <c r="DT764" s="1"/>
      <c r="DU764" s="1"/>
      <c r="DV764" s="1"/>
      <c r="DW764" s="1"/>
      <c r="DX764" s="1"/>
      <c r="DY764" s="1"/>
      <c r="DZ764" s="1"/>
      <c r="EA764" s="1"/>
      <c r="EB764" s="1"/>
      <c r="EC764" s="1"/>
      <c r="ED764" s="1"/>
      <c r="EE764" s="1"/>
      <c r="EF764" s="1"/>
      <c r="EG764" s="1"/>
      <c r="EH764" s="1"/>
      <c r="EI764" s="1"/>
      <c r="EJ764" s="1"/>
      <c r="EK764" s="1"/>
      <c r="EL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c r="BR765" s="1"/>
      <c r="BS765" s="1"/>
      <c r="BT765" s="1"/>
      <c r="BU765" s="1"/>
      <c r="BV765" s="1"/>
      <c r="BW765" s="1"/>
      <c r="BX765" s="1"/>
      <c r="BY765" s="1"/>
      <c r="BZ765" s="1"/>
      <c r="CA765" s="1"/>
      <c r="CB765" s="1"/>
      <c r="CC765" s="1"/>
      <c r="CD765" s="1"/>
      <c r="CE765" s="1"/>
      <c r="CF765" s="1"/>
      <c r="CG765" s="1"/>
      <c r="CH765" s="1"/>
      <c r="CI765" s="1"/>
      <c r="CJ765" s="1"/>
      <c r="CK765" s="1"/>
      <c r="CL765" s="1"/>
      <c r="CM765" s="1"/>
      <c r="CN765" s="1"/>
      <c r="CO765" s="1"/>
      <c r="CP765" s="1"/>
      <c r="CQ765" s="1"/>
      <c r="CR765" s="1"/>
      <c r="CS765" s="1"/>
      <c r="CT765" s="1"/>
      <c r="CU765" s="1"/>
      <c r="CV765" s="1"/>
      <c r="CW765" s="1"/>
      <c r="CX765" s="1"/>
      <c r="CY765" s="1"/>
      <c r="CZ765" s="1"/>
      <c r="DA765" s="1"/>
      <c r="DB765" s="1"/>
      <c r="DC765" s="1"/>
      <c r="DD765" s="1"/>
      <c r="DE765" s="1"/>
      <c r="DF765" s="1"/>
      <c r="DG765" s="1"/>
      <c r="DH765" s="1"/>
      <c r="DI765" s="1"/>
      <c r="DJ765" s="1"/>
      <c r="DK765" s="1"/>
      <c r="DL765" s="1"/>
      <c r="DM765" s="1"/>
      <c r="DN765" s="1"/>
      <c r="DO765" s="1"/>
      <c r="DP765" s="1"/>
      <c r="DQ765" s="1"/>
      <c r="DR765" s="1"/>
      <c r="DS765" s="1"/>
      <c r="DT765" s="1"/>
      <c r="DU765" s="1"/>
      <c r="DV765" s="1"/>
      <c r="DW765" s="1"/>
      <c r="DX765" s="1"/>
      <c r="DY765" s="1"/>
      <c r="DZ765" s="1"/>
      <c r="EA765" s="1"/>
      <c r="EB765" s="1"/>
      <c r="EC765" s="1"/>
      <c r="ED765" s="1"/>
      <c r="EE765" s="1"/>
      <c r="EF765" s="1"/>
      <c r="EG765" s="1"/>
      <c r="EH765" s="1"/>
      <c r="EI765" s="1"/>
      <c r="EJ765" s="1"/>
      <c r="EK765" s="1"/>
      <c r="EL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c r="BR766" s="1"/>
      <c r="BS766" s="1"/>
      <c r="BT766" s="1"/>
      <c r="BU766" s="1"/>
      <c r="BV766" s="1"/>
      <c r="BW766" s="1"/>
      <c r="BX766" s="1"/>
      <c r="BY766" s="1"/>
      <c r="BZ766" s="1"/>
      <c r="CA766" s="1"/>
      <c r="CB766" s="1"/>
      <c r="CC766" s="1"/>
      <c r="CD766" s="1"/>
      <c r="CE766" s="1"/>
      <c r="CF766" s="1"/>
      <c r="CG766" s="1"/>
      <c r="CH766" s="1"/>
      <c r="CI766" s="1"/>
      <c r="CJ766" s="1"/>
      <c r="CK766" s="1"/>
      <c r="CL766" s="1"/>
      <c r="CM766" s="1"/>
      <c r="CN766" s="1"/>
      <c r="CO766" s="1"/>
      <c r="CP766" s="1"/>
      <c r="CQ766" s="1"/>
      <c r="CR766" s="1"/>
      <c r="CS766" s="1"/>
      <c r="CT766" s="1"/>
      <c r="CU766" s="1"/>
      <c r="CV766" s="1"/>
      <c r="CW766" s="1"/>
      <c r="CX766" s="1"/>
      <c r="CY766" s="1"/>
      <c r="CZ766" s="1"/>
      <c r="DA766" s="1"/>
      <c r="DB766" s="1"/>
      <c r="DC766" s="1"/>
      <c r="DD766" s="1"/>
      <c r="DE766" s="1"/>
      <c r="DF766" s="1"/>
      <c r="DG766" s="1"/>
      <c r="DH766" s="1"/>
      <c r="DI766" s="1"/>
      <c r="DJ766" s="1"/>
      <c r="DK766" s="1"/>
      <c r="DL766" s="1"/>
      <c r="DM766" s="1"/>
      <c r="DN766" s="1"/>
      <c r="DO766" s="1"/>
      <c r="DP766" s="1"/>
      <c r="DQ766" s="1"/>
      <c r="DR766" s="1"/>
      <c r="DS766" s="1"/>
      <c r="DT766" s="1"/>
      <c r="DU766" s="1"/>
      <c r="DV766" s="1"/>
      <c r="DW766" s="1"/>
      <c r="DX766" s="1"/>
      <c r="DY766" s="1"/>
      <c r="DZ766" s="1"/>
      <c r="EA766" s="1"/>
      <c r="EB766" s="1"/>
      <c r="EC766" s="1"/>
      <c r="ED766" s="1"/>
      <c r="EE766" s="1"/>
      <c r="EF766" s="1"/>
      <c r="EG766" s="1"/>
      <c r="EH766" s="1"/>
      <c r="EI766" s="1"/>
      <c r="EJ766" s="1"/>
      <c r="EK766" s="1"/>
      <c r="EL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c r="BR767" s="1"/>
      <c r="BS767" s="1"/>
      <c r="BT767" s="1"/>
      <c r="BU767" s="1"/>
      <c r="BV767" s="1"/>
      <c r="BW767" s="1"/>
      <c r="BX767" s="1"/>
      <c r="BY767" s="1"/>
      <c r="BZ767" s="1"/>
      <c r="CA767" s="1"/>
      <c r="CB767" s="1"/>
      <c r="CC767" s="1"/>
      <c r="CD767" s="1"/>
      <c r="CE767" s="1"/>
      <c r="CF767" s="1"/>
      <c r="CG767" s="1"/>
      <c r="CH767" s="1"/>
      <c r="CI767" s="1"/>
      <c r="CJ767" s="1"/>
      <c r="CK767" s="1"/>
      <c r="CL767" s="1"/>
      <c r="CM767" s="1"/>
      <c r="CN767" s="1"/>
      <c r="CO767" s="1"/>
      <c r="CP767" s="1"/>
      <c r="CQ767" s="1"/>
      <c r="CR767" s="1"/>
      <c r="CS767" s="1"/>
      <c r="CT767" s="1"/>
      <c r="CU767" s="1"/>
      <c r="CV767" s="1"/>
      <c r="CW767" s="1"/>
      <c r="CX767" s="1"/>
      <c r="CY767" s="1"/>
      <c r="CZ767" s="1"/>
      <c r="DA767" s="1"/>
      <c r="DB767" s="1"/>
      <c r="DC767" s="1"/>
      <c r="DD767" s="1"/>
      <c r="DE767" s="1"/>
      <c r="DF767" s="1"/>
      <c r="DG767" s="1"/>
      <c r="DH767" s="1"/>
      <c r="DI767" s="1"/>
      <c r="DJ767" s="1"/>
      <c r="DK767" s="1"/>
      <c r="DL767" s="1"/>
      <c r="DM767" s="1"/>
      <c r="DN767" s="1"/>
      <c r="DO767" s="1"/>
      <c r="DP767" s="1"/>
      <c r="DQ767" s="1"/>
      <c r="DR767" s="1"/>
      <c r="DS767" s="1"/>
      <c r="DT767" s="1"/>
      <c r="DU767" s="1"/>
      <c r="DV767" s="1"/>
      <c r="DW767" s="1"/>
      <c r="DX767" s="1"/>
      <c r="DY767" s="1"/>
      <c r="DZ767" s="1"/>
      <c r="EA767" s="1"/>
      <c r="EB767" s="1"/>
      <c r="EC767" s="1"/>
      <c r="ED767" s="1"/>
      <c r="EE767" s="1"/>
      <c r="EF767" s="1"/>
      <c r="EG767" s="1"/>
      <c r="EH767" s="1"/>
      <c r="EI767" s="1"/>
      <c r="EJ767" s="1"/>
      <c r="EK767" s="1"/>
      <c r="EL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c r="BR768" s="1"/>
      <c r="BS768" s="1"/>
      <c r="BT768" s="1"/>
      <c r="BU768" s="1"/>
      <c r="BV768" s="1"/>
      <c r="BW768" s="1"/>
      <c r="BX768" s="1"/>
      <c r="BY768" s="1"/>
      <c r="BZ768" s="1"/>
      <c r="CA768" s="1"/>
      <c r="CB768" s="1"/>
      <c r="CC768" s="1"/>
      <c r="CD768" s="1"/>
      <c r="CE768" s="1"/>
      <c r="CF768" s="1"/>
      <c r="CG768" s="1"/>
      <c r="CH768" s="1"/>
      <c r="CI768" s="1"/>
      <c r="CJ768" s="1"/>
      <c r="CK768" s="1"/>
      <c r="CL768" s="1"/>
      <c r="CM768" s="1"/>
      <c r="CN768" s="1"/>
      <c r="CO768" s="1"/>
      <c r="CP768" s="1"/>
      <c r="CQ768" s="1"/>
      <c r="CR768" s="1"/>
      <c r="CS768" s="1"/>
      <c r="CT768" s="1"/>
      <c r="CU768" s="1"/>
      <c r="CV768" s="1"/>
      <c r="CW768" s="1"/>
      <c r="CX768" s="1"/>
      <c r="CY768" s="1"/>
      <c r="CZ768" s="1"/>
      <c r="DA768" s="1"/>
      <c r="DB768" s="1"/>
      <c r="DC768" s="1"/>
      <c r="DD768" s="1"/>
      <c r="DE768" s="1"/>
      <c r="DF768" s="1"/>
      <c r="DG768" s="1"/>
      <c r="DH768" s="1"/>
      <c r="DI768" s="1"/>
      <c r="DJ768" s="1"/>
      <c r="DK768" s="1"/>
      <c r="DL768" s="1"/>
      <c r="DM768" s="1"/>
      <c r="DN768" s="1"/>
      <c r="DO768" s="1"/>
      <c r="DP768" s="1"/>
      <c r="DQ768" s="1"/>
      <c r="DR768" s="1"/>
      <c r="DS768" s="1"/>
      <c r="DT768" s="1"/>
      <c r="DU768" s="1"/>
      <c r="DV768" s="1"/>
      <c r="DW768" s="1"/>
      <c r="DX768" s="1"/>
      <c r="DY768" s="1"/>
      <c r="DZ768" s="1"/>
      <c r="EA768" s="1"/>
      <c r="EB768" s="1"/>
      <c r="EC768" s="1"/>
      <c r="ED768" s="1"/>
      <c r="EE768" s="1"/>
      <c r="EF768" s="1"/>
      <c r="EG768" s="1"/>
      <c r="EH768" s="1"/>
      <c r="EI768" s="1"/>
      <c r="EJ768" s="1"/>
      <c r="EK768" s="1"/>
      <c r="EL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c r="BR769" s="1"/>
      <c r="BS769" s="1"/>
      <c r="BT769" s="1"/>
      <c r="BU769" s="1"/>
      <c r="BV769" s="1"/>
      <c r="BW769" s="1"/>
      <c r="BX769" s="1"/>
      <c r="BY769" s="1"/>
      <c r="BZ769" s="1"/>
      <c r="CA769" s="1"/>
      <c r="CB769" s="1"/>
      <c r="CC769" s="1"/>
      <c r="CD769" s="1"/>
      <c r="CE769" s="1"/>
      <c r="CF769" s="1"/>
      <c r="CG769" s="1"/>
      <c r="CH769" s="1"/>
      <c r="CI769" s="1"/>
      <c r="CJ769" s="1"/>
      <c r="CK769" s="1"/>
      <c r="CL769" s="1"/>
      <c r="CM769" s="1"/>
      <c r="CN769" s="1"/>
      <c r="CO769" s="1"/>
      <c r="CP769" s="1"/>
      <c r="CQ769" s="1"/>
      <c r="CR769" s="1"/>
      <c r="CS769" s="1"/>
      <c r="CT769" s="1"/>
      <c r="CU769" s="1"/>
      <c r="CV769" s="1"/>
      <c r="CW769" s="1"/>
      <c r="CX769" s="1"/>
      <c r="CY769" s="1"/>
      <c r="CZ769" s="1"/>
      <c r="DA769" s="1"/>
      <c r="DB769" s="1"/>
      <c r="DC769" s="1"/>
      <c r="DD769" s="1"/>
      <c r="DE769" s="1"/>
      <c r="DF769" s="1"/>
      <c r="DG769" s="1"/>
      <c r="DH769" s="1"/>
      <c r="DI769" s="1"/>
      <c r="DJ769" s="1"/>
      <c r="DK769" s="1"/>
      <c r="DL769" s="1"/>
      <c r="DM769" s="1"/>
      <c r="DN769" s="1"/>
      <c r="DO769" s="1"/>
      <c r="DP769" s="1"/>
      <c r="DQ769" s="1"/>
      <c r="DR769" s="1"/>
      <c r="DS769" s="1"/>
      <c r="DT769" s="1"/>
      <c r="DU769" s="1"/>
      <c r="DV769" s="1"/>
      <c r="DW769" s="1"/>
      <c r="DX769" s="1"/>
      <c r="DY769" s="1"/>
      <c r="DZ769" s="1"/>
      <c r="EA769" s="1"/>
      <c r="EB769" s="1"/>
      <c r="EC769" s="1"/>
      <c r="ED769" s="1"/>
      <c r="EE769" s="1"/>
      <c r="EF769" s="1"/>
      <c r="EG769" s="1"/>
      <c r="EH769" s="1"/>
      <c r="EI769" s="1"/>
      <c r="EJ769" s="1"/>
      <c r="EK769" s="1"/>
      <c r="EL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c r="BR770" s="1"/>
      <c r="BS770" s="1"/>
      <c r="BT770" s="1"/>
      <c r="BU770" s="1"/>
      <c r="BV770" s="1"/>
      <c r="BW770" s="1"/>
      <c r="BX770" s="1"/>
      <c r="BY770" s="1"/>
      <c r="BZ770" s="1"/>
      <c r="CA770" s="1"/>
      <c r="CB770" s="1"/>
      <c r="CC770" s="1"/>
      <c r="CD770" s="1"/>
      <c r="CE770" s="1"/>
      <c r="CF770" s="1"/>
      <c r="CG770" s="1"/>
      <c r="CH770" s="1"/>
      <c r="CI770" s="1"/>
      <c r="CJ770" s="1"/>
      <c r="CK770" s="1"/>
      <c r="CL770" s="1"/>
      <c r="CM770" s="1"/>
      <c r="CN770" s="1"/>
      <c r="CO770" s="1"/>
      <c r="CP770" s="1"/>
      <c r="CQ770" s="1"/>
      <c r="CR770" s="1"/>
      <c r="CS770" s="1"/>
      <c r="CT770" s="1"/>
      <c r="CU770" s="1"/>
      <c r="CV770" s="1"/>
      <c r="CW770" s="1"/>
      <c r="CX770" s="1"/>
      <c r="CY770" s="1"/>
      <c r="CZ770" s="1"/>
      <c r="DA770" s="1"/>
      <c r="DB770" s="1"/>
      <c r="DC770" s="1"/>
      <c r="DD770" s="1"/>
      <c r="DE770" s="1"/>
      <c r="DF770" s="1"/>
      <c r="DG770" s="1"/>
      <c r="DH770" s="1"/>
      <c r="DI770" s="1"/>
      <c r="DJ770" s="1"/>
      <c r="DK770" s="1"/>
      <c r="DL770" s="1"/>
      <c r="DM770" s="1"/>
      <c r="DN770" s="1"/>
      <c r="DO770" s="1"/>
      <c r="DP770" s="1"/>
      <c r="DQ770" s="1"/>
      <c r="DR770" s="1"/>
      <c r="DS770" s="1"/>
      <c r="DT770" s="1"/>
      <c r="DU770" s="1"/>
      <c r="DV770" s="1"/>
      <c r="DW770" s="1"/>
      <c r="DX770" s="1"/>
      <c r="DY770" s="1"/>
      <c r="DZ770" s="1"/>
      <c r="EA770" s="1"/>
      <c r="EB770" s="1"/>
      <c r="EC770" s="1"/>
      <c r="ED770" s="1"/>
      <c r="EE770" s="1"/>
      <c r="EF770" s="1"/>
      <c r="EG770" s="1"/>
      <c r="EH770" s="1"/>
      <c r="EI770" s="1"/>
      <c r="EJ770" s="1"/>
      <c r="EK770" s="1"/>
      <c r="EL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c r="BR771" s="1"/>
      <c r="BS771" s="1"/>
      <c r="BT771" s="1"/>
      <c r="BU771" s="1"/>
      <c r="BV771" s="1"/>
      <c r="BW771" s="1"/>
      <c r="BX771" s="1"/>
      <c r="BY771" s="1"/>
      <c r="BZ771" s="1"/>
      <c r="CA771" s="1"/>
      <c r="CB771" s="1"/>
      <c r="CC771" s="1"/>
      <c r="CD771" s="1"/>
      <c r="CE771" s="1"/>
      <c r="CF771" s="1"/>
      <c r="CG771" s="1"/>
      <c r="CH771" s="1"/>
      <c r="CI771" s="1"/>
      <c r="CJ771" s="1"/>
      <c r="CK771" s="1"/>
      <c r="CL771" s="1"/>
      <c r="CM771" s="1"/>
      <c r="CN771" s="1"/>
      <c r="CO771" s="1"/>
      <c r="CP771" s="1"/>
      <c r="CQ771" s="1"/>
      <c r="CR771" s="1"/>
      <c r="CS771" s="1"/>
      <c r="CT771" s="1"/>
      <c r="CU771" s="1"/>
      <c r="CV771" s="1"/>
      <c r="CW771" s="1"/>
      <c r="CX771" s="1"/>
      <c r="CY771" s="1"/>
      <c r="CZ771" s="1"/>
      <c r="DA771" s="1"/>
      <c r="DB771" s="1"/>
      <c r="DC771" s="1"/>
      <c r="DD771" s="1"/>
      <c r="DE771" s="1"/>
      <c r="DF771" s="1"/>
      <c r="DG771" s="1"/>
      <c r="DH771" s="1"/>
      <c r="DI771" s="1"/>
      <c r="DJ771" s="1"/>
      <c r="DK771" s="1"/>
      <c r="DL771" s="1"/>
      <c r="DM771" s="1"/>
      <c r="DN771" s="1"/>
      <c r="DO771" s="1"/>
      <c r="DP771" s="1"/>
      <c r="DQ771" s="1"/>
      <c r="DR771" s="1"/>
      <c r="DS771" s="1"/>
      <c r="DT771" s="1"/>
      <c r="DU771" s="1"/>
      <c r="DV771" s="1"/>
      <c r="DW771" s="1"/>
      <c r="DX771" s="1"/>
      <c r="DY771" s="1"/>
      <c r="DZ771" s="1"/>
      <c r="EA771" s="1"/>
      <c r="EB771" s="1"/>
      <c r="EC771" s="1"/>
      <c r="ED771" s="1"/>
      <c r="EE771" s="1"/>
      <c r="EF771" s="1"/>
      <c r="EG771" s="1"/>
      <c r="EH771" s="1"/>
      <c r="EI771" s="1"/>
      <c r="EJ771" s="1"/>
      <c r="EK771" s="1"/>
      <c r="EL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c r="BR772" s="1"/>
      <c r="BS772" s="1"/>
      <c r="BT772" s="1"/>
      <c r="BU772" s="1"/>
      <c r="BV772" s="1"/>
      <c r="BW772" s="1"/>
      <c r="BX772" s="1"/>
      <c r="BY772" s="1"/>
      <c r="BZ772" s="1"/>
      <c r="CA772" s="1"/>
      <c r="CB772" s="1"/>
      <c r="CC772" s="1"/>
      <c r="CD772" s="1"/>
      <c r="CE772" s="1"/>
      <c r="CF772" s="1"/>
      <c r="CG772" s="1"/>
      <c r="CH772" s="1"/>
      <c r="CI772" s="1"/>
      <c r="CJ772" s="1"/>
      <c r="CK772" s="1"/>
      <c r="CL772" s="1"/>
      <c r="CM772" s="1"/>
      <c r="CN772" s="1"/>
      <c r="CO772" s="1"/>
      <c r="CP772" s="1"/>
      <c r="CQ772" s="1"/>
      <c r="CR772" s="1"/>
      <c r="CS772" s="1"/>
      <c r="CT772" s="1"/>
      <c r="CU772" s="1"/>
      <c r="CV772" s="1"/>
      <c r="CW772" s="1"/>
      <c r="CX772" s="1"/>
      <c r="CY772" s="1"/>
      <c r="CZ772" s="1"/>
      <c r="DA772" s="1"/>
      <c r="DB772" s="1"/>
      <c r="DC772" s="1"/>
      <c r="DD772" s="1"/>
      <c r="DE772" s="1"/>
      <c r="DF772" s="1"/>
      <c r="DG772" s="1"/>
      <c r="DH772" s="1"/>
      <c r="DI772" s="1"/>
      <c r="DJ772" s="1"/>
      <c r="DK772" s="1"/>
      <c r="DL772" s="1"/>
      <c r="DM772" s="1"/>
      <c r="DN772" s="1"/>
      <c r="DO772" s="1"/>
      <c r="DP772" s="1"/>
      <c r="DQ772" s="1"/>
      <c r="DR772" s="1"/>
      <c r="DS772" s="1"/>
      <c r="DT772" s="1"/>
      <c r="DU772" s="1"/>
      <c r="DV772" s="1"/>
      <c r="DW772" s="1"/>
      <c r="DX772" s="1"/>
      <c r="DY772" s="1"/>
      <c r="DZ772" s="1"/>
      <c r="EA772" s="1"/>
      <c r="EB772" s="1"/>
      <c r="EC772" s="1"/>
      <c r="ED772" s="1"/>
      <c r="EE772" s="1"/>
      <c r="EF772" s="1"/>
      <c r="EG772" s="1"/>
      <c r="EH772" s="1"/>
      <c r="EI772" s="1"/>
      <c r="EJ772" s="1"/>
      <c r="EK772" s="1"/>
      <c r="EL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c r="BR773" s="1"/>
      <c r="BS773" s="1"/>
      <c r="BT773" s="1"/>
      <c r="BU773" s="1"/>
      <c r="BV773" s="1"/>
      <c r="BW773" s="1"/>
      <c r="BX773" s="1"/>
      <c r="BY773" s="1"/>
      <c r="BZ773" s="1"/>
      <c r="CA773" s="1"/>
      <c r="CB773" s="1"/>
      <c r="CC773" s="1"/>
      <c r="CD773" s="1"/>
      <c r="CE773" s="1"/>
      <c r="CF773" s="1"/>
      <c r="CG773" s="1"/>
      <c r="CH773" s="1"/>
      <c r="CI773" s="1"/>
      <c r="CJ773" s="1"/>
      <c r="CK773" s="1"/>
      <c r="CL773" s="1"/>
      <c r="CM773" s="1"/>
      <c r="CN773" s="1"/>
      <c r="CO773" s="1"/>
      <c r="CP773" s="1"/>
      <c r="CQ773" s="1"/>
      <c r="CR773" s="1"/>
      <c r="CS773" s="1"/>
      <c r="CT773" s="1"/>
      <c r="CU773" s="1"/>
      <c r="CV773" s="1"/>
      <c r="CW773" s="1"/>
      <c r="CX773" s="1"/>
      <c r="CY773" s="1"/>
      <c r="CZ773" s="1"/>
      <c r="DA773" s="1"/>
      <c r="DB773" s="1"/>
      <c r="DC773" s="1"/>
      <c r="DD773" s="1"/>
      <c r="DE773" s="1"/>
      <c r="DF773" s="1"/>
      <c r="DG773" s="1"/>
      <c r="DH773" s="1"/>
      <c r="DI773" s="1"/>
      <c r="DJ773" s="1"/>
      <c r="DK773" s="1"/>
      <c r="DL773" s="1"/>
      <c r="DM773" s="1"/>
      <c r="DN773" s="1"/>
      <c r="DO773" s="1"/>
      <c r="DP773" s="1"/>
      <c r="DQ773" s="1"/>
      <c r="DR773" s="1"/>
      <c r="DS773" s="1"/>
      <c r="DT773" s="1"/>
      <c r="DU773" s="1"/>
      <c r="DV773" s="1"/>
      <c r="DW773" s="1"/>
      <c r="DX773" s="1"/>
      <c r="DY773" s="1"/>
      <c r="DZ773" s="1"/>
      <c r="EA773" s="1"/>
      <c r="EB773" s="1"/>
      <c r="EC773" s="1"/>
      <c r="ED773" s="1"/>
      <c r="EE773" s="1"/>
      <c r="EF773" s="1"/>
      <c r="EG773" s="1"/>
      <c r="EH773" s="1"/>
      <c r="EI773" s="1"/>
      <c r="EJ773" s="1"/>
      <c r="EK773" s="1"/>
      <c r="EL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c r="BR774" s="1"/>
      <c r="BS774" s="1"/>
      <c r="BT774" s="1"/>
      <c r="BU774" s="1"/>
      <c r="BV774" s="1"/>
      <c r="BW774" s="1"/>
      <c r="BX774" s="1"/>
      <c r="BY774" s="1"/>
      <c r="BZ774" s="1"/>
      <c r="CA774" s="1"/>
      <c r="CB774" s="1"/>
      <c r="CC774" s="1"/>
      <c r="CD774" s="1"/>
      <c r="CE774" s="1"/>
      <c r="CF774" s="1"/>
      <c r="CG774" s="1"/>
      <c r="CH774" s="1"/>
      <c r="CI774" s="1"/>
      <c r="CJ774" s="1"/>
      <c r="CK774" s="1"/>
      <c r="CL774" s="1"/>
      <c r="CM774" s="1"/>
      <c r="CN774" s="1"/>
      <c r="CO774" s="1"/>
      <c r="CP774" s="1"/>
      <c r="CQ774" s="1"/>
      <c r="CR774" s="1"/>
      <c r="CS774" s="1"/>
      <c r="CT774" s="1"/>
      <c r="CU774" s="1"/>
      <c r="CV774" s="1"/>
      <c r="CW774" s="1"/>
      <c r="CX774" s="1"/>
      <c r="CY774" s="1"/>
      <c r="CZ774" s="1"/>
      <c r="DA774" s="1"/>
      <c r="DB774" s="1"/>
      <c r="DC774" s="1"/>
      <c r="DD774" s="1"/>
      <c r="DE774" s="1"/>
      <c r="DF774" s="1"/>
      <c r="DG774" s="1"/>
      <c r="DH774" s="1"/>
      <c r="DI774" s="1"/>
      <c r="DJ774" s="1"/>
      <c r="DK774" s="1"/>
      <c r="DL774" s="1"/>
      <c r="DM774" s="1"/>
      <c r="DN774" s="1"/>
      <c r="DO774" s="1"/>
      <c r="DP774" s="1"/>
      <c r="DQ774" s="1"/>
      <c r="DR774" s="1"/>
      <c r="DS774" s="1"/>
      <c r="DT774" s="1"/>
      <c r="DU774" s="1"/>
      <c r="DV774" s="1"/>
      <c r="DW774" s="1"/>
      <c r="DX774" s="1"/>
      <c r="DY774" s="1"/>
      <c r="DZ774" s="1"/>
      <c r="EA774" s="1"/>
      <c r="EB774" s="1"/>
      <c r="EC774" s="1"/>
      <c r="ED774" s="1"/>
      <c r="EE774" s="1"/>
      <c r="EF774" s="1"/>
      <c r="EG774" s="1"/>
      <c r="EH774" s="1"/>
      <c r="EI774" s="1"/>
      <c r="EJ774" s="1"/>
      <c r="EK774" s="1"/>
      <c r="EL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c r="BR775" s="1"/>
      <c r="BS775" s="1"/>
      <c r="BT775" s="1"/>
      <c r="BU775" s="1"/>
      <c r="BV775" s="1"/>
      <c r="BW775" s="1"/>
      <c r="BX775" s="1"/>
      <c r="BY775" s="1"/>
      <c r="BZ775" s="1"/>
      <c r="CA775" s="1"/>
      <c r="CB775" s="1"/>
      <c r="CC775" s="1"/>
      <c r="CD775" s="1"/>
      <c r="CE775" s="1"/>
      <c r="CF775" s="1"/>
      <c r="CG775" s="1"/>
      <c r="CH775" s="1"/>
      <c r="CI775" s="1"/>
      <c r="CJ775" s="1"/>
      <c r="CK775" s="1"/>
      <c r="CL775" s="1"/>
      <c r="CM775" s="1"/>
      <c r="CN775" s="1"/>
      <c r="CO775" s="1"/>
      <c r="CP775" s="1"/>
      <c r="CQ775" s="1"/>
      <c r="CR775" s="1"/>
      <c r="CS775" s="1"/>
      <c r="CT775" s="1"/>
      <c r="CU775" s="1"/>
      <c r="CV775" s="1"/>
      <c r="CW775" s="1"/>
      <c r="CX775" s="1"/>
      <c r="CY775" s="1"/>
      <c r="CZ775" s="1"/>
      <c r="DA775" s="1"/>
      <c r="DB775" s="1"/>
      <c r="DC775" s="1"/>
      <c r="DD775" s="1"/>
      <c r="DE775" s="1"/>
      <c r="DF775" s="1"/>
      <c r="DG775" s="1"/>
      <c r="DH775" s="1"/>
      <c r="DI775" s="1"/>
      <c r="DJ775" s="1"/>
      <c r="DK775" s="1"/>
      <c r="DL775" s="1"/>
      <c r="DM775" s="1"/>
      <c r="DN775" s="1"/>
      <c r="DO775" s="1"/>
      <c r="DP775" s="1"/>
      <c r="DQ775" s="1"/>
      <c r="DR775" s="1"/>
      <c r="DS775" s="1"/>
      <c r="DT775" s="1"/>
      <c r="DU775" s="1"/>
      <c r="DV775" s="1"/>
      <c r="DW775" s="1"/>
      <c r="DX775" s="1"/>
      <c r="DY775" s="1"/>
      <c r="DZ775" s="1"/>
      <c r="EA775" s="1"/>
      <c r="EB775" s="1"/>
      <c r="EC775" s="1"/>
      <c r="ED775" s="1"/>
      <c r="EE775" s="1"/>
      <c r="EF775" s="1"/>
      <c r="EG775" s="1"/>
      <c r="EH775" s="1"/>
      <c r="EI775" s="1"/>
      <c r="EJ775" s="1"/>
      <c r="EK775" s="1"/>
      <c r="EL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c r="BR776" s="1"/>
      <c r="BS776" s="1"/>
      <c r="BT776" s="1"/>
      <c r="BU776" s="1"/>
      <c r="BV776" s="1"/>
      <c r="BW776" s="1"/>
      <c r="BX776" s="1"/>
      <c r="BY776" s="1"/>
      <c r="BZ776" s="1"/>
      <c r="CA776" s="1"/>
      <c r="CB776" s="1"/>
      <c r="CC776" s="1"/>
      <c r="CD776" s="1"/>
      <c r="CE776" s="1"/>
      <c r="CF776" s="1"/>
      <c r="CG776" s="1"/>
      <c r="CH776" s="1"/>
      <c r="CI776" s="1"/>
      <c r="CJ776" s="1"/>
      <c r="CK776" s="1"/>
      <c r="CL776" s="1"/>
      <c r="CM776" s="1"/>
      <c r="CN776" s="1"/>
      <c r="CO776" s="1"/>
      <c r="CP776" s="1"/>
      <c r="CQ776" s="1"/>
      <c r="CR776" s="1"/>
      <c r="CS776" s="1"/>
      <c r="CT776" s="1"/>
      <c r="CU776" s="1"/>
      <c r="CV776" s="1"/>
      <c r="CW776" s="1"/>
      <c r="CX776" s="1"/>
      <c r="CY776" s="1"/>
      <c r="CZ776" s="1"/>
      <c r="DA776" s="1"/>
      <c r="DB776" s="1"/>
      <c r="DC776" s="1"/>
      <c r="DD776" s="1"/>
      <c r="DE776" s="1"/>
      <c r="DF776" s="1"/>
      <c r="DG776" s="1"/>
      <c r="DH776" s="1"/>
      <c r="DI776" s="1"/>
      <c r="DJ776" s="1"/>
      <c r="DK776" s="1"/>
      <c r="DL776" s="1"/>
      <c r="DM776" s="1"/>
      <c r="DN776" s="1"/>
      <c r="DO776" s="1"/>
      <c r="DP776" s="1"/>
      <c r="DQ776" s="1"/>
      <c r="DR776" s="1"/>
      <c r="DS776" s="1"/>
      <c r="DT776" s="1"/>
      <c r="DU776" s="1"/>
      <c r="DV776" s="1"/>
      <c r="DW776" s="1"/>
      <c r="DX776" s="1"/>
      <c r="DY776" s="1"/>
      <c r="DZ776" s="1"/>
      <c r="EA776" s="1"/>
      <c r="EB776" s="1"/>
      <c r="EC776" s="1"/>
      <c r="ED776" s="1"/>
      <c r="EE776" s="1"/>
      <c r="EF776" s="1"/>
      <c r="EG776" s="1"/>
      <c r="EH776" s="1"/>
      <c r="EI776" s="1"/>
      <c r="EJ776" s="1"/>
      <c r="EK776" s="1"/>
      <c r="EL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c r="BR777" s="1"/>
      <c r="BS777" s="1"/>
      <c r="BT777" s="1"/>
      <c r="BU777" s="1"/>
      <c r="BV777" s="1"/>
      <c r="BW777" s="1"/>
      <c r="BX777" s="1"/>
      <c r="BY777" s="1"/>
      <c r="BZ777" s="1"/>
      <c r="CA777" s="1"/>
      <c r="CB777" s="1"/>
      <c r="CC777" s="1"/>
      <c r="CD777" s="1"/>
      <c r="CE777" s="1"/>
      <c r="CF777" s="1"/>
      <c r="CG777" s="1"/>
      <c r="CH777" s="1"/>
      <c r="CI777" s="1"/>
      <c r="CJ777" s="1"/>
      <c r="CK777" s="1"/>
      <c r="CL777" s="1"/>
      <c r="CM777" s="1"/>
      <c r="CN777" s="1"/>
      <c r="CO777" s="1"/>
      <c r="CP777" s="1"/>
      <c r="CQ777" s="1"/>
      <c r="CR777" s="1"/>
      <c r="CS777" s="1"/>
      <c r="CT777" s="1"/>
      <c r="CU777" s="1"/>
      <c r="CV777" s="1"/>
      <c r="CW777" s="1"/>
      <c r="CX777" s="1"/>
      <c r="CY777" s="1"/>
      <c r="CZ777" s="1"/>
      <c r="DA777" s="1"/>
      <c r="DB777" s="1"/>
      <c r="DC777" s="1"/>
      <c r="DD777" s="1"/>
      <c r="DE777" s="1"/>
      <c r="DF777" s="1"/>
      <c r="DG777" s="1"/>
      <c r="DH777" s="1"/>
      <c r="DI777" s="1"/>
      <c r="DJ777" s="1"/>
      <c r="DK777" s="1"/>
      <c r="DL777" s="1"/>
      <c r="DM777" s="1"/>
      <c r="DN777" s="1"/>
      <c r="DO777" s="1"/>
      <c r="DP777" s="1"/>
      <c r="DQ777" s="1"/>
      <c r="DR777" s="1"/>
      <c r="DS777" s="1"/>
      <c r="DT777" s="1"/>
      <c r="DU777" s="1"/>
      <c r="DV777" s="1"/>
      <c r="DW777" s="1"/>
      <c r="DX777" s="1"/>
      <c r="DY777" s="1"/>
      <c r="DZ777" s="1"/>
      <c r="EA777" s="1"/>
      <c r="EB777" s="1"/>
      <c r="EC777" s="1"/>
      <c r="ED777" s="1"/>
      <c r="EE777" s="1"/>
      <c r="EF777" s="1"/>
      <c r="EG777" s="1"/>
      <c r="EH777" s="1"/>
      <c r="EI777" s="1"/>
      <c r="EJ777" s="1"/>
      <c r="EK777" s="1"/>
      <c r="EL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c r="BR778" s="1"/>
      <c r="BS778" s="1"/>
      <c r="BT778" s="1"/>
      <c r="BU778" s="1"/>
      <c r="BV778" s="1"/>
      <c r="BW778" s="1"/>
      <c r="BX778" s="1"/>
      <c r="BY778" s="1"/>
      <c r="BZ778" s="1"/>
      <c r="CA778" s="1"/>
      <c r="CB778" s="1"/>
      <c r="CC778" s="1"/>
      <c r="CD778" s="1"/>
      <c r="CE778" s="1"/>
      <c r="CF778" s="1"/>
      <c r="CG778" s="1"/>
      <c r="CH778" s="1"/>
      <c r="CI778" s="1"/>
      <c r="CJ778" s="1"/>
      <c r="CK778" s="1"/>
      <c r="CL778" s="1"/>
      <c r="CM778" s="1"/>
      <c r="CN778" s="1"/>
      <c r="CO778" s="1"/>
      <c r="CP778" s="1"/>
      <c r="CQ778" s="1"/>
      <c r="CR778" s="1"/>
      <c r="CS778" s="1"/>
      <c r="CT778" s="1"/>
      <c r="CU778" s="1"/>
      <c r="CV778" s="1"/>
      <c r="CW778" s="1"/>
      <c r="CX778" s="1"/>
      <c r="CY778" s="1"/>
      <c r="CZ778" s="1"/>
      <c r="DA778" s="1"/>
      <c r="DB778" s="1"/>
      <c r="DC778" s="1"/>
      <c r="DD778" s="1"/>
      <c r="DE778" s="1"/>
      <c r="DF778" s="1"/>
      <c r="DG778" s="1"/>
      <c r="DH778" s="1"/>
      <c r="DI778" s="1"/>
      <c r="DJ778" s="1"/>
      <c r="DK778" s="1"/>
      <c r="DL778" s="1"/>
      <c r="DM778" s="1"/>
      <c r="DN778" s="1"/>
      <c r="DO778" s="1"/>
      <c r="DP778" s="1"/>
      <c r="DQ778" s="1"/>
      <c r="DR778" s="1"/>
      <c r="DS778" s="1"/>
      <c r="DT778" s="1"/>
      <c r="DU778" s="1"/>
      <c r="DV778" s="1"/>
      <c r="DW778" s="1"/>
      <c r="DX778" s="1"/>
      <c r="DY778" s="1"/>
      <c r="DZ778" s="1"/>
      <c r="EA778" s="1"/>
      <c r="EB778" s="1"/>
      <c r="EC778" s="1"/>
      <c r="ED778" s="1"/>
      <c r="EE778" s="1"/>
      <c r="EF778" s="1"/>
      <c r="EG778" s="1"/>
      <c r="EH778" s="1"/>
      <c r="EI778" s="1"/>
      <c r="EJ778" s="1"/>
      <c r="EK778" s="1"/>
      <c r="EL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c r="BR779" s="1"/>
      <c r="BS779" s="1"/>
      <c r="BT779" s="1"/>
      <c r="BU779" s="1"/>
      <c r="BV779" s="1"/>
      <c r="BW779" s="1"/>
      <c r="BX779" s="1"/>
      <c r="BY779" s="1"/>
      <c r="BZ779" s="1"/>
      <c r="CA779" s="1"/>
      <c r="CB779" s="1"/>
      <c r="CC779" s="1"/>
      <c r="CD779" s="1"/>
      <c r="CE779" s="1"/>
      <c r="CF779" s="1"/>
      <c r="CG779" s="1"/>
      <c r="CH779" s="1"/>
      <c r="CI779" s="1"/>
      <c r="CJ779" s="1"/>
      <c r="CK779" s="1"/>
      <c r="CL779" s="1"/>
      <c r="CM779" s="1"/>
      <c r="CN779" s="1"/>
      <c r="CO779" s="1"/>
      <c r="CP779" s="1"/>
      <c r="CQ779" s="1"/>
      <c r="CR779" s="1"/>
      <c r="CS779" s="1"/>
      <c r="CT779" s="1"/>
      <c r="CU779" s="1"/>
      <c r="CV779" s="1"/>
      <c r="CW779" s="1"/>
      <c r="CX779" s="1"/>
      <c r="CY779" s="1"/>
      <c r="CZ779" s="1"/>
      <c r="DA779" s="1"/>
      <c r="DB779" s="1"/>
      <c r="DC779" s="1"/>
      <c r="DD779" s="1"/>
      <c r="DE779" s="1"/>
      <c r="DF779" s="1"/>
      <c r="DG779" s="1"/>
      <c r="DH779" s="1"/>
      <c r="DI779" s="1"/>
      <c r="DJ779" s="1"/>
      <c r="DK779" s="1"/>
      <c r="DL779" s="1"/>
      <c r="DM779" s="1"/>
      <c r="DN779" s="1"/>
      <c r="DO779" s="1"/>
      <c r="DP779" s="1"/>
      <c r="DQ779" s="1"/>
      <c r="DR779" s="1"/>
      <c r="DS779" s="1"/>
      <c r="DT779" s="1"/>
      <c r="DU779" s="1"/>
      <c r="DV779" s="1"/>
      <c r="DW779" s="1"/>
      <c r="DX779" s="1"/>
      <c r="DY779" s="1"/>
      <c r="DZ779" s="1"/>
      <c r="EA779" s="1"/>
      <c r="EB779" s="1"/>
      <c r="EC779" s="1"/>
      <c r="ED779" s="1"/>
      <c r="EE779" s="1"/>
      <c r="EF779" s="1"/>
      <c r="EG779" s="1"/>
      <c r="EH779" s="1"/>
      <c r="EI779" s="1"/>
      <c r="EJ779" s="1"/>
      <c r="EK779" s="1"/>
      <c r="EL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c r="BR780" s="1"/>
      <c r="BS780" s="1"/>
      <c r="BT780" s="1"/>
      <c r="BU780" s="1"/>
      <c r="BV780" s="1"/>
      <c r="BW780" s="1"/>
      <c r="BX780" s="1"/>
      <c r="BY780" s="1"/>
      <c r="BZ780" s="1"/>
      <c r="CA780" s="1"/>
      <c r="CB780" s="1"/>
      <c r="CC780" s="1"/>
      <c r="CD780" s="1"/>
      <c r="CE780" s="1"/>
      <c r="CF780" s="1"/>
      <c r="CG780" s="1"/>
      <c r="CH780" s="1"/>
      <c r="CI780" s="1"/>
      <c r="CJ780" s="1"/>
      <c r="CK780" s="1"/>
      <c r="CL780" s="1"/>
      <c r="CM780" s="1"/>
      <c r="CN780" s="1"/>
      <c r="CO780" s="1"/>
      <c r="CP780" s="1"/>
      <c r="CQ780" s="1"/>
      <c r="CR780" s="1"/>
      <c r="CS780" s="1"/>
      <c r="CT780" s="1"/>
      <c r="CU780" s="1"/>
      <c r="CV780" s="1"/>
      <c r="CW780" s="1"/>
      <c r="CX780" s="1"/>
      <c r="CY780" s="1"/>
      <c r="CZ780" s="1"/>
      <c r="DA780" s="1"/>
      <c r="DB780" s="1"/>
      <c r="DC780" s="1"/>
      <c r="DD780" s="1"/>
      <c r="DE780" s="1"/>
      <c r="DF780" s="1"/>
      <c r="DG780" s="1"/>
      <c r="DH780" s="1"/>
      <c r="DI780" s="1"/>
      <c r="DJ780" s="1"/>
      <c r="DK780" s="1"/>
      <c r="DL780" s="1"/>
      <c r="DM780" s="1"/>
      <c r="DN780" s="1"/>
      <c r="DO780" s="1"/>
      <c r="DP780" s="1"/>
      <c r="DQ780" s="1"/>
      <c r="DR780" s="1"/>
      <c r="DS780" s="1"/>
      <c r="DT780" s="1"/>
      <c r="DU780" s="1"/>
      <c r="DV780" s="1"/>
      <c r="DW780" s="1"/>
      <c r="DX780" s="1"/>
      <c r="DY780" s="1"/>
      <c r="DZ780" s="1"/>
      <c r="EA780" s="1"/>
      <c r="EB780" s="1"/>
      <c r="EC780" s="1"/>
      <c r="ED780" s="1"/>
      <c r="EE780" s="1"/>
      <c r="EF780" s="1"/>
      <c r="EG780" s="1"/>
      <c r="EH780" s="1"/>
      <c r="EI780" s="1"/>
      <c r="EJ780" s="1"/>
      <c r="EK780" s="1"/>
      <c r="EL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c r="BR781" s="1"/>
      <c r="BS781" s="1"/>
      <c r="BT781" s="1"/>
      <c r="BU781" s="1"/>
      <c r="BV781" s="1"/>
      <c r="BW781" s="1"/>
      <c r="BX781" s="1"/>
      <c r="BY781" s="1"/>
      <c r="BZ781" s="1"/>
      <c r="CA781" s="1"/>
      <c r="CB781" s="1"/>
      <c r="CC781" s="1"/>
      <c r="CD781" s="1"/>
      <c r="CE781" s="1"/>
      <c r="CF781" s="1"/>
      <c r="CG781" s="1"/>
      <c r="CH781" s="1"/>
      <c r="CI781" s="1"/>
      <c r="CJ781" s="1"/>
      <c r="CK781" s="1"/>
      <c r="CL781" s="1"/>
      <c r="CM781" s="1"/>
      <c r="CN781" s="1"/>
      <c r="CO781" s="1"/>
      <c r="CP781" s="1"/>
      <c r="CQ781" s="1"/>
      <c r="CR781" s="1"/>
      <c r="CS781" s="1"/>
      <c r="CT781" s="1"/>
      <c r="CU781" s="1"/>
      <c r="CV781" s="1"/>
      <c r="CW781" s="1"/>
      <c r="CX781" s="1"/>
      <c r="CY781" s="1"/>
      <c r="CZ781" s="1"/>
      <c r="DA781" s="1"/>
      <c r="DB781" s="1"/>
      <c r="DC781" s="1"/>
      <c r="DD781" s="1"/>
      <c r="DE781" s="1"/>
      <c r="DF781" s="1"/>
      <c r="DG781" s="1"/>
      <c r="DH781" s="1"/>
      <c r="DI781" s="1"/>
      <c r="DJ781" s="1"/>
      <c r="DK781" s="1"/>
      <c r="DL781" s="1"/>
      <c r="DM781" s="1"/>
      <c r="DN781" s="1"/>
      <c r="DO781" s="1"/>
      <c r="DP781" s="1"/>
      <c r="DQ781" s="1"/>
      <c r="DR781" s="1"/>
      <c r="DS781" s="1"/>
      <c r="DT781" s="1"/>
      <c r="DU781" s="1"/>
      <c r="DV781" s="1"/>
      <c r="DW781" s="1"/>
      <c r="DX781" s="1"/>
      <c r="DY781" s="1"/>
      <c r="DZ781" s="1"/>
      <c r="EA781" s="1"/>
      <c r="EB781" s="1"/>
      <c r="EC781" s="1"/>
      <c r="ED781" s="1"/>
      <c r="EE781" s="1"/>
      <c r="EF781" s="1"/>
      <c r="EG781" s="1"/>
      <c r="EH781" s="1"/>
      <c r="EI781" s="1"/>
      <c r="EJ781" s="1"/>
      <c r="EK781" s="1"/>
      <c r="EL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c r="BR782" s="1"/>
      <c r="BS782" s="1"/>
      <c r="BT782" s="1"/>
      <c r="BU782" s="1"/>
      <c r="BV782" s="1"/>
      <c r="BW782" s="1"/>
      <c r="BX782" s="1"/>
      <c r="BY782" s="1"/>
      <c r="BZ782" s="1"/>
      <c r="CA782" s="1"/>
      <c r="CB782" s="1"/>
      <c r="CC782" s="1"/>
      <c r="CD782" s="1"/>
      <c r="CE782" s="1"/>
      <c r="CF782" s="1"/>
      <c r="CG782" s="1"/>
      <c r="CH782" s="1"/>
      <c r="CI782" s="1"/>
      <c r="CJ782" s="1"/>
      <c r="CK782" s="1"/>
      <c r="CL782" s="1"/>
      <c r="CM782" s="1"/>
      <c r="CN782" s="1"/>
      <c r="CO782" s="1"/>
      <c r="CP782" s="1"/>
      <c r="CQ782" s="1"/>
      <c r="CR782" s="1"/>
      <c r="CS782" s="1"/>
      <c r="CT782" s="1"/>
      <c r="CU782" s="1"/>
      <c r="CV782" s="1"/>
      <c r="CW782" s="1"/>
      <c r="CX782" s="1"/>
      <c r="CY782" s="1"/>
      <c r="CZ782" s="1"/>
      <c r="DA782" s="1"/>
      <c r="DB782" s="1"/>
      <c r="DC782" s="1"/>
      <c r="DD782" s="1"/>
      <c r="DE782" s="1"/>
      <c r="DF782" s="1"/>
      <c r="DG782" s="1"/>
      <c r="DH782" s="1"/>
      <c r="DI782" s="1"/>
      <c r="DJ782" s="1"/>
      <c r="DK782" s="1"/>
      <c r="DL782" s="1"/>
      <c r="DM782" s="1"/>
      <c r="DN782" s="1"/>
      <c r="DO782" s="1"/>
      <c r="DP782" s="1"/>
      <c r="DQ782" s="1"/>
      <c r="DR782" s="1"/>
      <c r="DS782" s="1"/>
      <c r="DT782" s="1"/>
      <c r="DU782" s="1"/>
      <c r="DV782" s="1"/>
      <c r="DW782" s="1"/>
      <c r="DX782" s="1"/>
      <c r="DY782" s="1"/>
      <c r="DZ782" s="1"/>
      <c r="EA782" s="1"/>
      <c r="EB782" s="1"/>
      <c r="EC782" s="1"/>
      <c r="ED782" s="1"/>
      <c r="EE782" s="1"/>
      <c r="EF782" s="1"/>
      <c r="EG782" s="1"/>
      <c r="EH782" s="1"/>
      <c r="EI782" s="1"/>
      <c r="EJ782" s="1"/>
      <c r="EK782" s="1"/>
      <c r="EL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c r="BR783" s="1"/>
      <c r="BS783" s="1"/>
      <c r="BT783" s="1"/>
      <c r="BU783" s="1"/>
      <c r="BV783" s="1"/>
      <c r="BW783" s="1"/>
      <c r="BX783" s="1"/>
      <c r="BY783" s="1"/>
      <c r="BZ783" s="1"/>
      <c r="CA783" s="1"/>
      <c r="CB783" s="1"/>
      <c r="CC783" s="1"/>
      <c r="CD783" s="1"/>
      <c r="CE783" s="1"/>
      <c r="CF783" s="1"/>
      <c r="CG783" s="1"/>
      <c r="CH783" s="1"/>
      <c r="CI783" s="1"/>
      <c r="CJ783" s="1"/>
      <c r="CK783" s="1"/>
      <c r="CL783" s="1"/>
      <c r="CM783" s="1"/>
      <c r="CN783" s="1"/>
      <c r="CO783" s="1"/>
      <c r="CP783" s="1"/>
      <c r="CQ783" s="1"/>
      <c r="CR783" s="1"/>
      <c r="CS783" s="1"/>
      <c r="CT783" s="1"/>
      <c r="CU783" s="1"/>
      <c r="CV783" s="1"/>
      <c r="CW783" s="1"/>
      <c r="CX783" s="1"/>
      <c r="CY783" s="1"/>
      <c r="CZ783" s="1"/>
      <c r="DA783" s="1"/>
      <c r="DB783" s="1"/>
      <c r="DC783" s="1"/>
      <c r="DD783" s="1"/>
      <c r="DE783" s="1"/>
      <c r="DF783" s="1"/>
      <c r="DG783" s="1"/>
      <c r="DH783" s="1"/>
      <c r="DI783" s="1"/>
      <c r="DJ783" s="1"/>
      <c r="DK783" s="1"/>
      <c r="DL783" s="1"/>
      <c r="DM783" s="1"/>
      <c r="DN783" s="1"/>
      <c r="DO783" s="1"/>
      <c r="DP783" s="1"/>
      <c r="DQ783" s="1"/>
      <c r="DR783" s="1"/>
      <c r="DS783" s="1"/>
      <c r="DT783" s="1"/>
      <c r="DU783" s="1"/>
      <c r="DV783" s="1"/>
      <c r="DW783" s="1"/>
      <c r="DX783" s="1"/>
      <c r="DY783" s="1"/>
      <c r="DZ783" s="1"/>
      <c r="EA783" s="1"/>
      <c r="EB783" s="1"/>
      <c r="EC783" s="1"/>
      <c r="ED783" s="1"/>
      <c r="EE783" s="1"/>
      <c r="EF783" s="1"/>
      <c r="EG783" s="1"/>
      <c r="EH783" s="1"/>
      <c r="EI783" s="1"/>
      <c r="EJ783" s="1"/>
      <c r="EK783" s="1"/>
      <c r="EL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c r="BR784" s="1"/>
      <c r="BS784" s="1"/>
      <c r="BT784" s="1"/>
      <c r="BU784" s="1"/>
      <c r="BV784" s="1"/>
      <c r="BW784" s="1"/>
      <c r="BX784" s="1"/>
      <c r="BY784" s="1"/>
      <c r="BZ784" s="1"/>
      <c r="CA784" s="1"/>
      <c r="CB784" s="1"/>
      <c r="CC784" s="1"/>
      <c r="CD784" s="1"/>
      <c r="CE784" s="1"/>
      <c r="CF784" s="1"/>
      <c r="CG784" s="1"/>
      <c r="CH784" s="1"/>
      <c r="CI784" s="1"/>
      <c r="CJ784" s="1"/>
      <c r="CK784" s="1"/>
      <c r="CL784" s="1"/>
      <c r="CM784" s="1"/>
      <c r="CN784" s="1"/>
      <c r="CO784" s="1"/>
      <c r="CP784" s="1"/>
      <c r="CQ784" s="1"/>
      <c r="CR784" s="1"/>
      <c r="CS784" s="1"/>
      <c r="CT784" s="1"/>
      <c r="CU784" s="1"/>
      <c r="CV784" s="1"/>
      <c r="CW784" s="1"/>
      <c r="CX784" s="1"/>
      <c r="CY784" s="1"/>
      <c r="CZ784" s="1"/>
      <c r="DA784" s="1"/>
      <c r="DB784" s="1"/>
      <c r="DC784" s="1"/>
      <c r="DD784" s="1"/>
      <c r="DE784" s="1"/>
      <c r="DF784" s="1"/>
      <c r="DG784" s="1"/>
      <c r="DH784" s="1"/>
      <c r="DI784" s="1"/>
      <c r="DJ784" s="1"/>
      <c r="DK784" s="1"/>
      <c r="DL784" s="1"/>
      <c r="DM784" s="1"/>
      <c r="DN784" s="1"/>
      <c r="DO784" s="1"/>
      <c r="DP784" s="1"/>
      <c r="DQ784" s="1"/>
      <c r="DR784" s="1"/>
      <c r="DS784" s="1"/>
      <c r="DT784" s="1"/>
      <c r="DU784" s="1"/>
      <c r="DV784" s="1"/>
      <c r="DW784" s="1"/>
      <c r="DX784" s="1"/>
      <c r="DY784" s="1"/>
      <c r="DZ784" s="1"/>
      <c r="EA784" s="1"/>
      <c r="EB784" s="1"/>
      <c r="EC784" s="1"/>
      <c r="ED784" s="1"/>
      <c r="EE784" s="1"/>
      <c r="EF784" s="1"/>
      <c r="EG784" s="1"/>
      <c r="EH784" s="1"/>
      <c r="EI784" s="1"/>
      <c r="EJ784" s="1"/>
      <c r="EK784" s="1"/>
      <c r="EL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c r="BR785" s="1"/>
      <c r="BS785" s="1"/>
      <c r="BT785" s="1"/>
      <c r="BU785" s="1"/>
      <c r="BV785" s="1"/>
      <c r="BW785" s="1"/>
      <c r="BX785" s="1"/>
      <c r="BY785" s="1"/>
      <c r="BZ785" s="1"/>
      <c r="CA785" s="1"/>
      <c r="CB785" s="1"/>
      <c r="CC785" s="1"/>
      <c r="CD785" s="1"/>
      <c r="CE785" s="1"/>
      <c r="CF785" s="1"/>
      <c r="CG785" s="1"/>
      <c r="CH785" s="1"/>
      <c r="CI785" s="1"/>
      <c r="CJ785" s="1"/>
      <c r="CK785" s="1"/>
      <c r="CL785" s="1"/>
      <c r="CM785" s="1"/>
      <c r="CN785" s="1"/>
      <c r="CO785" s="1"/>
      <c r="CP785" s="1"/>
      <c r="CQ785" s="1"/>
      <c r="CR785" s="1"/>
      <c r="CS785" s="1"/>
      <c r="CT785" s="1"/>
      <c r="CU785" s="1"/>
      <c r="CV785" s="1"/>
      <c r="CW785" s="1"/>
      <c r="CX785" s="1"/>
      <c r="CY785" s="1"/>
      <c r="CZ785" s="1"/>
      <c r="DA785" s="1"/>
      <c r="DB785" s="1"/>
      <c r="DC785" s="1"/>
      <c r="DD785" s="1"/>
      <c r="DE785" s="1"/>
      <c r="DF785" s="1"/>
      <c r="DG785" s="1"/>
      <c r="DH785" s="1"/>
      <c r="DI785" s="1"/>
      <c r="DJ785" s="1"/>
      <c r="DK785" s="1"/>
      <c r="DL785" s="1"/>
      <c r="DM785" s="1"/>
      <c r="DN785" s="1"/>
      <c r="DO785" s="1"/>
      <c r="DP785" s="1"/>
      <c r="DQ785" s="1"/>
      <c r="DR785" s="1"/>
      <c r="DS785" s="1"/>
      <c r="DT785" s="1"/>
      <c r="DU785" s="1"/>
      <c r="DV785" s="1"/>
      <c r="DW785" s="1"/>
      <c r="DX785" s="1"/>
      <c r="DY785" s="1"/>
      <c r="DZ785" s="1"/>
      <c r="EA785" s="1"/>
      <c r="EB785" s="1"/>
      <c r="EC785" s="1"/>
      <c r="ED785" s="1"/>
      <c r="EE785" s="1"/>
      <c r="EF785" s="1"/>
      <c r="EG785" s="1"/>
      <c r="EH785" s="1"/>
      <c r="EI785" s="1"/>
      <c r="EJ785" s="1"/>
      <c r="EK785" s="1"/>
      <c r="EL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c r="BR786" s="1"/>
      <c r="BS786" s="1"/>
      <c r="BT786" s="1"/>
      <c r="BU786" s="1"/>
      <c r="BV786" s="1"/>
      <c r="BW786" s="1"/>
      <c r="BX786" s="1"/>
      <c r="BY786" s="1"/>
      <c r="BZ786" s="1"/>
      <c r="CA786" s="1"/>
      <c r="CB786" s="1"/>
      <c r="CC786" s="1"/>
      <c r="CD786" s="1"/>
      <c r="CE786" s="1"/>
      <c r="CF786" s="1"/>
      <c r="CG786" s="1"/>
      <c r="CH786" s="1"/>
      <c r="CI786" s="1"/>
      <c r="CJ786" s="1"/>
      <c r="CK786" s="1"/>
      <c r="CL786" s="1"/>
      <c r="CM786" s="1"/>
      <c r="CN786" s="1"/>
      <c r="CO786" s="1"/>
      <c r="CP786" s="1"/>
      <c r="CQ786" s="1"/>
      <c r="CR786" s="1"/>
      <c r="CS786" s="1"/>
      <c r="CT786" s="1"/>
      <c r="CU786" s="1"/>
      <c r="CV786" s="1"/>
      <c r="CW786" s="1"/>
      <c r="CX786" s="1"/>
      <c r="CY786" s="1"/>
      <c r="CZ786" s="1"/>
      <c r="DA786" s="1"/>
      <c r="DB786" s="1"/>
      <c r="DC786" s="1"/>
      <c r="DD786" s="1"/>
      <c r="DE786" s="1"/>
      <c r="DF786" s="1"/>
      <c r="DG786" s="1"/>
      <c r="DH786" s="1"/>
      <c r="DI786" s="1"/>
      <c r="DJ786" s="1"/>
      <c r="DK786" s="1"/>
      <c r="DL786" s="1"/>
      <c r="DM786" s="1"/>
      <c r="DN786" s="1"/>
      <c r="DO786" s="1"/>
      <c r="DP786" s="1"/>
      <c r="DQ786" s="1"/>
      <c r="DR786" s="1"/>
      <c r="DS786" s="1"/>
      <c r="DT786" s="1"/>
      <c r="DU786" s="1"/>
      <c r="DV786" s="1"/>
      <c r="DW786" s="1"/>
      <c r="DX786" s="1"/>
      <c r="DY786" s="1"/>
      <c r="DZ786" s="1"/>
      <c r="EA786" s="1"/>
      <c r="EB786" s="1"/>
      <c r="EC786" s="1"/>
      <c r="ED786" s="1"/>
      <c r="EE786" s="1"/>
      <c r="EF786" s="1"/>
      <c r="EG786" s="1"/>
      <c r="EH786" s="1"/>
      <c r="EI786" s="1"/>
      <c r="EJ786" s="1"/>
      <c r="EK786" s="1"/>
      <c r="EL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c r="BR787" s="1"/>
      <c r="BS787" s="1"/>
      <c r="BT787" s="1"/>
      <c r="BU787" s="1"/>
      <c r="BV787" s="1"/>
      <c r="BW787" s="1"/>
      <c r="BX787" s="1"/>
      <c r="BY787" s="1"/>
      <c r="BZ787" s="1"/>
      <c r="CA787" s="1"/>
      <c r="CB787" s="1"/>
      <c r="CC787" s="1"/>
      <c r="CD787" s="1"/>
      <c r="CE787" s="1"/>
      <c r="CF787" s="1"/>
      <c r="CG787" s="1"/>
      <c r="CH787" s="1"/>
      <c r="CI787" s="1"/>
      <c r="CJ787" s="1"/>
      <c r="CK787" s="1"/>
      <c r="CL787" s="1"/>
      <c r="CM787" s="1"/>
      <c r="CN787" s="1"/>
      <c r="CO787" s="1"/>
      <c r="CP787" s="1"/>
      <c r="CQ787" s="1"/>
      <c r="CR787" s="1"/>
      <c r="CS787" s="1"/>
      <c r="CT787" s="1"/>
      <c r="CU787" s="1"/>
      <c r="CV787" s="1"/>
      <c r="CW787" s="1"/>
      <c r="CX787" s="1"/>
      <c r="CY787" s="1"/>
      <c r="CZ787" s="1"/>
      <c r="DA787" s="1"/>
      <c r="DB787" s="1"/>
      <c r="DC787" s="1"/>
      <c r="DD787" s="1"/>
      <c r="DE787" s="1"/>
      <c r="DF787" s="1"/>
      <c r="DG787" s="1"/>
      <c r="DH787" s="1"/>
      <c r="DI787" s="1"/>
      <c r="DJ787" s="1"/>
      <c r="DK787" s="1"/>
      <c r="DL787" s="1"/>
      <c r="DM787" s="1"/>
      <c r="DN787" s="1"/>
      <c r="DO787" s="1"/>
      <c r="DP787" s="1"/>
      <c r="DQ787" s="1"/>
      <c r="DR787" s="1"/>
      <c r="DS787" s="1"/>
      <c r="DT787" s="1"/>
      <c r="DU787" s="1"/>
      <c r="DV787" s="1"/>
      <c r="DW787" s="1"/>
      <c r="DX787" s="1"/>
      <c r="DY787" s="1"/>
      <c r="DZ787" s="1"/>
      <c r="EA787" s="1"/>
      <c r="EB787" s="1"/>
      <c r="EC787" s="1"/>
      <c r="ED787" s="1"/>
      <c r="EE787" s="1"/>
      <c r="EF787" s="1"/>
      <c r="EG787" s="1"/>
      <c r="EH787" s="1"/>
      <c r="EI787" s="1"/>
      <c r="EJ787" s="1"/>
      <c r="EK787" s="1"/>
      <c r="EL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c r="BR788" s="1"/>
      <c r="BS788" s="1"/>
      <c r="BT788" s="1"/>
      <c r="BU788" s="1"/>
      <c r="BV788" s="1"/>
      <c r="BW788" s="1"/>
      <c r="BX788" s="1"/>
      <c r="BY788" s="1"/>
      <c r="BZ788" s="1"/>
      <c r="CA788" s="1"/>
      <c r="CB788" s="1"/>
      <c r="CC788" s="1"/>
      <c r="CD788" s="1"/>
      <c r="CE788" s="1"/>
      <c r="CF788" s="1"/>
      <c r="CG788" s="1"/>
      <c r="CH788" s="1"/>
      <c r="CI788" s="1"/>
      <c r="CJ788" s="1"/>
      <c r="CK788" s="1"/>
      <c r="CL788" s="1"/>
      <c r="CM788" s="1"/>
      <c r="CN788" s="1"/>
      <c r="CO788" s="1"/>
      <c r="CP788" s="1"/>
      <c r="CQ788" s="1"/>
      <c r="CR788" s="1"/>
      <c r="CS788" s="1"/>
      <c r="CT788" s="1"/>
      <c r="CU788" s="1"/>
      <c r="CV788" s="1"/>
      <c r="CW788" s="1"/>
      <c r="CX788" s="1"/>
      <c r="CY788" s="1"/>
      <c r="CZ788" s="1"/>
      <c r="DA788" s="1"/>
      <c r="DB788" s="1"/>
      <c r="DC788" s="1"/>
      <c r="DD788" s="1"/>
      <c r="DE788" s="1"/>
      <c r="DF788" s="1"/>
      <c r="DG788" s="1"/>
      <c r="DH788" s="1"/>
      <c r="DI788" s="1"/>
      <c r="DJ788" s="1"/>
      <c r="DK788" s="1"/>
      <c r="DL788" s="1"/>
      <c r="DM788" s="1"/>
      <c r="DN788" s="1"/>
      <c r="DO788" s="1"/>
      <c r="DP788" s="1"/>
      <c r="DQ788" s="1"/>
      <c r="DR788" s="1"/>
      <c r="DS788" s="1"/>
      <c r="DT788" s="1"/>
      <c r="DU788" s="1"/>
      <c r="DV788" s="1"/>
      <c r="DW788" s="1"/>
      <c r="DX788" s="1"/>
      <c r="DY788" s="1"/>
      <c r="DZ788" s="1"/>
      <c r="EA788" s="1"/>
      <c r="EB788" s="1"/>
      <c r="EC788" s="1"/>
      <c r="ED788" s="1"/>
      <c r="EE788" s="1"/>
      <c r="EF788" s="1"/>
      <c r="EG788" s="1"/>
      <c r="EH788" s="1"/>
      <c r="EI788" s="1"/>
      <c r="EJ788" s="1"/>
      <c r="EK788" s="1"/>
      <c r="EL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c r="BR789" s="1"/>
      <c r="BS789" s="1"/>
      <c r="BT789" s="1"/>
      <c r="BU789" s="1"/>
      <c r="BV789" s="1"/>
      <c r="BW789" s="1"/>
      <c r="BX789" s="1"/>
      <c r="BY789" s="1"/>
      <c r="BZ789" s="1"/>
      <c r="CA789" s="1"/>
      <c r="CB789" s="1"/>
      <c r="CC789" s="1"/>
      <c r="CD789" s="1"/>
      <c r="CE789" s="1"/>
      <c r="CF789" s="1"/>
      <c r="CG789" s="1"/>
      <c r="CH789" s="1"/>
      <c r="CI789" s="1"/>
      <c r="CJ789" s="1"/>
      <c r="CK789" s="1"/>
      <c r="CL789" s="1"/>
      <c r="CM789" s="1"/>
      <c r="CN789" s="1"/>
      <c r="CO789" s="1"/>
      <c r="CP789" s="1"/>
      <c r="CQ789" s="1"/>
      <c r="CR789" s="1"/>
      <c r="CS789" s="1"/>
      <c r="CT789" s="1"/>
      <c r="CU789" s="1"/>
      <c r="CV789" s="1"/>
      <c r="CW789" s="1"/>
      <c r="CX789" s="1"/>
      <c r="CY789" s="1"/>
      <c r="CZ789" s="1"/>
      <c r="DA789" s="1"/>
      <c r="DB789" s="1"/>
      <c r="DC789" s="1"/>
      <c r="DD789" s="1"/>
      <c r="DE789" s="1"/>
      <c r="DF789" s="1"/>
      <c r="DG789" s="1"/>
      <c r="DH789" s="1"/>
      <c r="DI789" s="1"/>
      <c r="DJ789" s="1"/>
      <c r="DK789" s="1"/>
      <c r="DL789" s="1"/>
      <c r="DM789" s="1"/>
      <c r="DN789" s="1"/>
      <c r="DO789" s="1"/>
      <c r="DP789" s="1"/>
      <c r="DQ789" s="1"/>
      <c r="DR789" s="1"/>
      <c r="DS789" s="1"/>
      <c r="DT789" s="1"/>
      <c r="DU789" s="1"/>
      <c r="DV789" s="1"/>
      <c r="DW789" s="1"/>
      <c r="DX789" s="1"/>
      <c r="DY789" s="1"/>
      <c r="DZ789" s="1"/>
      <c r="EA789" s="1"/>
      <c r="EB789" s="1"/>
      <c r="EC789" s="1"/>
      <c r="ED789" s="1"/>
      <c r="EE789" s="1"/>
      <c r="EF789" s="1"/>
      <c r="EG789" s="1"/>
      <c r="EH789" s="1"/>
      <c r="EI789" s="1"/>
      <c r="EJ789" s="1"/>
      <c r="EK789" s="1"/>
      <c r="EL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c r="BR790" s="1"/>
      <c r="BS790" s="1"/>
      <c r="BT790" s="1"/>
      <c r="BU790" s="1"/>
      <c r="BV790" s="1"/>
      <c r="BW790" s="1"/>
      <c r="BX790" s="1"/>
      <c r="BY790" s="1"/>
      <c r="BZ790" s="1"/>
      <c r="CA790" s="1"/>
      <c r="CB790" s="1"/>
      <c r="CC790" s="1"/>
      <c r="CD790" s="1"/>
      <c r="CE790" s="1"/>
      <c r="CF790" s="1"/>
      <c r="CG790" s="1"/>
      <c r="CH790" s="1"/>
      <c r="CI790" s="1"/>
      <c r="CJ790" s="1"/>
      <c r="CK790" s="1"/>
      <c r="CL790" s="1"/>
      <c r="CM790" s="1"/>
      <c r="CN790" s="1"/>
      <c r="CO790" s="1"/>
      <c r="CP790" s="1"/>
      <c r="CQ790" s="1"/>
      <c r="CR790" s="1"/>
      <c r="CS790" s="1"/>
      <c r="CT790" s="1"/>
      <c r="CU790" s="1"/>
      <c r="CV790" s="1"/>
      <c r="CW790" s="1"/>
      <c r="CX790" s="1"/>
      <c r="CY790" s="1"/>
      <c r="CZ790" s="1"/>
      <c r="DA790" s="1"/>
      <c r="DB790" s="1"/>
      <c r="DC790" s="1"/>
      <c r="DD790" s="1"/>
      <c r="DE790" s="1"/>
      <c r="DF790" s="1"/>
      <c r="DG790" s="1"/>
      <c r="DH790" s="1"/>
      <c r="DI790" s="1"/>
      <c r="DJ790" s="1"/>
      <c r="DK790" s="1"/>
      <c r="DL790" s="1"/>
      <c r="DM790" s="1"/>
      <c r="DN790" s="1"/>
      <c r="DO790" s="1"/>
      <c r="DP790" s="1"/>
      <c r="DQ790" s="1"/>
      <c r="DR790" s="1"/>
      <c r="DS790" s="1"/>
      <c r="DT790" s="1"/>
      <c r="DU790" s="1"/>
      <c r="DV790" s="1"/>
      <c r="DW790" s="1"/>
      <c r="DX790" s="1"/>
      <c r="DY790" s="1"/>
      <c r="DZ790" s="1"/>
      <c r="EA790" s="1"/>
      <c r="EB790" s="1"/>
      <c r="EC790" s="1"/>
      <c r="ED790" s="1"/>
      <c r="EE790" s="1"/>
      <c r="EF790" s="1"/>
      <c r="EG790" s="1"/>
      <c r="EH790" s="1"/>
      <c r="EI790" s="1"/>
      <c r="EJ790" s="1"/>
      <c r="EK790" s="1"/>
      <c r="EL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c r="BR791" s="1"/>
      <c r="BS791" s="1"/>
      <c r="BT791" s="1"/>
      <c r="BU791" s="1"/>
      <c r="BV791" s="1"/>
      <c r="BW791" s="1"/>
      <c r="BX791" s="1"/>
      <c r="BY791" s="1"/>
      <c r="BZ791" s="1"/>
      <c r="CA791" s="1"/>
      <c r="CB791" s="1"/>
      <c r="CC791" s="1"/>
      <c r="CD791" s="1"/>
      <c r="CE791" s="1"/>
      <c r="CF791" s="1"/>
      <c r="CG791" s="1"/>
      <c r="CH791" s="1"/>
      <c r="CI791" s="1"/>
      <c r="CJ791" s="1"/>
      <c r="CK791" s="1"/>
      <c r="CL791" s="1"/>
      <c r="CM791" s="1"/>
      <c r="CN791" s="1"/>
      <c r="CO791" s="1"/>
      <c r="CP791" s="1"/>
      <c r="CQ791" s="1"/>
      <c r="CR791" s="1"/>
      <c r="CS791" s="1"/>
      <c r="CT791" s="1"/>
      <c r="CU791" s="1"/>
      <c r="CV791" s="1"/>
      <c r="CW791" s="1"/>
      <c r="CX791" s="1"/>
      <c r="CY791" s="1"/>
      <c r="CZ791" s="1"/>
      <c r="DA791" s="1"/>
      <c r="DB791" s="1"/>
      <c r="DC791" s="1"/>
      <c r="DD791" s="1"/>
      <c r="DE791" s="1"/>
      <c r="DF791" s="1"/>
      <c r="DG791" s="1"/>
      <c r="DH791" s="1"/>
      <c r="DI791" s="1"/>
      <c r="DJ791" s="1"/>
      <c r="DK791" s="1"/>
      <c r="DL791" s="1"/>
      <c r="DM791" s="1"/>
      <c r="DN791" s="1"/>
      <c r="DO791" s="1"/>
      <c r="DP791" s="1"/>
      <c r="DQ791" s="1"/>
      <c r="DR791" s="1"/>
      <c r="DS791" s="1"/>
      <c r="DT791" s="1"/>
      <c r="DU791" s="1"/>
      <c r="DV791" s="1"/>
      <c r="DW791" s="1"/>
      <c r="DX791" s="1"/>
      <c r="DY791" s="1"/>
      <c r="DZ791" s="1"/>
      <c r="EA791" s="1"/>
      <c r="EB791" s="1"/>
      <c r="EC791" s="1"/>
      <c r="ED791" s="1"/>
      <c r="EE791" s="1"/>
      <c r="EF791" s="1"/>
      <c r="EG791" s="1"/>
      <c r="EH791" s="1"/>
      <c r="EI791" s="1"/>
      <c r="EJ791" s="1"/>
      <c r="EK791" s="1"/>
      <c r="EL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c r="BR792" s="1"/>
      <c r="BS792" s="1"/>
      <c r="BT792" s="1"/>
      <c r="BU792" s="1"/>
      <c r="BV792" s="1"/>
      <c r="BW792" s="1"/>
      <c r="BX792" s="1"/>
      <c r="BY792" s="1"/>
      <c r="BZ792" s="1"/>
      <c r="CA792" s="1"/>
      <c r="CB792" s="1"/>
      <c r="CC792" s="1"/>
      <c r="CD792" s="1"/>
      <c r="CE792" s="1"/>
      <c r="CF792" s="1"/>
      <c r="CG792" s="1"/>
      <c r="CH792" s="1"/>
      <c r="CI792" s="1"/>
      <c r="CJ792" s="1"/>
      <c r="CK792" s="1"/>
      <c r="CL792" s="1"/>
      <c r="CM792" s="1"/>
      <c r="CN792" s="1"/>
      <c r="CO792" s="1"/>
      <c r="CP792" s="1"/>
      <c r="CQ792" s="1"/>
      <c r="CR792" s="1"/>
      <c r="CS792" s="1"/>
      <c r="CT792" s="1"/>
      <c r="CU792" s="1"/>
      <c r="CV792" s="1"/>
      <c r="CW792" s="1"/>
      <c r="CX792" s="1"/>
      <c r="CY792" s="1"/>
      <c r="CZ792" s="1"/>
      <c r="DA792" s="1"/>
      <c r="DB792" s="1"/>
      <c r="DC792" s="1"/>
      <c r="DD792" s="1"/>
      <c r="DE792" s="1"/>
      <c r="DF792" s="1"/>
      <c r="DG792" s="1"/>
      <c r="DH792" s="1"/>
      <c r="DI792" s="1"/>
      <c r="DJ792" s="1"/>
      <c r="DK792" s="1"/>
      <c r="DL792" s="1"/>
      <c r="DM792" s="1"/>
      <c r="DN792" s="1"/>
      <c r="DO792" s="1"/>
      <c r="DP792" s="1"/>
      <c r="DQ792" s="1"/>
      <c r="DR792" s="1"/>
      <c r="DS792" s="1"/>
      <c r="DT792" s="1"/>
      <c r="DU792" s="1"/>
      <c r="DV792" s="1"/>
      <c r="DW792" s="1"/>
      <c r="DX792" s="1"/>
      <c r="DY792" s="1"/>
      <c r="DZ792" s="1"/>
      <c r="EA792" s="1"/>
      <c r="EB792" s="1"/>
      <c r="EC792" s="1"/>
      <c r="ED792" s="1"/>
      <c r="EE792" s="1"/>
      <c r="EF792" s="1"/>
      <c r="EG792" s="1"/>
      <c r="EH792" s="1"/>
      <c r="EI792" s="1"/>
      <c r="EJ792" s="1"/>
      <c r="EK792" s="1"/>
      <c r="EL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c r="BR793" s="1"/>
      <c r="BS793" s="1"/>
      <c r="BT793" s="1"/>
      <c r="BU793" s="1"/>
      <c r="BV793" s="1"/>
      <c r="BW793" s="1"/>
      <c r="BX793" s="1"/>
      <c r="BY793" s="1"/>
      <c r="BZ793" s="1"/>
      <c r="CA793" s="1"/>
      <c r="CB793" s="1"/>
      <c r="CC793" s="1"/>
      <c r="CD793" s="1"/>
      <c r="CE793" s="1"/>
      <c r="CF793" s="1"/>
      <c r="CG793" s="1"/>
      <c r="CH793" s="1"/>
      <c r="CI793" s="1"/>
      <c r="CJ793" s="1"/>
      <c r="CK793" s="1"/>
      <c r="CL793" s="1"/>
      <c r="CM793" s="1"/>
      <c r="CN793" s="1"/>
      <c r="CO793" s="1"/>
      <c r="CP793" s="1"/>
      <c r="CQ793" s="1"/>
      <c r="CR793" s="1"/>
      <c r="CS793" s="1"/>
      <c r="CT793" s="1"/>
      <c r="CU793" s="1"/>
      <c r="CV793" s="1"/>
      <c r="CW793" s="1"/>
      <c r="CX793" s="1"/>
      <c r="CY793" s="1"/>
      <c r="CZ793" s="1"/>
      <c r="DA793" s="1"/>
      <c r="DB793" s="1"/>
      <c r="DC793" s="1"/>
      <c r="DD793" s="1"/>
      <c r="DE793" s="1"/>
      <c r="DF793" s="1"/>
      <c r="DG793" s="1"/>
      <c r="DH793" s="1"/>
      <c r="DI793" s="1"/>
      <c r="DJ793" s="1"/>
      <c r="DK793" s="1"/>
      <c r="DL793" s="1"/>
      <c r="DM793" s="1"/>
      <c r="DN793" s="1"/>
      <c r="DO793" s="1"/>
      <c r="DP793" s="1"/>
      <c r="DQ793" s="1"/>
      <c r="DR793" s="1"/>
      <c r="DS793" s="1"/>
      <c r="DT793" s="1"/>
      <c r="DU793" s="1"/>
      <c r="DV793" s="1"/>
      <c r="DW793" s="1"/>
      <c r="DX793" s="1"/>
      <c r="DY793" s="1"/>
      <c r="DZ793" s="1"/>
      <c r="EA793" s="1"/>
      <c r="EB793" s="1"/>
      <c r="EC793" s="1"/>
      <c r="ED793" s="1"/>
      <c r="EE793" s="1"/>
      <c r="EF793" s="1"/>
      <c r="EG793" s="1"/>
      <c r="EH793" s="1"/>
      <c r="EI793" s="1"/>
      <c r="EJ793" s="1"/>
      <c r="EK793" s="1"/>
      <c r="EL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c r="BR794" s="1"/>
      <c r="BS794" s="1"/>
      <c r="BT794" s="1"/>
      <c r="BU794" s="1"/>
      <c r="BV794" s="1"/>
      <c r="BW794" s="1"/>
      <c r="BX794" s="1"/>
      <c r="BY794" s="1"/>
      <c r="BZ794" s="1"/>
      <c r="CA794" s="1"/>
      <c r="CB794" s="1"/>
      <c r="CC794" s="1"/>
      <c r="CD794" s="1"/>
      <c r="CE794" s="1"/>
      <c r="CF794" s="1"/>
      <c r="CG794" s="1"/>
      <c r="CH794" s="1"/>
      <c r="CI794" s="1"/>
      <c r="CJ794" s="1"/>
      <c r="CK794" s="1"/>
      <c r="CL794" s="1"/>
      <c r="CM794" s="1"/>
      <c r="CN794" s="1"/>
      <c r="CO794" s="1"/>
      <c r="CP794" s="1"/>
      <c r="CQ794" s="1"/>
      <c r="CR794" s="1"/>
      <c r="CS794" s="1"/>
      <c r="CT794" s="1"/>
      <c r="CU794" s="1"/>
      <c r="CV794" s="1"/>
      <c r="CW794" s="1"/>
      <c r="CX794" s="1"/>
      <c r="CY794" s="1"/>
      <c r="CZ794" s="1"/>
      <c r="DA794" s="1"/>
      <c r="DB794" s="1"/>
      <c r="DC794" s="1"/>
      <c r="DD794" s="1"/>
      <c r="DE794" s="1"/>
      <c r="DF794" s="1"/>
      <c r="DG794" s="1"/>
      <c r="DH794" s="1"/>
      <c r="DI794" s="1"/>
      <c r="DJ794" s="1"/>
      <c r="DK794" s="1"/>
      <c r="DL794" s="1"/>
      <c r="DM794" s="1"/>
      <c r="DN794" s="1"/>
      <c r="DO794" s="1"/>
      <c r="DP794" s="1"/>
      <c r="DQ794" s="1"/>
      <c r="DR794" s="1"/>
      <c r="DS794" s="1"/>
      <c r="DT794" s="1"/>
      <c r="DU794" s="1"/>
      <c r="DV794" s="1"/>
      <c r="DW794" s="1"/>
      <c r="DX794" s="1"/>
      <c r="DY794" s="1"/>
      <c r="DZ794" s="1"/>
      <c r="EA794" s="1"/>
      <c r="EB794" s="1"/>
      <c r="EC794" s="1"/>
      <c r="ED794" s="1"/>
      <c r="EE794" s="1"/>
      <c r="EF794" s="1"/>
      <c r="EG794" s="1"/>
      <c r="EH794" s="1"/>
      <c r="EI794" s="1"/>
      <c r="EJ794" s="1"/>
      <c r="EK794" s="1"/>
      <c r="EL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c r="BR795" s="1"/>
      <c r="BS795" s="1"/>
      <c r="BT795" s="1"/>
      <c r="BU795" s="1"/>
      <c r="BV795" s="1"/>
      <c r="BW795" s="1"/>
      <c r="BX795" s="1"/>
      <c r="BY795" s="1"/>
      <c r="BZ795" s="1"/>
      <c r="CA795" s="1"/>
      <c r="CB795" s="1"/>
      <c r="CC795" s="1"/>
      <c r="CD795" s="1"/>
      <c r="CE795" s="1"/>
      <c r="CF795" s="1"/>
      <c r="CG795" s="1"/>
      <c r="CH795" s="1"/>
      <c r="CI795" s="1"/>
      <c r="CJ795" s="1"/>
      <c r="CK795" s="1"/>
      <c r="CL795" s="1"/>
      <c r="CM795" s="1"/>
      <c r="CN795" s="1"/>
      <c r="CO795" s="1"/>
      <c r="CP795" s="1"/>
      <c r="CQ795" s="1"/>
      <c r="CR795" s="1"/>
      <c r="CS795" s="1"/>
      <c r="CT795" s="1"/>
      <c r="CU795" s="1"/>
      <c r="CV795" s="1"/>
      <c r="CW795" s="1"/>
      <c r="CX795" s="1"/>
      <c r="CY795" s="1"/>
      <c r="CZ795" s="1"/>
      <c r="DA795" s="1"/>
      <c r="DB795" s="1"/>
      <c r="DC795" s="1"/>
      <c r="DD795" s="1"/>
      <c r="DE795" s="1"/>
      <c r="DF795" s="1"/>
      <c r="DG795" s="1"/>
      <c r="DH795" s="1"/>
      <c r="DI795" s="1"/>
      <c r="DJ795" s="1"/>
      <c r="DK795" s="1"/>
      <c r="DL795" s="1"/>
      <c r="DM795" s="1"/>
      <c r="DN795" s="1"/>
      <c r="DO795" s="1"/>
      <c r="DP795" s="1"/>
      <c r="DQ795" s="1"/>
      <c r="DR795" s="1"/>
      <c r="DS795" s="1"/>
      <c r="DT795" s="1"/>
      <c r="DU795" s="1"/>
      <c r="DV795" s="1"/>
      <c r="DW795" s="1"/>
      <c r="DX795" s="1"/>
      <c r="DY795" s="1"/>
      <c r="DZ795" s="1"/>
      <c r="EA795" s="1"/>
      <c r="EB795" s="1"/>
      <c r="EC795" s="1"/>
      <c r="ED795" s="1"/>
      <c r="EE795" s="1"/>
      <c r="EF795" s="1"/>
      <c r="EG795" s="1"/>
      <c r="EH795" s="1"/>
      <c r="EI795" s="1"/>
      <c r="EJ795" s="1"/>
      <c r="EK795" s="1"/>
      <c r="EL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c r="BR796" s="1"/>
      <c r="BS796" s="1"/>
      <c r="BT796" s="1"/>
      <c r="BU796" s="1"/>
      <c r="BV796" s="1"/>
      <c r="BW796" s="1"/>
      <c r="BX796" s="1"/>
      <c r="BY796" s="1"/>
      <c r="BZ796" s="1"/>
      <c r="CA796" s="1"/>
      <c r="CB796" s="1"/>
      <c r="CC796" s="1"/>
      <c r="CD796" s="1"/>
      <c r="CE796" s="1"/>
      <c r="CF796" s="1"/>
      <c r="CG796" s="1"/>
      <c r="CH796" s="1"/>
      <c r="CI796" s="1"/>
      <c r="CJ796" s="1"/>
      <c r="CK796" s="1"/>
      <c r="CL796" s="1"/>
      <c r="CM796" s="1"/>
      <c r="CN796" s="1"/>
      <c r="CO796" s="1"/>
      <c r="CP796" s="1"/>
      <c r="CQ796" s="1"/>
      <c r="CR796" s="1"/>
      <c r="CS796" s="1"/>
      <c r="CT796" s="1"/>
      <c r="CU796" s="1"/>
      <c r="CV796" s="1"/>
      <c r="CW796" s="1"/>
      <c r="CX796" s="1"/>
      <c r="CY796" s="1"/>
      <c r="CZ796" s="1"/>
      <c r="DA796" s="1"/>
      <c r="DB796" s="1"/>
      <c r="DC796" s="1"/>
      <c r="DD796" s="1"/>
      <c r="DE796" s="1"/>
      <c r="DF796" s="1"/>
      <c r="DG796" s="1"/>
      <c r="DH796" s="1"/>
      <c r="DI796" s="1"/>
      <c r="DJ796" s="1"/>
      <c r="DK796" s="1"/>
      <c r="DL796" s="1"/>
      <c r="DM796" s="1"/>
      <c r="DN796" s="1"/>
      <c r="DO796" s="1"/>
      <c r="DP796" s="1"/>
      <c r="DQ796" s="1"/>
      <c r="DR796" s="1"/>
      <c r="DS796" s="1"/>
      <c r="DT796" s="1"/>
      <c r="DU796" s="1"/>
      <c r="DV796" s="1"/>
      <c r="DW796" s="1"/>
      <c r="DX796" s="1"/>
      <c r="DY796" s="1"/>
      <c r="DZ796" s="1"/>
      <c r="EA796" s="1"/>
      <c r="EB796" s="1"/>
      <c r="EC796" s="1"/>
      <c r="ED796" s="1"/>
      <c r="EE796" s="1"/>
      <c r="EF796" s="1"/>
      <c r="EG796" s="1"/>
      <c r="EH796" s="1"/>
      <c r="EI796" s="1"/>
      <c r="EJ796" s="1"/>
      <c r="EK796" s="1"/>
      <c r="EL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c r="BR797" s="1"/>
      <c r="BS797" s="1"/>
      <c r="BT797" s="1"/>
      <c r="BU797" s="1"/>
      <c r="BV797" s="1"/>
      <c r="BW797" s="1"/>
      <c r="BX797" s="1"/>
      <c r="BY797" s="1"/>
      <c r="BZ797" s="1"/>
      <c r="CA797" s="1"/>
      <c r="CB797" s="1"/>
      <c r="CC797" s="1"/>
      <c r="CD797" s="1"/>
      <c r="CE797" s="1"/>
      <c r="CF797" s="1"/>
      <c r="CG797" s="1"/>
      <c r="CH797" s="1"/>
      <c r="CI797" s="1"/>
      <c r="CJ797" s="1"/>
      <c r="CK797" s="1"/>
      <c r="CL797" s="1"/>
      <c r="CM797" s="1"/>
      <c r="CN797" s="1"/>
      <c r="CO797" s="1"/>
      <c r="CP797" s="1"/>
      <c r="CQ797" s="1"/>
      <c r="CR797" s="1"/>
      <c r="CS797" s="1"/>
      <c r="CT797" s="1"/>
      <c r="CU797" s="1"/>
      <c r="CV797" s="1"/>
      <c r="CW797" s="1"/>
      <c r="CX797" s="1"/>
      <c r="CY797" s="1"/>
      <c r="CZ797" s="1"/>
      <c r="DA797" s="1"/>
      <c r="DB797" s="1"/>
      <c r="DC797" s="1"/>
      <c r="DD797" s="1"/>
      <c r="DE797" s="1"/>
      <c r="DF797" s="1"/>
      <c r="DG797" s="1"/>
      <c r="DH797" s="1"/>
      <c r="DI797" s="1"/>
      <c r="DJ797" s="1"/>
      <c r="DK797" s="1"/>
      <c r="DL797" s="1"/>
      <c r="DM797" s="1"/>
      <c r="DN797" s="1"/>
      <c r="DO797" s="1"/>
      <c r="DP797" s="1"/>
      <c r="DQ797" s="1"/>
      <c r="DR797" s="1"/>
      <c r="DS797" s="1"/>
      <c r="DT797" s="1"/>
      <c r="DU797" s="1"/>
      <c r="DV797" s="1"/>
      <c r="DW797" s="1"/>
      <c r="DX797" s="1"/>
      <c r="DY797" s="1"/>
      <c r="DZ797" s="1"/>
      <c r="EA797" s="1"/>
      <c r="EB797" s="1"/>
      <c r="EC797" s="1"/>
      <c r="ED797" s="1"/>
      <c r="EE797" s="1"/>
      <c r="EF797" s="1"/>
      <c r="EG797" s="1"/>
      <c r="EH797" s="1"/>
      <c r="EI797" s="1"/>
      <c r="EJ797" s="1"/>
      <c r="EK797" s="1"/>
      <c r="EL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c r="BR798" s="1"/>
      <c r="BS798" s="1"/>
      <c r="BT798" s="1"/>
      <c r="BU798" s="1"/>
      <c r="BV798" s="1"/>
      <c r="BW798" s="1"/>
      <c r="BX798" s="1"/>
      <c r="BY798" s="1"/>
      <c r="BZ798" s="1"/>
      <c r="CA798" s="1"/>
      <c r="CB798" s="1"/>
      <c r="CC798" s="1"/>
      <c r="CD798" s="1"/>
      <c r="CE798" s="1"/>
      <c r="CF798" s="1"/>
      <c r="CG798" s="1"/>
      <c r="CH798" s="1"/>
      <c r="CI798" s="1"/>
      <c r="CJ798" s="1"/>
      <c r="CK798" s="1"/>
      <c r="CL798" s="1"/>
      <c r="CM798" s="1"/>
      <c r="CN798" s="1"/>
      <c r="CO798" s="1"/>
      <c r="CP798" s="1"/>
      <c r="CQ798" s="1"/>
      <c r="CR798" s="1"/>
      <c r="CS798" s="1"/>
      <c r="CT798" s="1"/>
      <c r="CU798" s="1"/>
      <c r="CV798" s="1"/>
      <c r="CW798" s="1"/>
      <c r="CX798" s="1"/>
      <c r="CY798" s="1"/>
      <c r="CZ798" s="1"/>
      <c r="DA798" s="1"/>
      <c r="DB798" s="1"/>
      <c r="DC798" s="1"/>
      <c r="DD798" s="1"/>
      <c r="DE798" s="1"/>
      <c r="DF798" s="1"/>
      <c r="DG798" s="1"/>
      <c r="DH798" s="1"/>
      <c r="DI798" s="1"/>
      <c r="DJ798" s="1"/>
      <c r="DK798" s="1"/>
      <c r="DL798" s="1"/>
      <c r="DM798" s="1"/>
      <c r="DN798" s="1"/>
      <c r="DO798" s="1"/>
      <c r="DP798" s="1"/>
      <c r="DQ798" s="1"/>
      <c r="DR798" s="1"/>
      <c r="DS798" s="1"/>
      <c r="DT798" s="1"/>
      <c r="DU798" s="1"/>
      <c r="DV798" s="1"/>
      <c r="DW798" s="1"/>
      <c r="DX798" s="1"/>
      <c r="DY798" s="1"/>
      <c r="DZ798" s="1"/>
      <c r="EA798" s="1"/>
      <c r="EB798" s="1"/>
      <c r="EC798" s="1"/>
      <c r="ED798" s="1"/>
      <c r="EE798" s="1"/>
      <c r="EF798" s="1"/>
      <c r="EG798" s="1"/>
      <c r="EH798" s="1"/>
      <c r="EI798" s="1"/>
      <c r="EJ798" s="1"/>
      <c r="EK798" s="1"/>
      <c r="EL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c r="BR799" s="1"/>
      <c r="BS799" s="1"/>
      <c r="BT799" s="1"/>
      <c r="BU799" s="1"/>
      <c r="BV799" s="1"/>
      <c r="BW799" s="1"/>
      <c r="BX799" s="1"/>
      <c r="BY799" s="1"/>
      <c r="BZ799" s="1"/>
      <c r="CA799" s="1"/>
      <c r="CB799" s="1"/>
      <c r="CC799" s="1"/>
      <c r="CD799" s="1"/>
      <c r="CE799" s="1"/>
      <c r="CF799" s="1"/>
      <c r="CG799" s="1"/>
      <c r="CH799" s="1"/>
      <c r="CI799" s="1"/>
      <c r="CJ799" s="1"/>
      <c r="CK799" s="1"/>
      <c r="CL799" s="1"/>
      <c r="CM799" s="1"/>
      <c r="CN799" s="1"/>
      <c r="CO799" s="1"/>
      <c r="CP799" s="1"/>
      <c r="CQ799" s="1"/>
      <c r="CR799" s="1"/>
      <c r="CS799" s="1"/>
      <c r="CT799" s="1"/>
      <c r="CU799" s="1"/>
      <c r="CV799" s="1"/>
      <c r="CW799" s="1"/>
      <c r="CX799" s="1"/>
      <c r="CY799" s="1"/>
      <c r="CZ799" s="1"/>
      <c r="DA799" s="1"/>
      <c r="DB799" s="1"/>
      <c r="DC799" s="1"/>
      <c r="DD799" s="1"/>
      <c r="DE799" s="1"/>
      <c r="DF799" s="1"/>
      <c r="DG799" s="1"/>
      <c r="DH799" s="1"/>
      <c r="DI799" s="1"/>
      <c r="DJ799" s="1"/>
      <c r="DK799" s="1"/>
      <c r="DL799" s="1"/>
      <c r="DM799" s="1"/>
      <c r="DN799" s="1"/>
      <c r="DO799" s="1"/>
      <c r="DP799" s="1"/>
      <c r="DQ799" s="1"/>
      <c r="DR799" s="1"/>
      <c r="DS799" s="1"/>
      <c r="DT799" s="1"/>
      <c r="DU799" s="1"/>
      <c r="DV799" s="1"/>
      <c r="DW799" s="1"/>
      <c r="DX799" s="1"/>
      <c r="DY799" s="1"/>
      <c r="DZ799" s="1"/>
      <c r="EA799" s="1"/>
      <c r="EB799" s="1"/>
      <c r="EC799" s="1"/>
      <c r="ED799" s="1"/>
      <c r="EE799" s="1"/>
      <c r="EF799" s="1"/>
      <c r="EG799" s="1"/>
      <c r="EH799" s="1"/>
      <c r="EI799" s="1"/>
      <c r="EJ799" s="1"/>
      <c r="EK799" s="1"/>
      <c r="EL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c r="BR800" s="1"/>
      <c r="BS800" s="1"/>
      <c r="BT800" s="1"/>
      <c r="BU800" s="1"/>
      <c r="BV800" s="1"/>
      <c r="BW800" s="1"/>
      <c r="BX800" s="1"/>
      <c r="BY800" s="1"/>
      <c r="BZ800" s="1"/>
      <c r="CA800" s="1"/>
      <c r="CB800" s="1"/>
      <c r="CC800" s="1"/>
      <c r="CD800" s="1"/>
      <c r="CE800" s="1"/>
      <c r="CF800" s="1"/>
      <c r="CG800" s="1"/>
      <c r="CH800" s="1"/>
      <c r="CI800" s="1"/>
      <c r="CJ800" s="1"/>
      <c r="CK800" s="1"/>
      <c r="CL800" s="1"/>
      <c r="CM800" s="1"/>
      <c r="CN800" s="1"/>
      <c r="CO800" s="1"/>
      <c r="CP800" s="1"/>
      <c r="CQ800" s="1"/>
      <c r="CR800" s="1"/>
      <c r="CS800" s="1"/>
      <c r="CT800" s="1"/>
      <c r="CU800" s="1"/>
      <c r="CV800" s="1"/>
      <c r="CW800" s="1"/>
      <c r="CX800" s="1"/>
      <c r="CY800" s="1"/>
      <c r="CZ800" s="1"/>
      <c r="DA800" s="1"/>
      <c r="DB800" s="1"/>
      <c r="DC800" s="1"/>
      <c r="DD800" s="1"/>
      <c r="DE800" s="1"/>
      <c r="DF800" s="1"/>
      <c r="DG800" s="1"/>
      <c r="DH800" s="1"/>
      <c r="DI800" s="1"/>
      <c r="DJ800" s="1"/>
      <c r="DK800" s="1"/>
      <c r="DL800" s="1"/>
      <c r="DM800" s="1"/>
      <c r="DN800" s="1"/>
      <c r="DO800" s="1"/>
      <c r="DP800" s="1"/>
      <c r="DQ800" s="1"/>
      <c r="DR800" s="1"/>
      <c r="DS800" s="1"/>
      <c r="DT800" s="1"/>
      <c r="DU800" s="1"/>
      <c r="DV800" s="1"/>
      <c r="DW800" s="1"/>
      <c r="DX800" s="1"/>
      <c r="DY800" s="1"/>
      <c r="DZ800" s="1"/>
      <c r="EA800" s="1"/>
      <c r="EB800" s="1"/>
      <c r="EC800" s="1"/>
      <c r="ED800" s="1"/>
      <c r="EE800" s="1"/>
      <c r="EF800" s="1"/>
      <c r="EG800" s="1"/>
      <c r="EH800" s="1"/>
      <c r="EI800" s="1"/>
      <c r="EJ800" s="1"/>
      <c r="EK800" s="1"/>
      <c r="EL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c r="BR801" s="1"/>
      <c r="BS801" s="1"/>
      <c r="BT801" s="1"/>
      <c r="BU801" s="1"/>
      <c r="BV801" s="1"/>
      <c r="BW801" s="1"/>
      <c r="BX801" s="1"/>
      <c r="BY801" s="1"/>
      <c r="BZ801" s="1"/>
      <c r="CA801" s="1"/>
      <c r="CB801" s="1"/>
      <c r="CC801" s="1"/>
      <c r="CD801" s="1"/>
      <c r="CE801" s="1"/>
      <c r="CF801" s="1"/>
      <c r="CG801" s="1"/>
      <c r="CH801" s="1"/>
      <c r="CI801" s="1"/>
      <c r="CJ801" s="1"/>
      <c r="CK801" s="1"/>
      <c r="CL801" s="1"/>
      <c r="CM801" s="1"/>
      <c r="CN801" s="1"/>
      <c r="CO801" s="1"/>
      <c r="CP801" s="1"/>
      <c r="CQ801" s="1"/>
      <c r="CR801" s="1"/>
      <c r="CS801" s="1"/>
      <c r="CT801" s="1"/>
      <c r="CU801" s="1"/>
      <c r="CV801" s="1"/>
      <c r="CW801" s="1"/>
      <c r="CX801" s="1"/>
      <c r="CY801" s="1"/>
      <c r="CZ801" s="1"/>
      <c r="DA801" s="1"/>
      <c r="DB801" s="1"/>
      <c r="DC801" s="1"/>
      <c r="DD801" s="1"/>
      <c r="DE801" s="1"/>
      <c r="DF801" s="1"/>
      <c r="DG801" s="1"/>
      <c r="DH801" s="1"/>
      <c r="DI801" s="1"/>
      <c r="DJ801" s="1"/>
      <c r="DK801" s="1"/>
      <c r="DL801" s="1"/>
      <c r="DM801" s="1"/>
      <c r="DN801" s="1"/>
      <c r="DO801" s="1"/>
      <c r="DP801" s="1"/>
      <c r="DQ801" s="1"/>
      <c r="DR801" s="1"/>
      <c r="DS801" s="1"/>
      <c r="DT801" s="1"/>
      <c r="DU801" s="1"/>
      <c r="DV801" s="1"/>
      <c r="DW801" s="1"/>
      <c r="DX801" s="1"/>
      <c r="DY801" s="1"/>
      <c r="DZ801" s="1"/>
      <c r="EA801" s="1"/>
      <c r="EB801" s="1"/>
      <c r="EC801" s="1"/>
      <c r="ED801" s="1"/>
      <c r="EE801" s="1"/>
      <c r="EF801" s="1"/>
      <c r="EG801" s="1"/>
      <c r="EH801" s="1"/>
      <c r="EI801" s="1"/>
      <c r="EJ801" s="1"/>
      <c r="EK801" s="1"/>
      <c r="EL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c r="BR802" s="1"/>
      <c r="BS802" s="1"/>
      <c r="BT802" s="1"/>
      <c r="BU802" s="1"/>
      <c r="BV802" s="1"/>
      <c r="BW802" s="1"/>
      <c r="BX802" s="1"/>
      <c r="BY802" s="1"/>
      <c r="BZ802" s="1"/>
      <c r="CA802" s="1"/>
      <c r="CB802" s="1"/>
      <c r="CC802" s="1"/>
      <c r="CD802" s="1"/>
      <c r="CE802" s="1"/>
      <c r="CF802" s="1"/>
      <c r="CG802" s="1"/>
      <c r="CH802" s="1"/>
      <c r="CI802" s="1"/>
      <c r="CJ802" s="1"/>
      <c r="CK802" s="1"/>
      <c r="CL802" s="1"/>
      <c r="CM802" s="1"/>
      <c r="CN802" s="1"/>
      <c r="CO802" s="1"/>
      <c r="CP802" s="1"/>
      <c r="CQ802" s="1"/>
      <c r="CR802" s="1"/>
      <c r="CS802" s="1"/>
      <c r="CT802" s="1"/>
      <c r="CU802" s="1"/>
      <c r="CV802" s="1"/>
      <c r="CW802" s="1"/>
      <c r="CX802" s="1"/>
      <c r="CY802" s="1"/>
      <c r="CZ802" s="1"/>
      <c r="DA802" s="1"/>
      <c r="DB802" s="1"/>
      <c r="DC802" s="1"/>
      <c r="DD802" s="1"/>
      <c r="DE802" s="1"/>
      <c r="DF802" s="1"/>
      <c r="DG802" s="1"/>
      <c r="DH802" s="1"/>
      <c r="DI802" s="1"/>
      <c r="DJ802" s="1"/>
      <c r="DK802" s="1"/>
      <c r="DL802" s="1"/>
      <c r="DM802" s="1"/>
      <c r="DN802" s="1"/>
      <c r="DO802" s="1"/>
      <c r="DP802" s="1"/>
      <c r="DQ802" s="1"/>
      <c r="DR802" s="1"/>
      <c r="DS802" s="1"/>
      <c r="DT802" s="1"/>
      <c r="DU802" s="1"/>
      <c r="DV802" s="1"/>
      <c r="DW802" s="1"/>
      <c r="DX802" s="1"/>
      <c r="DY802" s="1"/>
      <c r="DZ802" s="1"/>
      <c r="EA802" s="1"/>
      <c r="EB802" s="1"/>
      <c r="EC802" s="1"/>
      <c r="ED802" s="1"/>
      <c r="EE802" s="1"/>
      <c r="EF802" s="1"/>
      <c r="EG802" s="1"/>
      <c r="EH802" s="1"/>
      <c r="EI802" s="1"/>
      <c r="EJ802" s="1"/>
      <c r="EK802" s="1"/>
      <c r="EL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c r="BR803" s="1"/>
      <c r="BS803" s="1"/>
      <c r="BT803" s="1"/>
      <c r="BU803" s="1"/>
      <c r="BV803" s="1"/>
      <c r="BW803" s="1"/>
      <c r="BX803" s="1"/>
      <c r="BY803" s="1"/>
      <c r="BZ803" s="1"/>
      <c r="CA803" s="1"/>
      <c r="CB803" s="1"/>
      <c r="CC803" s="1"/>
      <c r="CD803" s="1"/>
      <c r="CE803" s="1"/>
      <c r="CF803" s="1"/>
      <c r="CG803" s="1"/>
      <c r="CH803" s="1"/>
      <c r="CI803" s="1"/>
      <c r="CJ803" s="1"/>
      <c r="CK803" s="1"/>
      <c r="CL803" s="1"/>
      <c r="CM803" s="1"/>
      <c r="CN803" s="1"/>
      <c r="CO803" s="1"/>
      <c r="CP803" s="1"/>
      <c r="CQ803" s="1"/>
      <c r="CR803" s="1"/>
      <c r="CS803" s="1"/>
      <c r="CT803" s="1"/>
      <c r="CU803" s="1"/>
      <c r="CV803" s="1"/>
      <c r="CW803" s="1"/>
      <c r="CX803" s="1"/>
      <c r="CY803" s="1"/>
      <c r="CZ803" s="1"/>
      <c r="DA803" s="1"/>
      <c r="DB803" s="1"/>
      <c r="DC803" s="1"/>
      <c r="DD803" s="1"/>
      <c r="DE803" s="1"/>
      <c r="DF803" s="1"/>
      <c r="DG803" s="1"/>
      <c r="DH803" s="1"/>
      <c r="DI803" s="1"/>
      <c r="DJ803" s="1"/>
      <c r="DK803" s="1"/>
      <c r="DL803" s="1"/>
      <c r="DM803" s="1"/>
      <c r="DN803" s="1"/>
      <c r="DO803" s="1"/>
      <c r="DP803" s="1"/>
      <c r="DQ803" s="1"/>
      <c r="DR803" s="1"/>
      <c r="DS803" s="1"/>
      <c r="DT803" s="1"/>
      <c r="DU803" s="1"/>
      <c r="DV803" s="1"/>
      <c r="DW803" s="1"/>
      <c r="DX803" s="1"/>
      <c r="DY803" s="1"/>
      <c r="DZ803" s="1"/>
      <c r="EA803" s="1"/>
      <c r="EB803" s="1"/>
      <c r="EC803" s="1"/>
      <c r="ED803" s="1"/>
      <c r="EE803" s="1"/>
      <c r="EF803" s="1"/>
      <c r="EG803" s="1"/>
      <c r="EH803" s="1"/>
      <c r="EI803" s="1"/>
      <c r="EJ803" s="1"/>
      <c r="EK803" s="1"/>
      <c r="EL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c r="BR804" s="1"/>
      <c r="BS804" s="1"/>
      <c r="BT804" s="1"/>
      <c r="BU804" s="1"/>
      <c r="BV804" s="1"/>
      <c r="BW804" s="1"/>
      <c r="BX804" s="1"/>
      <c r="BY804" s="1"/>
      <c r="BZ804" s="1"/>
      <c r="CA804" s="1"/>
      <c r="CB804" s="1"/>
      <c r="CC804" s="1"/>
      <c r="CD804" s="1"/>
      <c r="CE804" s="1"/>
      <c r="CF804" s="1"/>
      <c r="CG804" s="1"/>
      <c r="CH804" s="1"/>
      <c r="CI804" s="1"/>
      <c r="CJ804" s="1"/>
      <c r="CK804" s="1"/>
      <c r="CL804" s="1"/>
      <c r="CM804" s="1"/>
      <c r="CN804" s="1"/>
      <c r="CO804" s="1"/>
      <c r="CP804" s="1"/>
      <c r="CQ804" s="1"/>
      <c r="CR804" s="1"/>
      <c r="CS804" s="1"/>
      <c r="CT804" s="1"/>
      <c r="CU804" s="1"/>
      <c r="CV804" s="1"/>
      <c r="CW804" s="1"/>
      <c r="CX804" s="1"/>
      <c r="CY804" s="1"/>
      <c r="CZ804" s="1"/>
      <c r="DA804" s="1"/>
      <c r="DB804" s="1"/>
      <c r="DC804" s="1"/>
      <c r="DD804" s="1"/>
      <c r="DE804" s="1"/>
      <c r="DF804" s="1"/>
      <c r="DG804" s="1"/>
      <c r="DH804" s="1"/>
      <c r="DI804" s="1"/>
      <c r="DJ804" s="1"/>
      <c r="DK804" s="1"/>
      <c r="DL804" s="1"/>
      <c r="DM804" s="1"/>
      <c r="DN804" s="1"/>
      <c r="DO804" s="1"/>
      <c r="DP804" s="1"/>
      <c r="DQ804" s="1"/>
      <c r="DR804" s="1"/>
      <c r="DS804" s="1"/>
      <c r="DT804" s="1"/>
      <c r="DU804" s="1"/>
      <c r="DV804" s="1"/>
      <c r="DW804" s="1"/>
      <c r="DX804" s="1"/>
      <c r="DY804" s="1"/>
      <c r="DZ804" s="1"/>
      <c r="EA804" s="1"/>
      <c r="EB804" s="1"/>
      <c r="EC804" s="1"/>
      <c r="ED804" s="1"/>
      <c r="EE804" s="1"/>
      <c r="EF804" s="1"/>
      <c r="EG804" s="1"/>
      <c r="EH804" s="1"/>
      <c r="EI804" s="1"/>
      <c r="EJ804" s="1"/>
      <c r="EK804" s="1"/>
      <c r="EL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c r="BR805" s="1"/>
      <c r="BS805" s="1"/>
      <c r="BT805" s="1"/>
      <c r="BU805" s="1"/>
      <c r="BV805" s="1"/>
      <c r="BW805" s="1"/>
      <c r="BX805" s="1"/>
      <c r="BY805" s="1"/>
      <c r="BZ805" s="1"/>
      <c r="CA805" s="1"/>
      <c r="CB805" s="1"/>
      <c r="CC805" s="1"/>
      <c r="CD805" s="1"/>
      <c r="CE805" s="1"/>
      <c r="CF805" s="1"/>
      <c r="CG805" s="1"/>
      <c r="CH805" s="1"/>
      <c r="CI805" s="1"/>
      <c r="CJ805" s="1"/>
      <c r="CK805" s="1"/>
      <c r="CL805" s="1"/>
      <c r="CM805" s="1"/>
      <c r="CN805" s="1"/>
      <c r="CO805" s="1"/>
      <c r="CP805" s="1"/>
      <c r="CQ805" s="1"/>
      <c r="CR805" s="1"/>
      <c r="CS805" s="1"/>
      <c r="CT805" s="1"/>
      <c r="CU805" s="1"/>
      <c r="CV805" s="1"/>
      <c r="CW805" s="1"/>
      <c r="CX805" s="1"/>
      <c r="CY805" s="1"/>
      <c r="CZ805" s="1"/>
      <c r="DA805" s="1"/>
      <c r="DB805" s="1"/>
      <c r="DC805" s="1"/>
      <c r="DD805" s="1"/>
      <c r="DE805" s="1"/>
      <c r="DF805" s="1"/>
      <c r="DG805" s="1"/>
      <c r="DH805" s="1"/>
      <c r="DI805" s="1"/>
      <c r="DJ805" s="1"/>
      <c r="DK805" s="1"/>
      <c r="DL805" s="1"/>
      <c r="DM805" s="1"/>
      <c r="DN805" s="1"/>
      <c r="DO805" s="1"/>
      <c r="DP805" s="1"/>
      <c r="DQ805" s="1"/>
      <c r="DR805" s="1"/>
      <c r="DS805" s="1"/>
      <c r="DT805" s="1"/>
      <c r="DU805" s="1"/>
      <c r="DV805" s="1"/>
      <c r="DW805" s="1"/>
      <c r="DX805" s="1"/>
      <c r="DY805" s="1"/>
      <c r="DZ805" s="1"/>
      <c r="EA805" s="1"/>
      <c r="EB805" s="1"/>
      <c r="EC805" s="1"/>
      <c r="ED805" s="1"/>
      <c r="EE805" s="1"/>
      <c r="EF805" s="1"/>
      <c r="EG805" s="1"/>
      <c r="EH805" s="1"/>
      <c r="EI805" s="1"/>
      <c r="EJ805" s="1"/>
      <c r="EK805" s="1"/>
      <c r="EL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c r="BR806" s="1"/>
      <c r="BS806" s="1"/>
      <c r="BT806" s="1"/>
      <c r="BU806" s="1"/>
      <c r="BV806" s="1"/>
      <c r="BW806" s="1"/>
      <c r="BX806" s="1"/>
      <c r="BY806" s="1"/>
      <c r="BZ806" s="1"/>
      <c r="CA806" s="1"/>
      <c r="CB806" s="1"/>
      <c r="CC806" s="1"/>
      <c r="CD806" s="1"/>
      <c r="CE806" s="1"/>
      <c r="CF806" s="1"/>
      <c r="CG806" s="1"/>
      <c r="CH806" s="1"/>
      <c r="CI806" s="1"/>
      <c r="CJ806" s="1"/>
      <c r="CK806" s="1"/>
      <c r="CL806" s="1"/>
      <c r="CM806" s="1"/>
      <c r="CN806" s="1"/>
      <c r="CO806" s="1"/>
      <c r="CP806" s="1"/>
      <c r="CQ806" s="1"/>
      <c r="CR806" s="1"/>
      <c r="CS806" s="1"/>
      <c r="CT806" s="1"/>
      <c r="CU806" s="1"/>
      <c r="CV806" s="1"/>
      <c r="CW806" s="1"/>
      <c r="CX806" s="1"/>
      <c r="CY806" s="1"/>
      <c r="CZ806" s="1"/>
      <c r="DA806" s="1"/>
      <c r="DB806" s="1"/>
      <c r="DC806" s="1"/>
      <c r="DD806" s="1"/>
      <c r="DE806" s="1"/>
      <c r="DF806" s="1"/>
      <c r="DG806" s="1"/>
      <c r="DH806" s="1"/>
      <c r="DI806" s="1"/>
      <c r="DJ806" s="1"/>
      <c r="DK806" s="1"/>
      <c r="DL806" s="1"/>
      <c r="DM806" s="1"/>
      <c r="DN806" s="1"/>
      <c r="DO806" s="1"/>
      <c r="DP806" s="1"/>
      <c r="DQ806" s="1"/>
      <c r="DR806" s="1"/>
      <c r="DS806" s="1"/>
      <c r="DT806" s="1"/>
      <c r="DU806" s="1"/>
      <c r="DV806" s="1"/>
      <c r="DW806" s="1"/>
      <c r="DX806" s="1"/>
      <c r="DY806" s="1"/>
      <c r="DZ806" s="1"/>
      <c r="EA806" s="1"/>
      <c r="EB806" s="1"/>
      <c r="EC806" s="1"/>
      <c r="ED806" s="1"/>
      <c r="EE806" s="1"/>
      <c r="EF806" s="1"/>
      <c r="EG806" s="1"/>
      <c r="EH806" s="1"/>
      <c r="EI806" s="1"/>
      <c r="EJ806" s="1"/>
      <c r="EK806" s="1"/>
      <c r="EL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c r="BR807" s="1"/>
      <c r="BS807" s="1"/>
      <c r="BT807" s="1"/>
      <c r="BU807" s="1"/>
      <c r="BV807" s="1"/>
      <c r="BW807" s="1"/>
      <c r="BX807" s="1"/>
      <c r="BY807" s="1"/>
      <c r="BZ807" s="1"/>
      <c r="CA807" s="1"/>
      <c r="CB807" s="1"/>
      <c r="CC807" s="1"/>
      <c r="CD807" s="1"/>
      <c r="CE807" s="1"/>
      <c r="CF807" s="1"/>
      <c r="CG807" s="1"/>
      <c r="CH807" s="1"/>
      <c r="CI807" s="1"/>
      <c r="CJ807" s="1"/>
      <c r="CK807" s="1"/>
      <c r="CL807" s="1"/>
      <c r="CM807" s="1"/>
      <c r="CN807" s="1"/>
      <c r="CO807" s="1"/>
      <c r="CP807" s="1"/>
      <c r="CQ807" s="1"/>
      <c r="CR807" s="1"/>
      <c r="CS807" s="1"/>
      <c r="CT807" s="1"/>
      <c r="CU807" s="1"/>
      <c r="CV807" s="1"/>
      <c r="CW807" s="1"/>
      <c r="CX807" s="1"/>
      <c r="CY807" s="1"/>
      <c r="CZ807" s="1"/>
      <c r="DA807" s="1"/>
      <c r="DB807" s="1"/>
      <c r="DC807" s="1"/>
      <c r="DD807" s="1"/>
      <c r="DE807" s="1"/>
      <c r="DF807" s="1"/>
      <c r="DG807" s="1"/>
      <c r="DH807" s="1"/>
      <c r="DI807" s="1"/>
      <c r="DJ807" s="1"/>
      <c r="DK807" s="1"/>
      <c r="DL807" s="1"/>
      <c r="DM807" s="1"/>
      <c r="DN807" s="1"/>
      <c r="DO807" s="1"/>
      <c r="DP807" s="1"/>
      <c r="DQ807" s="1"/>
      <c r="DR807" s="1"/>
      <c r="DS807" s="1"/>
      <c r="DT807" s="1"/>
      <c r="DU807" s="1"/>
      <c r="DV807" s="1"/>
      <c r="DW807" s="1"/>
      <c r="DX807" s="1"/>
      <c r="DY807" s="1"/>
      <c r="DZ807" s="1"/>
      <c r="EA807" s="1"/>
      <c r="EB807" s="1"/>
      <c r="EC807" s="1"/>
      <c r="ED807" s="1"/>
      <c r="EE807" s="1"/>
      <c r="EF807" s="1"/>
      <c r="EG807" s="1"/>
      <c r="EH807" s="1"/>
      <c r="EI807" s="1"/>
      <c r="EJ807" s="1"/>
      <c r="EK807" s="1"/>
      <c r="EL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c r="BR808" s="1"/>
      <c r="BS808" s="1"/>
      <c r="BT808" s="1"/>
      <c r="BU808" s="1"/>
      <c r="BV808" s="1"/>
      <c r="BW808" s="1"/>
      <c r="BX808" s="1"/>
      <c r="BY808" s="1"/>
      <c r="BZ808" s="1"/>
      <c r="CA808" s="1"/>
      <c r="CB808" s="1"/>
      <c r="CC808" s="1"/>
      <c r="CD808" s="1"/>
      <c r="CE808" s="1"/>
      <c r="CF808" s="1"/>
      <c r="CG808" s="1"/>
      <c r="CH808" s="1"/>
      <c r="CI808" s="1"/>
      <c r="CJ808" s="1"/>
      <c r="CK808" s="1"/>
      <c r="CL808" s="1"/>
      <c r="CM808" s="1"/>
      <c r="CN808" s="1"/>
      <c r="CO808" s="1"/>
      <c r="CP808" s="1"/>
      <c r="CQ808" s="1"/>
      <c r="CR808" s="1"/>
      <c r="CS808" s="1"/>
      <c r="CT808" s="1"/>
      <c r="CU808" s="1"/>
      <c r="CV808" s="1"/>
      <c r="CW808" s="1"/>
      <c r="CX808" s="1"/>
      <c r="CY808" s="1"/>
      <c r="CZ808" s="1"/>
      <c r="DA808" s="1"/>
      <c r="DB808" s="1"/>
      <c r="DC808" s="1"/>
      <c r="DD808" s="1"/>
      <c r="DE808" s="1"/>
      <c r="DF808" s="1"/>
      <c r="DG808" s="1"/>
      <c r="DH808" s="1"/>
      <c r="DI808" s="1"/>
      <c r="DJ808" s="1"/>
      <c r="DK808" s="1"/>
      <c r="DL808" s="1"/>
      <c r="DM808" s="1"/>
      <c r="DN808" s="1"/>
      <c r="DO808" s="1"/>
      <c r="DP808" s="1"/>
      <c r="DQ808" s="1"/>
      <c r="DR808" s="1"/>
      <c r="DS808" s="1"/>
      <c r="DT808" s="1"/>
      <c r="DU808" s="1"/>
      <c r="DV808" s="1"/>
      <c r="DW808" s="1"/>
      <c r="DX808" s="1"/>
      <c r="DY808" s="1"/>
      <c r="DZ808" s="1"/>
      <c r="EA808" s="1"/>
      <c r="EB808" s="1"/>
      <c r="EC808" s="1"/>
      <c r="ED808" s="1"/>
      <c r="EE808" s="1"/>
      <c r="EF808" s="1"/>
      <c r="EG808" s="1"/>
      <c r="EH808" s="1"/>
      <c r="EI808" s="1"/>
      <c r="EJ808" s="1"/>
      <c r="EK808" s="1"/>
      <c r="EL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c r="BR809" s="1"/>
      <c r="BS809" s="1"/>
      <c r="BT809" s="1"/>
      <c r="BU809" s="1"/>
      <c r="BV809" s="1"/>
      <c r="BW809" s="1"/>
      <c r="BX809" s="1"/>
      <c r="BY809" s="1"/>
      <c r="BZ809" s="1"/>
      <c r="CA809" s="1"/>
      <c r="CB809" s="1"/>
      <c r="CC809" s="1"/>
      <c r="CD809" s="1"/>
      <c r="CE809" s="1"/>
      <c r="CF809" s="1"/>
      <c r="CG809" s="1"/>
      <c r="CH809" s="1"/>
      <c r="CI809" s="1"/>
      <c r="CJ809" s="1"/>
      <c r="CK809" s="1"/>
      <c r="CL809" s="1"/>
      <c r="CM809" s="1"/>
      <c r="CN809" s="1"/>
      <c r="CO809" s="1"/>
      <c r="CP809" s="1"/>
      <c r="CQ809" s="1"/>
      <c r="CR809" s="1"/>
      <c r="CS809" s="1"/>
      <c r="CT809" s="1"/>
      <c r="CU809" s="1"/>
      <c r="CV809" s="1"/>
      <c r="CW809" s="1"/>
      <c r="CX809" s="1"/>
      <c r="CY809" s="1"/>
      <c r="CZ809" s="1"/>
      <c r="DA809" s="1"/>
      <c r="DB809" s="1"/>
      <c r="DC809" s="1"/>
      <c r="DD809" s="1"/>
      <c r="DE809" s="1"/>
      <c r="DF809" s="1"/>
      <c r="DG809" s="1"/>
      <c r="DH809" s="1"/>
      <c r="DI809" s="1"/>
      <c r="DJ809" s="1"/>
      <c r="DK809" s="1"/>
      <c r="DL809" s="1"/>
      <c r="DM809" s="1"/>
      <c r="DN809" s="1"/>
      <c r="DO809" s="1"/>
      <c r="DP809" s="1"/>
      <c r="DQ809" s="1"/>
      <c r="DR809" s="1"/>
      <c r="DS809" s="1"/>
      <c r="DT809" s="1"/>
      <c r="DU809" s="1"/>
      <c r="DV809" s="1"/>
      <c r="DW809" s="1"/>
      <c r="DX809" s="1"/>
      <c r="DY809" s="1"/>
      <c r="DZ809" s="1"/>
      <c r="EA809" s="1"/>
      <c r="EB809" s="1"/>
      <c r="EC809" s="1"/>
      <c r="ED809" s="1"/>
      <c r="EE809" s="1"/>
      <c r="EF809" s="1"/>
      <c r="EG809" s="1"/>
      <c r="EH809" s="1"/>
      <c r="EI809" s="1"/>
      <c r="EJ809" s="1"/>
      <c r="EK809" s="1"/>
      <c r="EL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c r="BR810" s="1"/>
      <c r="BS810" s="1"/>
      <c r="BT810" s="1"/>
      <c r="BU810" s="1"/>
      <c r="BV810" s="1"/>
      <c r="BW810" s="1"/>
      <c r="BX810" s="1"/>
      <c r="BY810" s="1"/>
      <c r="BZ810" s="1"/>
      <c r="CA810" s="1"/>
      <c r="CB810" s="1"/>
      <c r="CC810" s="1"/>
      <c r="CD810" s="1"/>
      <c r="CE810" s="1"/>
      <c r="CF810" s="1"/>
      <c r="CG810" s="1"/>
      <c r="CH810" s="1"/>
      <c r="CI810" s="1"/>
      <c r="CJ810" s="1"/>
      <c r="CK810" s="1"/>
      <c r="CL810" s="1"/>
      <c r="CM810" s="1"/>
      <c r="CN810" s="1"/>
      <c r="CO810" s="1"/>
      <c r="CP810" s="1"/>
      <c r="CQ810" s="1"/>
      <c r="CR810" s="1"/>
      <c r="CS810" s="1"/>
      <c r="CT810" s="1"/>
      <c r="CU810" s="1"/>
      <c r="CV810" s="1"/>
      <c r="CW810" s="1"/>
      <c r="CX810" s="1"/>
      <c r="CY810" s="1"/>
      <c r="CZ810" s="1"/>
      <c r="DA810" s="1"/>
      <c r="DB810" s="1"/>
      <c r="DC810" s="1"/>
      <c r="DD810" s="1"/>
      <c r="DE810" s="1"/>
      <c r="DF810" s="1"/>
      <c r="DG810" s="1"/>
      <c r="DH810" s="1"/>
      <c r="DI810" s="1"/>
      <c r="DJ810" s="1"/>
      <c r="DK810" s="1"/>
      <c r="DL810" s="1"/>
      <c r="DM810" s="1"/>
      <c r="DN810" s="1"/>
      <c r="DO810" s="1"/>
      <c r="DP810" s="1"/>
      <c r="DQ810" s="1"/>
      <c r="DR810" s="1"/>
      <c r="DS810" s="1"/>
      <c r="DT810" s="1"/>
      <c r="DU810" s="1"/>
      <c r="DV810" s="1"/>
      <c r="DW810" s="1"/>
      <c r="DX810" s="1"/>
      <c r="DY810" s="1"/>
      <c r="DZ810" s="1"/>
      <c r="EA810" s="1"/>
      <c r="EB810" s="1"/>
      <c r="EC810" s="1"/>
      <c r="ED810" s="1"/>
      <c r="EE810" s="1"/>
      <c r="EF810" s="1"/>
      <c r="EG810" s="1"/>
      <c r="EH810" s="1"/>
      <c r="EI810" s="1"/>
      <c r="EJ810" s="1"/>
      <c r="EK810" s="1"/>
      <c r="EL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c r="BR811" s="1"/>
      <c r="BS811" s="1"/>
      <c r="BT811" s="1"/>
      <c r="BU811" s="1"/>
      <c r="BV811" s="1"/>
      <c r="BW811" s="1"/>
      <c r="BX811" s="1"/>
      <c r="BY811" s="1"/>
      <c r="BZ811" s="1"/>
      <c r="CA811" s="1"/>
      <c r="CB811" s="1"/>
      <c r="CC811" s="1"/>
      <c r="CD811" s="1"/>
      <c r="CE811" s="1"/>
      <c r="CF811" s="1"/>
      <c r="CG811" s="1"/>
      <c r="CH811" s="1"/>
      <c r="CI811" s="1"/>
      <c r="CJ811" s="1"/>
      <c r="CK811" s="1"/>
      <c r="CL811" s="1"/>
      <c r="CM811" s="1"/>
      <c r="CN811" s="1"/>
      <c r="CO811" s="1"/>
      <c r="CP811" s="1"/>
      <c r="CQ811" s="1"/>
      <c r="CR811" s="1"/>
      <c r="CS811" s="1"/>
      <c r="CT811" s="1"/>
      <c r="CU811" s="1"/>
      <c r="CV811" s="1"/>
      <c r="CW811" s="1"/>
      <c r="CX811" s="1"/>
      <c r="CY811" s="1"/>
      <c r="CZ811" s="1"/>
      <c r="DA811" s="1"/>
      <c r="DB811" s="1"/>
      <c r="DC811" s="1"/>
      <c r="DD811" s="1"/>
      <c r="DE811" s="1"/>
      <c r="DF811" s="1"/>
      <c r="DG811" s="1"/>
      <c r="DH811" s="1"/>
      <c r="DI811" s="1"/>
      <c r="DJ811" s="1"/>
      <c r="DK811" s="1"/>
      <c r="DL811" s="1"/>
      <c r="DM811" s="1"/>
      <c r="DN811" s="1"/>
      <c r="DO811" s="1"/>
      <c r="DP811" s="1"/>
      <c r="DQ811" s="1"/>
      <c r="DR811" s="1"/>
      <c r="DS811" s="1"/>
      <c r="DT811" s="1"/>
      <c r="DU811" s="1"/>
      <c r="DV811" s="1"/>
      <c r="DW811" s="1"/>
      <c r="DX811" s="1"/>
      <c r="DY811" s="1"/>
      <c r="DZ811" s="1"/>
      <c r="EA811" s="1"/>
      <c r="EB811" s="1"/>
      <c r="EC811" s="1"/>
      <c r="ED811" s="1"/>
      <c r="EE811" s="1"/>
      <c r="EF811" s="1"/>
      <c r="EG811" s="1"/>
      <c r="EH811" s="1"/>
      <c r="EI811" s="1"/>
      <c r="EJ811" s="1"/>
      <c r="EK811" s="1"/>
      <c r="EL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c r="BR812" s="1"/>
      <c r="BS812" s="1"/>
      <c r="BT812" s="1"/>
      <c r="BU812" s="1"/>
      <c r="BV812" s="1"/>
      <c r="BW812" s="1"/>
      <c r="BX812" s="1"/>
      <c r="BY812" s="1"/>
      <c r="BZ812" s="1"/>
      <c r="CA812" s="1"/>
      <c r="CB812" s="1"/>
      <c r="CC812" s="1"/>
      <c r="CD812" s="1"/>
      <c r="CE812" s="1"/>
      <c r="CF812" s="1"/>
      <c r="CG812" s="1"/>
      <c r="CH812" s="1"/>
      <c r="CI812" s="1"/>
      <c r="CJ812" s="1"/>
      <c r="CK812" s="1"/>
      <c r="CL812" s="1"/>
      <c r="CM812" s="1"/>
      <c r="CN812" s="1"/>
      <c r="CO812" s="1"/>
      <c r="CP812" s="1"/>
      <c r="CQ812" s="1"/>
      <c r="CR812" s="1"/>
      <c r="CS812" s="1"/>
      <c r="CT812" s="1"/>
      <c r="CU812" s="1"/>
      <c r="CV812" s="1"/>
      <c r="CW812" s="1"/>
      <c r="CX812" s="1"/>
      <c r="CY812" s="1"/>
      <c r="CZ812" s="1"/>
      <c r="DA812" s="1"/>
      <c r="DB812" s="1"/>
      <c r="DC812" s="1"/>
      <c r="DD812" s="1"/>
      <c r="DE812" s="1"/>
      <c r="DF812" s="1"/>
      <c r="DG812" s="1"/>
      <c r="DH812" s="1"/>
      <c r="DI812" s="1"/>
      <c r="DJ812" s="1"/>
      <c r="DK812" s="1"/>
      <c r="DL812" s="1"/>
      <c r="DM812" s="1"/>
      <c r="DN812" s="1"/>
      <c r="DO812" s="1"/>
      <c r="DP812" s="1"/>
      <c r="DQ812" s="1"/>
      <c r="DR812" s="1"/>
      <c r="DS812" s="1"/>
      <c r="DT812" s="1"/>
      <c r="DU812" s="1"/>
      <c r="DV812" s="1"/>
      <c r="DW812" s="1"/>
      <c r="DX812" s="1"/>
      <c r="DY812" s="1"/>
      <c r="DZ812" s="1"/>
      <c r="EA812" s="1"/>
      <c r="EB812" s="1"/>
      <c r="EC812" s="1"/>
      <c r="ED812" s="1"/>
      <c r="EE812" s="1"/>
      <c r="EF812" s="1"/>
      <c r="EG812" s="1"/>
      <c r="EH812" s="1"/>
      <c r="EI812" s="1"/>
      <c r="EJ812" s="1"/>
      <c r="EK812" s="1"/>
      <c r="EL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c r="BR813" s="1"/>
      <c r="BS813" s="1"/>
      <c r="BT813" s="1"/>
      <c r="BU813" s="1"/>
      <c r="BV813" s="1"/>
      <c r="BW813" s="1"/>
      <c r="BX813" s="1"/>
      <c r="BY813" s="1"/>
      <c r="BZ813" s="1"/>
      <c r="CA813" s="1"/>
      <c r="CB813" s="1"/>
      <c r="CC813" s="1"/>
      <c r="CD813" s="1"/>
      <c r="CE813" s="1"/>
      <c r="CF813" s="1"/>
      <c r="CG813" s="1"/>
      <c r="CH813" s="1"/>
      <c r="CI813" s="1"/>
      <c r="CJ813" s="1"/>
      <c r="CK813" s="1"/>
      <c r="CL813" s="1"/>
      <c r="CM813" s="1"/>
      <c r="CN813" s="1"/>
      <c r="CO813" s="1"/>
      <c r="CP813" s="1"/>
      <c r="CQ813" s="1"/>
      <c r="CR813" s="1"/>
      <c r="CS813" s="1"/>
      <c r="CT813" s="1"/>
      <c r="CU813" s="1"/>
      <c r="CV813" s="1"/>
      <c r="CW813" s="1"/>
      <c r="CX813" s="1"/>
      <c r="CY813" s="1"/>
      <c r="CZ813" s="1"/>
      <c r="DA813" s="1"/>
      <c r="DB813" s="1"/>
      <c r="DC813" s="1"/>
      <c r="DD813" s="1"/>
      <c r="DE813" s="1"/>
      <c r="DF813" s="1"/>
      <c r="DG813" s="1"/>
      <c r="DH813" s="1"/>
      <c r="DI813" s="1"/>
      <c r="DJ813" s="1"/>
      <c r="DK813" s="1"/>
      <c r="DL813" s="1"/>
      <c r="DM813" s="1"/>
      <c r="DN813" s="1"/>
      <c r="DO813" s="1"/>
      <c r="DP813" s="1"/>
      <c r="DQ813" s="1"/>
      <c r="DR813" s="1"/>
      <c r="DS813" s="1"/>
      <c r="DT813" s="1"/>
      <c r="DU813" s="1"/>
      <c r="DV813" s="1"/>
      <c r="DW813" s="1"/>
      <c r="DX813" s="1"/>
      <c r="DY813" s="1"/>
      <c r="DZ813" s="1"/>
      <c r="EA813" s="1"/>
      <c r="EB813" s="1"/>
      <c r="EC813" s="1"/>
      <c r="ED813" s="1"/>
      <c r="EE813" s="1"/>
      <c r="EF813" s="1"/>
      <c r="EG813" s="1"/>
      <c r="EH813" s="1"/>
      <c r="EI813" s="1"/>
      <c r="EJ813" s="1"/>
      <c r="EK813" s="1"/>
      <c r="EL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c r="BR814" s="1"/>
      <c r="BS814" s="1"/>
      <c r="BT814" s="1"/>
      <c r="BU814" s="1"/>
      <c r="BV814" s="1"/>
      <c r="BW814" s="1"/>
      <c r="BX814" s="1"/>
      <c r="BY814" s="1"/>
      <c r="BZ814" s="1"/>
      <c r="CA814" s="1"/>
      <c r="CB814" s="1"/>
      <c r="CC814" s="1"/>
      <c r="CD814" s="1"/>
      <c r="CE814" s="1"/>
      <c r="CF814" s="1"/>
      <c r="CG814" s="1"/>
      <c r="CH814" s="1"/>
      <c r="CI814" s="1"/>
      <c r="CJ814" s="1"/>
      <c r="CK814" s="1"/>
      <c r="CL814" s="1"/>
      <c r="CM814" s="1"/>
      <c r="CN814" s="1"/>
      <c r="CO814" s="1"/>
      <c r="CP814" s="1"/>
      <c r="CQ814" s="1"/>
      <c r="CR814" s="1"/>
      <c r="CS814" s="1"/>
      <c r="CT814" s="1"/>
      <c r="CU814" s="1"/>
      <c r="CV814" s="1"/>
      <c r="CW814" s="1"/>
      <c r="CX814" s="1"/>
      <c r="CY814" s="1"/>
      <c r="CZ814" s="1"/>
      <c r="DA814" s="1"/>
      <c r="DB814" s="1"/>
      <c r="DC814" s="1"/>
      <c r="DD814" s="1"/>
      <c r="DE814" s="1"/>
      <c r="DF814" s="1"/>
      <c r="DG814" s="1"/>
      <c r="DH814" s="1"/>
      <c r="DI814" s="1"/>
      <c r="DJ814" s="1"/>
      <c r="DK814" s="1"/>
      <c r="DL814" s="1"/>
      <c r="DM814" s="1"/>
      <c r="DN814" s="1"/>
      <c r="DO814" s="1"/>
      <c r="DP814" s="1"/>
      <c r="DQ814" s="1"/>
      <c r="DR814" s="1"/>
      <c r="DS814" s="1"/>
      <c r="DT814" s="1"/>
      <c r="DU814" s="1"/>
      <c r="DV814" s="1"/>
      <c r="DW814" s="1"/>
      <c r="DX814" s="1"/>
      <c r="DY814" s="1"/>
      <c r="DZ814" s="1"/>
      <c r="EA814" s="1"/>
      <c r="EB814" s="1"/>
      <c r="EC814" s="1"/>
      <c r="ED814" s="1"/>
      <c r="EE814" s="1"/>
      <c r="EF814" s="1"/>
      <c r="EG814" s="1"/>
      <c r="EH814" s="1"/>
      <c r="EI814" s="1"/>
      <c r="EJ814" s="1"/>
      <c r="EK814" s="1"/>
      <c r="EL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c r="BR815" s="1"/>
      <c r="BS815" s="1"/>
      <c r="BT815" s="1"/>
      <c r="BU815" s="1"/>
      <c r="BV815" s="1"/>
      <c r="BW815" s="1"/>
      <c r="BX815" s="1"/>
      <c r="BY815" s="1"/>
      <c r="BZ815" s="1"/>
      <c r="CA815" s="1"/>
      <c r="CB815" s="1"/>
      <c r="CC815" s="1"/>
      <c r="CD815" s="1"/>
      <c r="CE815" s="1"/>
      <c r="CF815" s="1"/>
      <c r="CG815" s="1"/>
      <c r="CH815" s="1"/>
      <c r="CI815" s="1"/>
      <c r="CJ815" s="1"/>
      <c r="CK815" s="1"/>
      <c r="CL815" s="1"/>
      <c r="CM815" s="1"/>
      <c r="CN815" s="1"/>
      <c r="CO815" s="1"/>
      <c r="CP815" s="1"/>
      <c r="CQ815" s="1"/>
      <c r="CR815" s="1"/>
      <c r="CS815" s="1"/>
      <c r="CT815" s="1"/>
      <c r="CU815" s="1"/>
      <c r="CV815" s="1"/>
      <c r="CW815" s="1"/>
      <c r="CX815" s="1"/>
      <c r="CY815" s="1"/>
      <c r="CZ815" s="1"/>
      <c r="DA815" s="1"/>
      <c r="DB815" s="1"/>
      <c r="DC815" s="1"/>
      <c r="DD815" s="1"/>
      <c r="DE815" s="1"/>
      <c r="DF815" s="1"/>
      <c r="DG815" s="1"/>
      <c r="DH815" s="1"/>
      <c r="DI815" s="1"/>
      <c r="DJ815" s="1"/>
      <c r="DK815" s="1"/>
      <c r="DL815" s="1"/>
      <c r="DM815" s="1"/>
      <c r="DN815" s="1"/>
      <c r="DO815" s="1"/>
      <c r="DP815" s="1"/>
      <c r="DQ815" s="1"/>
      <c r="DR815" s="1"/>
      <c r="DS815" s="1"/>
      <c r="DT815" s="1"/>
      <c r="DU815" s="1"/>
      <c r="DV815" s="1"/>
      <c r="DW815" s="1"/>
      <c r="DX815" s="1"/>
      <c r="DY815" s="1"/>
      <c r="DZ815" s="1"/>
      <c r="EA815" s="1"/>
      <c r="EB815" s="1"/>
      <c r="EC815" s="1"/>
      <c r="ED815" s="1"/>
      <c r="EE815" s="1"/>
      <c r="EF815" s="1"/>
      <c r="EG815" s="1"/>
      <c r="EH815" s="1"/>
      <c r="EI815" s="1"/>
      <c r="EJ815" s="1"/>
      <c r="EK815" s="1"/>
      <c r="EL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c r="BR816" s="1"/>
      <c r="BS816" s="1"/>
      <c r="BT816" s="1"/>
      <c r="BU816" s="1"/>
      <c r="BV816" s="1"/>
      <c r="BW816" s="1"/>
      <c r="BX816" s="1"/>
      <c r="BY816" s="1"/>
      <c r="BZ816" s="1"/>
      <c r="CA816" s="1"/>
      <c r="CB816" s="1"/>
      <c r="CC816" s="1"/>
      <c r="CD816" s="1"/>
      <c r="CE816" s="1"/>
      <c r="CF816" s="1"/>
      <c r="CG816" s="1"/>
      <c r="CH816" s="1"/>
      <c r="CI816" s="1"/>
      <c r="CJ816" s="1"/>
      <c r="CK816" s="1"/>
      <c r="CL816" s="1"/>
      <c r="CM816" s="1"/>
      <c r="CN816" s="1"/>
      <c r="CO816" s="1"/>
      <c r="CP816" s="1"/>
      <c r="CQ816" s="1"/>
      <c r="CR816" s="1"/>
      <c r="CS816" s="1"/>
      <c r="CT816" s="1"/>
      <c r="CU816" s="1"/>
      <c r="CV816" s="1"/>
      <c r="CW816" s="1"/>
      <c r="CX816" s="1"/>
      <c r="CY816" s="1"/>
      <c r="CZ816" s="1"/>
      <c r="DA816" s="1"/>
      <c r="DB816" s="1"/>
      <c r="DC816" s="1"/>
      <c r="DD816" s="1"/>
      <c r="DE816" s="1"/>
      <c r="DF816" s="1"/>
      <c r="DG816" s="1"/>
      <c r="DH816" s="1"/>
      <c r="DI816" s="1"/>
      <c r="DJ816" s="1"/>
      <c r="DK816" s="1"/>
      <c r="DL816" s="1"/>
      <c r="DM816" s="1"/>
      <c r="DN816" s="1"/>
      <c r="DO816" s="1"/>
      <c r="DP816" s="1"/>
      <c r="DQ816" s="1"/>
      <c r="DR816" s="1"/>
      <c r="DS816" s="1"/>
      <c r="DT816" s="1"/>
      <c r="DU816" s="1"/>
      <c r="DV816" s="1"/>
      <c r="DW816" s="1"/>
      <c r="DX816" s="1"/>
      <c r="DY816" s="1"/>
      <c r="DZ816" s="1"/>
      <c r="EA816" s="1"/>
      <c r="EB816" s="1"/>
      <c r="EC816" s="1"/>
      <c r="ED816" s="1"/>
      <c r="EE816" s="1"/>
      <c r="EF816" s="1"/>
      <c r="EG816" s="1"/>
      <c r="EH816" s="1"/>
      <c r="EI816" s="1"/>
      <c r="EJ816" s="1"/>
      <c r="EK816" s="1"/>
      <c r="EL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c r="BR817" s="1"/>
      <c r="BS817" s="1"/>
      <c r="BT817" s="1"/>
      <c r="BU817" s="1"/>
      <c r="BV817" s="1"/>
      <c r="BW817" s="1"/>
      <c r="BX817" s="1"/>
      <c r="BY817" s="1"/>
      <c r="BZ817" s="1"/>
      <c r="CA817" s="1"/>
      <c r="CB817" s="1"/>
      <c r="CC817" s="1"/>
      <c r="CD817" s="1"/>
      <c r="CE817" s="1"/>
      <c r="CF817" s="1"/>
      <c r="CG817" s="1"/>
      <c r="CH817" s="1"/>
      <c r="CI817" s="1"/>
      <c r="CJ817" s="1"/>
      <c r="CK817" s="1"/>
      <c r="CL817" s="1"/>
      <c r="CM817" s="1"/>
      <c r="CN817" s="1"/>
      <c r="CO817" s="1"/>
      <c r="CP817" s="1"/>
      <c r="CQ817" s="1"/>
      <c r="CR817" s="1"/>
      <c r="CS817" s="1"/>
      <c r="CT817" s="1"/>
      <c r="CU817" s="1"/>
      <c r="CV817" s="1"/>
      <c r="CW817" s="1"/>
      <c r="CX817" s="1"/>
      <c r="CY817" s="1"/>
      <c r="CZ817" s="1"/>
      <c r="DA817" s="1"/>
      <c r="DB817" s="1"/>
      <c r="DC817" s="1"/>
      <c r="DD817" s="1"/>
      <c r="DE817" s="1"/>
      <c r="DF817" s="1"/>
      <c r="DG817" s="1"/>
      <c r="DH817" s="1"/>
      <c r="DI817" s="1"/>
      <c r="DJ817" s="1"/>
      <c r="DK817" s="1"/>
      <c r="DL817" s="1"/>
      <c r="DM817" s="1"/>
      <c r="DN817" s="1"/>
      <c r="DO817" s="1"/>
      <c r="DP817" s="1"/>
      <c r="DQ817" s="1"/>
      <c r="DR817" s="1"/>
      <c r="DS817" s="1"/>
      <c r="DT817" s="1"/>
      <c r="DU817" s="1"/>
      <c r="DV817" s="1"/>
      <c r="DW817" s="1"/>
      <c r="DX817" s="1"/>
      <c r="DY817" s="1"/>
      <c r="DZ817" s="1"/>
      <c r="EA817" s="1"/>
      <c r="EB817" s="1"/>
      <c r="EC817" s="1"/>
      <c r="ED817" s="1"/>
      <c r="EE817" s="1"/>
      <c r="EF817" s="1"/>
      <c r="EG817" s="1"/>
      <c r="EH817" s="1"/>
      <c r="EI817" s="1"/>
      <c r="EJ817" s="1"/>
      <c r="EK817" s="1"/>
      <c r="EL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c r="BR818" s="1"/>
      <c r="BS818" s="1"/>
      <c r="BT818" s="1"/>
      <c r="BU818" s="1"/>
      <c r="BV818" s="1"/>
      <c r="BW818" s="1"/>
      <c r="BX818" s="1"/>
      <c r="BY818" s="1"/>
      <c r="BZ818" s="1"/>
      <c r="CA818" s="1"/>
      <c r="CB818" s="1"/>
      <c r="CC818" s="1"/>
      <c r="CD818" s="1"/>
      <c r="CE818" s="1"/>
      <c r="CF818" s="1"/>
      <c r="CG818" s="1"/>
      <c r="CH818" s="1"/>
      <c r="CI818" s="1"/>
      <c r="CJ818" s="1"/>
      <c r="CK818" s="1"/>
      <c r="CL818" s="1"/>
      <c r="CM818" s="1"/>
      <c r="CN818" s="1"/>
      <c r="CO818" s="1"/>
      <c r="CP818" s="1"/>
      <c r="CQ818" s="1"/>
      <c r="CR818" s="1"/>
      <c r="CS818" s="1"/>
      <c r="CT818" s="1"/>
      <c r="CU818" s="1"/>
      <c r="CV818" s="1"/>
      <c r="CW818" s="1"/>
      <c r="CX818" s="1"/>
      <c r="CY818" s="1"/>
      <c r="CZ818" s="1"/>
      <c r="DA818" s="1"/>
      <c r="DB818" s="1"/>
      <c r="DC818" s="1"/>
      <c r="DD818" s="1"/>
      <c r="DE818" s="1"/>
      <c r="DF818" s="1"/>
      <c r="DG818" s="1"/>
      <c r="DH818" s="1"/>
      <c r="DI818" s="1"/>
      <c r="DJ818" s="1"/>
      <c r="DK818" s="1"/>
      <c r="DL818" s="1"/>
      <c r="DM818" s="1"/>
      <c r="DN818" s="1"/>
      <c r="DO818" s="1"/>
      <c r="DP818" s="1"/>
      <c r="DQ818" s="1"/>
      <c r="DR818" s="1"/>
      <c r="DS818" s="1"/>
      <c r="DT818" s="1"/>
      <c r="DU818" s="1"/>
      <c r="DV818" s="1"/>
      <c r="DW818" s="1"/>
      <c r="DX818" s="1"/>
      <c r="DY818" s="1"/>
      <c r="DZ818" s="1"/>
      <c r="EA818" s="1"/>
      <c r="EB818" s="1"/>
      <c r="EC818" s="1"/>
      <c r="ED818" s="1"/>
      <c r="EE818" s="1"/>
      <c r="EF818" s="1"/>
      <c r="EG818" s="1"/>
      <c r="EH818" s="1"/>
      <c r="EI818" s="1"/>
      <c r="EJ818" s="1"/>
      <c r="EK818" s="1"/>
      <c r="EL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c r="BR819" s="1"/>
      <c r="BS819" s="1"/>
      <c r="BT819" s="1"/>
      <c r="BU819" s="1"/>
      <c r="BV819" s="1"/>
      <c r="BW819" s="1"/>
      <c r="BX819" s="1"/>
      <c r="BY819" s="1"/>
      <c r="BZ819" s="1"/>
      <c r="CA819" s="1"/>
      <c r="CB819" s="1"/>
      <c r="CC819" s="1"/>
      <c r="CD819" s="1"/>
      <c r="CE819" s="1"/>
      <c r="CF819" s="1"/>
      <c r="CG819" s="1"/>
      <c r="CH819" s="1"/>
      <c r="CI819" s="1"/>
      <c r="CJ819" s="1"/>
      <c r="CK819" s="1"/>
      <c r="CL819" s="1"/>
      <c r="CM819" s="1"/>
      <c r="CN819" s="1"/>
      <c r="CO819" s="1"/>
      <c r="CP819" s="1"/>
      <c r="CQ819" s="1"/>
      <c r="CR819" s="1"/>
      <c r="CS819" s="1"/>
      <c r="CT819" s="1"/>
      <c r="CU819" s="1"/>
      <c r="CV819" s="1"/>
      <c r="CW819" s="1"/>
      <c r="CX819" s="1"/>
      <c r="CY819" s="1"/>
      <c r="CZ819" s="1"/>
      <c r="DA819" s="1"/>
      <c r="DB819" s="1"/>
      <c r="DC819" s="1"/>
      <c r="DD819" s="1"/>
      <c r="DE819" s="1"/>
      <c r="DF819" s="1"/>
      <c r="DG819" s="1"/>
      <c r="DH819" s="1"/>
      <c r="DI819" s="1"/>
      <c r="DJ819" s="1"/>
      <c r="DK819" s="1"/>
      <c r="DL819" s="1"/>
      <c r="DM819" s="1"/>
      <c r="DN819" s="1"/>
      <c r="DO819" s="1"/>
      <c r="DP819" s="1"/>
      <c r="DQ819" s="1"/>
      <c r="DR819" s="1"/>
      <c r="DS819" s="1"/>
      <c r="DT819" s="1"/>
      <c r="DU819" s="1"/>
      <c r="DV819" s="1"/>
      <c r="DW819" s="1"/>
      <c r="DX819" s="1"/>
      <c r="DY819" s="1"/>
      <c r="DZ819" s="1"/>
      <c r="EA819" s="1"/>
      <c r="EB819" s="1"/>
      <c r="EC819" s="1"/>
      <c r="ED819" s="1"/>
      <c r="EE819" s="1"/>
      <c r="EF819" s="1"/>
      <c r="EG819" s="1"/>
      <c r="EH819" s="1"/>
      <c r="EI819" s="1"/>
      <c r="EJ819" s="1"/>
      <c r="EK819" s="1"/>
      <c r="EL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c r="BR820" s="1"/>
      <c r="BS820" s="1"/>
      <c r="BT820" s="1"/>
      <c r="BU820" s="1"/>
      <c r="BV820" s="1"/>
      <c r="BW820" s="1"/>
      <c r="BX820" s="1"/>
      <c r="BY820" s="1"/>
      <c r="BZ820" s="1"/>
      <c r="CA820" s="1"/>
      <c r="CB820" s="1"/>
      <c r="CC820" s="1"/>
      <c r="CD820" s="1"/>
      <c r="CE820" s="1"/>
      <c r="CF820" s="1"/>
      <c r="CG820" s="1"/>
      <c r="CH820" s="1"/>
      <c r="CI820" s="1"/>
      <c r="CJ820" s="1"/>
      <c r="CK820" s="1"/>
      <c r="CL820" s="1"/>
      <c r="CM820" s="1"/>
      <c r="CN820" s="1"/>
      <c r="CO820" s="1"/>
      <c r="CP820" s="1"/>
      <c r="CQ820" s="1"/>
      <c r="CR820" s="1"/>
      <c r="CS820" s="1"/>
      <c r="CT820" s="1"/>
      <c r="CU820" s="1"/>
      <c r="CV820" s="1"/>
      <c r="CW820" s="1"/>
      <c r="CX820" s="1"/>
      <c r="CY820" s="1"/>
      <c r="CZ820" s="1"/>
      <c r="DA820" s="1"/>
      <c r="DB820" s="1"/>
      <c r="DC820" s="1"/>
      <c r="DD820" s="1"/>
      <c r="DE820" s="1"/>
      <c r="DF820" s="1"/>
      <c r="DG820" s="1"/>
      <c r="DH820" s="1"/>
      <c r="DI820" s="1"/>
      <c r="DJ820" s="1"/>
      <c r="DK820" s="1"/>
      <c r="DL820" s="1"/>
      <c r="DM820" s="1"/>
      <c r="DN820" s="1"/>
      <c r="DO820" s="1"/>
      <c r="DP820" s="1"/>
      <c r="DQ820" s="1"/>
      <c r="DR820" s="1"/>
      <c r="DS820" s="1"/>
      <c r="DT820" s="1"/>
      <c r="DU820" s="1"/>
      <c r="DV820" s="1"/>
      <c r="DW820" s="1"/>
      <c r="DX820" s="1"/>
      <c r="DY820" s="1"/>
      <c r="DZ820" s="1"/>
      <c r="EA820" s="1"/>
      <c r="EB820" s="1"/>
      <c r="EC820" s="1"/>
      <c r="ED820" s="1"/>
      <c r="EE820" s="1"/>
      <c r="EF820" s="1"/>
      <c r="EG820" s="1"/>
      <c r="EH820" s="1"/>
      <c r="EI820" s="1"/>
      <c r="EJ820" s="1"/>
      <c r="EK820" s="1"/>
      <c r="EL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c r="BR821" s="1"/>
      <c r="BS821" s="1"/>
      <c r="BT821" s="1"/>
      <c r="BU821" s="1"/>
      <c r="BV821" s="1"/>
      <c r="BW821" s="1"/>
      <c r="BX821" s="1"/>
      <c r="BY821" s="1"/>
      <c r="BZ821" s="1"/>
      <c r="CA821" s="1"/>
      <c r="CB821" s="1"/>
      <c r="CC821" s="1"/>
      <c r="CD821" s="1"/>
      <c r="CE821" s="1"/>
      <c r="CF821" s="1"/>
      <c r="CG821" s="1"/>
      <c r="CH821" s="1"/>
      <c r="CI821" s="1"/>
      <c r="CJ821" s="1"/>
      <c r="CK821" s="1"/>
      <c r="CL821" s="1"/>
      <c r="CM821" s="1"/>
      <c r="CN821" s="1"/>
      <c r="CO821" s="1"/>
      <c r="CP821" s="1"/>
      <c r="CQ821" s="1"/>
      <c r="CR821" s="1"/>
      <c r="CS821" s="1"/>
      <c r="CT821" s="1"/>
      <c r="CU821" s="1"/>
      <c r="CV821" s="1"/>
      <c r="CW821" s="1"/>
      <c r="CX821" s="1"/>
      <c r="CY821" s="1"/>
      <c r="CZ821" s="1"/>
      <c r="DA821" s="1"/>
      <c r="DB821" s="1"/>
      <c r="DC821" s="1"/>
      <c r="DD821" s="1"/>
      <c r="DE821" s="1"/>
      <c r="DF821" s="1"/>
      <c r="DG821" s="1"/>
      <c r="DH821" s="1"/>
      <c r="DI821" s="1"/>
      <c r="DJ821" s="1"/>
      <c r="DK821" s="1"/>
      <c r="DL821" s="1"/>
      <c r="DM821" s="1"/>
      <c r="DN821" s="1"/>
      <c r="DO821" s="1"/>
      <c r="DP821" s="1"/>
      <c r="DQ821" s="1"/>
      <c r="DR821" s="1"/>
      <c r="DS821" s="1"/>
      <c r="DT821" s="1"/>
      <c r="DU821" s="1"/>
      <c r="DV821" s="1"/>
      <c r="DW821" s="1"/>
      <c r="DX821" s="1"/>
      <c r="DY821" s="1"/>
      <c r="DZ821" s="1"/>
      <c r="EA821" s="1"/>
      <c r="EB821" s="1"/>
      <c r="EC821" s="1"/>
      <c r="ED821" s="1"/>
      <c r="EE821" s="1"/>
      <c r="EF821" s="1"/>
      <c r="EG821" s="1"/>
      <c r="EH821" s="1"/>
      <c r="EI821" s="1"/>
      <c r="EJ821" s="1"/>
      <c r="EK821" s="1"/>
      <c r="EL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c r="BR822" s="1"/>
      <c r="BS822" s="1"/>
      <c r="BT822" s="1"/>
      <c r="BU822" s="1"/>
      <c r="BV822" s="1"/>
      <c r="BW822" s="1"/>
      <c r="BX822" s="1"/>
      <c r="BY822" s="1"/>
      <c r="BZ822" s="1"/>
      <c r="CA822" s="1"/>
      <c r="CB822" s="1"/>
      <c r="CC822" s="1"/>
      <c r="CD822" s="1"/>
      <c r="CE822" s="1"/>
      <c r="CF822" s="1"/>
      <c r="CG822" s="1"/>
      <c r="CH822" s="1"/>
      <c r="CI822" s="1"/>
      <c r="CJ822" s="1"/>
      <c r="CK822" s="1"/>
      <c r="CL822" s="1"/>
      <c r="CM822" s="1"/>
      <c r="CN822" s="1"/>
      <c r="CO822" s="1"/>
      <c r="CP822" s="1"/>
      <c r="CQ822" s="1"/>
      <c r="CR822" s="1"/>
      <c r="CS822" s="1"/>
      <c r="CT822" s="1"/>
      <c r="CU822" s="1"/>
      <c r="CV822" s="1"/>
      <c r="CW822" s="1"/>
      <c r="CX822" s="1"/>
      <c r="CY822" s="1"/>
      <c r="CZ822" s="1"/>
      <c r="DA822" s="1"/>
      <c r="DB822" s="1"/>
      <c r="DC822" s="1"/>
      <c r="DD822" s="1"/>
      <c r="DE822" s="1"/>
      <c r="DF822" s="1"/>
      <c r="DG822" s="1"/>
      <c r="DH822" s="1"/>
      <c r="DI822" s="1"/>
      <c r="DJ822" s="1"/>
      <c r="DK822" s="1"/>
      <c r="DL822" s="1"/>
      <c r="DM822" s="1"/>
      <c r="DN822" s="1"/>
      <c r="DO822" s="1"/>
      <c r="DP822" s="1"/>
      <c r="DQ822" s="1"/>
      <c r="DR822" s="1"/>
      <c r="DS822" s="1"/>
      <c r="DT822" s="1"/>
      <c r="DU822" s="1"/>
      <c r="DV822" s="1"/>
      <c r="DW822" s="1"/>
      <c r="DX822" s="1"/>
      <c r="DY822" s="1"/>
      <c r="DZ822" s="1"/>
      <c r="EA822" s="1"/>
      <c r="EB822" s="1"/>
      <c r="EC822" s="1"/>
      <c r="ED822" s="1"/>
      <c r="EE822" s="1"/>
      <c r="EF822" s="1"/>
      <c r="EG822" s="1"/>
      <c r="EH822" s="1"/>
      <c r="EI822" s="1"/>
      <c r="EJ822" s="1"/>
      <c r="EK822" s="1"/>
      <c r="EL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c r="BR823" s="1"/>
      <c r="BS823" s="1"/>
      <c r="BT823" s="1"/>
      <c r="BU823" s="1"/>
      <c r="BV823" s="1"/>
      <c r="BW823" s="1"/>
      <c r="BX823" s="1"/>
      <c r="BY823" s="1"/>
      <c r="BZ823" s="1"/>
      <c r="CA823" s="1"/>
      <c r="CB823" s="1"/>
      <c r="CC823" s="1"/>
      <c r="CD823" s="1"/>
      <c r="CE823" s="1"/>
      <c r="CF823" s="1"/>
      <c r="CG823" s="1"/>
      <c r="CH823" s="1"/>
      <c r="CI823" s="1"/>
      <c r="CJ823" s="1"/>
      <c r="CK823" s="1"/>
      <c r="CL823" s="1"/>
      <c r="CM823" s="1"/>
      <c r="CN823" s="1"/>
      <c r="CO823" s="1"/>
      <c r="CP823" s="1"/>
      <c r="CQ823" s="1"/>
      <c r="CR823" s="1"/>
      <c r="CS823" s="1"/>
      <c r="CT823" s="1"/>
      <c r="CU823" s="1"/>
      <c r="CV823" s="1"/>
      <c r="CW823" s="1"/>
      <c r="CX823" s="1"/>
      <c r="CY823" s="1"/>
      <c r="CZ823" s="1"/>
      <c r="DA823" s="1"/>
      <c r="DB823" s="1"/>
      <c r="DC823" s="1"/>
      <c r="DD823" s="1"/>
      <c r="DE823" s="1"/>
      <c r="DF823" s="1"/>
      <c r="DG823" s="1"/>
      <c r="DH823" s="1"/>
      <c r="DI823" s="1"/>
      <c r="DJ823" s="1"/>
      <c r="DK823" s="1"/>
      <c r="DL823" s="1"/>
      <c r="DM823" s="1"/>
      <c r="DN823" s="1"/>
      <c r="DO823" s="1"/>
      <c r="DP823" s="1"/>
      <c r="DQ823" s="1"/>
      <c r="DR823" s="1"/>
      <c r="DS823" s="1"/>
      <c r="DT823" s="1"/>
      <c r="DU823" s="1"/>
      <c r="DV823" s="1"/>
      <c r="DW823" s="1"/>
      <c r="DX823" s="1"/>
      <c r="DY823" s="1"/>
      <c r="DZ823" s="1"/>
      <c r="EA823" s="1"/>
      <c r="EB823" s="1"/>
      <c r="EC823" s="1"/>
      <c r="ED823" s="1"/>
      <c r="EE823" s="1"/>
      <c r="EF823" s="1"/>
      <c r="EG823" s="1"/>
      <c r="EH823" s="1"/>
      <c r="EI823" s="1"/>
      <c r="EJ823" s="1"/>
      <c r="EK823" s="1"/>
      <c r="EL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c r="BR824" s="1"/>
      <c r="BS824" s="1"/>
      <c r="BT824" s="1"/>
      <c r="BU824" s="1"/>
      <c r="BV824" s="1"/>
      <c r="BW824" s="1"/>
      <c r="BX824" s="1"/>
      <c r="BY824" s="1"/>
      <c r="BZ824" s="1"/>
      <c r="CA824" s="1"/>
      <c r="CB824" s="1"/>
      <c r="CC824" s="1"/>
      <c r="CD824" s="1"/>
      <c r="CE824" s="1"/>
      <c r="CF824" s="1"/>
      <c r="CG824" s="1"/>
      <c r="CH824" s="1"/>
      <c r="CI824" s="1"/>
      <c r="CJ824" s="1"/>
      <c r="CK824" s="1"/>
      <c r="CL824" s="1"/>
      <c r="CM824" s="1"/>
      <c r="CN824" s="1"/>
      <c r="CO824" s="1"/>
      <c r="CP824" s="1"/>
      <c r="CQ824" s="1"/>
      <c r="CR824" s="1"/>
      <c r="CS824" s="1"/>
      <c r="CT824" s="1"/>
      <c r="CU824" s="1"/>
      <c r="CV824" s="1"/>
      <c r="CW824" s="1"/>
      <c r="CX824" s="1"/>
      <c r="CY824" s="1"/>
      <c r="CZ824" s="1"/>
      <c r="DA824" s="1"/>
      <c r="DB824" s="1"/>
      <c r="DC824" s="1"/>
      <c r="DD824" s="1"/>
      <c r="DE824" s="1"/>
      <c r="DF824" s="1"/>
      <c r="DG824" s="1"/>
      <c r="DH824" s="1"/>
      <c r="DI824" s="1"/>
      <c r="DJ824" s="1"/>
      <c r="DK824" s="1"/>
      <c r="DL824" s="1"/>
      <c r="DM824" s="1"/>
      <c r="DN824" s="1"/>
      <c r="DO824" s="1"/>
      <c r="DP824" s="1"/>
      <c r="DQ824" s="1"/>
      <c r="DR824" s="1"/>
      <c r="DS824" s="1"/>
      <c r="DT824" s="1"/>
      <c r="DU824" s="1"/>
      <c r="DV824" s="1"/>
      <c r="DW824" s="1"/>
      <c r="DX824" s="1"/>
      <c r="DY824" s="1"/>
      <c r="DZ824" s="1"/>
      <c r="EA824" s="1"/>
      <c r="EB824" s="1"/>
      <c r="EC824" s="1"/>
      <c r="ED824" s="1"/>
      <c r="EE824" s="1"/>
      <c r="EF824" s="1"/>
      <c r="EG824" s="1"/>
      <c r="EH824" s="1"/>
      <c r="EI824" s="1"/>
      <c r="EJ824" s="1"/>
      <c r="EK824" s="1"/>
      <c r="EL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c r="BR825" s="1"/>
      <c r="BS825" s="1"/>
      <c r="BT825" s="1"/>
      <c r="BU825" s="1"/>
      <c r="BV825" s="1"/>
      <c r="BW825" s="1"/>
      <c r="BX825" s="1"/>
      <c r="BY825" s="1"/>
      <c r="BZ825" s="1"/>
      <c r="CA825" s="1"/>
      <c r="CB825" s="1"/>
      <c r="CC825" s="1"/>
      <c r="CD825" s="1"/>
      <c r="CE825" s="1"/>
      <c r="CF825" s="1"/>
      <c r="CG825" s="1"/>
      <c r="CH825" s="1"/>
      <c r="CI825" s="1"/>
      <c r="CJ825" s="1"/>
      <c r="CK825" s="1"/>
      <c r="CL825" s="1"/>
      <c r="CM825" s="1"/>
      <c r="CN825" s="1"/>
      <c r="CO825" s="1"/>
      <c r="CP825" s="1"/>
      <c r="CQ825" s="1"/>
      <c r="CR825" s="1"/>
      <c r="CS825" s="1"/>
      <c r="CT825" s="1"/>
      <c r="CU825" s="1"/>
      <c r="CV825" s="1"/>
      <c r="CW825" s="1"/>
      <c r="CX825" s="1"/>
      <c r="CY825" s="1"/>
      <c r="CZ825" s="1"/>
      <c r="DA825" s="1"/>
      <c r="DB825" s="1"/>
      <c r="DC825" s="1"/>
      <c r="DD825" s="1"/>
      <c r="DE825" s="1"/>
      <c r="DF825" s="1"/>
      <c r="DG825" s="1"/>
      <c r="DH825" s="1"/>
      <c r="DI825" s="1"/>
      <c r="DJ825" s="1"/>
      <c r="DK825" s="1"/>
      <c r="DL825" s="1"/>
      <c r="DM825" s="1"/>
      <c r="DN825" s="1"/>
      <c r="DO825" s="1"/>
      <c r="DP825" s="1"/>
      <c r="DQ825" s="1"/>
      <c r="DR825" s="1"/>
      <c r="DS825" s="1"/>
      <c r="DT825" s="1"/>
      <c r="DU825" s="1"/>
      <c r="DV825" s="1"/>
      <c r="DW825" s="1"/>
      <c r="DX825" s="1"/>
      <c r="DY825" s="1"/>
      <c r="DZ825" s="1"/>
      <c r="EA825" s="1"/>
      <c r="EB825" s="1"/>
      <c r="EC825" s="1"/>
      <c r="ED825" s="1"/>
      <c r="EE825" s="1"/>
      <c r="EF825" s="1"/>
      <c r="EG825" s="1"/>
      <c r="EH825" s="1"/>
      <c r="EI825" s="1"/>
      <c r="EJ825" s="1"/>
      <c r="EK825" s="1"/>
      <c r="EL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c r="BR826" s="1"/>
      <c r="BS826" s="1"/>
      <c r="BT826" s="1"/>
      <c r="BU826" s="1"/>
      <c r="BV826" s="1"/>
      <c r="BW826" s="1"/>
      <c r="BX826" s="1"/>
      <c r="BY826" s="1"/>
      <c r="BZ826" s="1"/>
      <c r="CA826" s="1"/>
      <c r="CB826" s="1"/>
      <c r="CC826" s="1"/>
      <c r="CD826" s="1"/>
      <c r="CE826" s="1"/>
      <c r="CF826" s="1"/>
      <c r="CG826" s="1"/>
      <c r="CH826" s="1"/>
      <c r="CI826" s="1"/>
      <c r="CJ826" s="1"/>
      <c r="CK826" s="1"/>
      <c r="CL826" s="1"/>
      <c r="CM826" s="1"/>
      <c r="CN826" s="1"/>
      <c r="CO826" s="1"/>
      <c r="CP826" s="1"/>
      <c r="CQ826" s="1"/>
      <c r="CR826" s="1"/>
      <c r="CS826" s="1"/>
      <c r="CT826" s="1"/>
      <c r="CU826" s="1"/>
      <c r="CV826" s="1"/>
      <c r="CW826" s="1"/>
      <c r="CX826" s="1"/>
      <c r="CY826" s="1"/>
      <c r="CZ826" s="1"/>
      <c r="DA826" s="1"/>
      <c r="DB826" s="1"/>
      <c r="DC826" s="1"/>
      <c r="DD826" s="1"/>
      <c r="DE826" s="1"/>
      <c r="DF826" s="1"/>
      <c r="DG826" s="1"/>
      <c r="DH826" s="1"/>
      <c r="DI826" s="1"/>
      <c r="DJ826" s="1"/>
      <c r="DK826" s="1"/>
      <c r="DL826" s="1"/>
      <c r="DM826" s="1"/>
      <c r="DN826" s="1"/>
      <c r="DO826" s="1"/>
      <c r="DP826" s="1"/>
      <c r="DQ826" s="1"/>
      <c r="DR826" s="1"/>
      <c r="DS826" s="1"/>
      <c r="DT826" s="1"/>
      <c r="DU826" s="1"/>
      <c r="DV826" s="1"/>
      <c r="DW826" s="1"/>
      <c r="DX826" s="1"/>
      <c r="DY826" s="1"/>
      <c r="DZ826" s="1"/>
      <c r="EA826" s="1"/>
      <c r="EB826" s="1"/>
      <c r="EC826" s="1"/>
      <c r="ED826" s="1"/>
      <c r="EE826" s="1"/>
      <c r="EF826" s="1"/>
      <c r="EG826" s="1"/>
      <c r="EH826" s="1"/>
      <c r="EI826" s="1"/>
      <c r="EJ826" s="1"/>
      <c r="EK826" s="1"/>
      <c r="EL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c r="BR827" s="1"/>
      <c r="BS827" s="1"/>
      <c r="BT827" s="1"/>
      <c r="BU827" s="1"/>
      <c r="BV827" s="1"/>
      <c r="BW827" s="1"/>
      <c r="BX827" s="1"/>
      <c r="BY827" s="1"/>
      <c r="BZ827" s="1"/>
      <c r="CA827" s="1"/>
      <c r="CB827" s="1"/>
      <c r="CC827" s="1"/>
      <c r="CD827" s="1"/>
      <c r="CE827" s="1"/>
      <c r="CF827" s="1"/>
      <c r="CG827" s="1"/>
      <c r="CH827" s="1"/>
      <c r="CI827" s="1"/>
      <c r="CJ827" s="1"/>
      <c r="CK827" s="1"/>
      <c r="CL827" s="1"/>
      <c r="CM827" s="1"/>
      <c r="CN827" s="1"/>
      <c r="CO827" s="1"/>
      <c r="CP827" s="1"/>
      <c r="CQ827" s="1"/>
      <c r="CR827" s="1"/>
      <c r="CS827" s="1"/>
      <c r="CT827" s="1"/>
      <c r="CU827" s="1"/>
      <c r="CV827" s="1"/>
      <c r="CW827" s="1"/>
      <c r="CX827" s="1"/>
      <c r="CY827" s="1"/>
      <c r="CZ827" s="1"/>
      <c r="DA827" s="1"/>
      <c r="DB827" s="1"/>
      <c r="DC827" s="1"/>
      <c r="DD827" s="1"/>
      <c r="DE827" s="1"/>
      <c r="DF827" s="1"/>
      <c r="DG827" s="1"/>
      <c r="DH827" s="1"/>
      <c r="DI827" s="1"/>
      <c r="DJ827" s="1"/>
      <c r="DK827" s="1"/>
      <c r="DL827" s="1"/>
      <c r="DM827" s="1"/>
      <c r="DN827" s="1"/>
      <c r="DO827" s="1"/>
      <c r="DP827" s="1"/>
      <c r="DQ827" s="1"/>
      <c r="DR827" s="1"/>
      <c r="DS827" s="1"/>
      <c r="DT827" s="1"/>
      <c r="DU827" s="1"/>
      <c r="DV827" s="1"/>
      <c r="DW827" s="1"/>
      <c r="DX827" s="1"/>
      <c r="DY827" s="1"/>
      <c r="DZ827" s="1"/>
      <c r="EA827" s="1"/>
      <c r="EB827" s="1"/>
      <c r="EC827" s="1"/>
      <c r="ED827" s="1"/>
      <c r="EE827" s="1"/>
      <c r="EF827" s="1"/>
      <c r="EG827" s="1"/>
      <c r="EH827" s="1"/>
      <c r="EI827" s="1"/>
      <c r="EJ827" s="1"/>
      <c r="EK827" s="1"/>
      <c r="EL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c r="BR828" s="1"/>
      <c r="BS828" s="1"/>
      <c r="BT828" s="1"/>
      <c r="BU828" s="1"/>
      <c r="BV828" s="1"/>
      <c r="BW828" s="1"/>
      <c r="BX828" s="1"/>
      <c r="BY828" s="1"/>
      <c r="BZ828" s="1"/>
      <c r="CA828" s="1"/>
      <c r="CB828" s="1"/>
      <c r="CC828" s="1"/>
      <c r="CD828" s="1"/>
      <c r="CE828" s="1"/>
      <c r="CF828" s="1"/>
      <c r="CG828" s="1"/>
      <c r="CH828" s="1"/>
      <c r="CI828" s="1"/>
      <c r="CJ828" s="1"/>
      <c r="CK828" s="1"/>
      <c r="CL828" s="1"/>
      <c r="CM828" s="1"/>
      <c r="CN828" s="1"/>
      <c r="CO828" s="1"/>
      <c r="CP828" s="1"/>
      <c r="CQ828" s="1"/>
      <c r="CR828" s="1"/>
      <c r="CS828" s="1"/>
      <c r="CT828" s="1"/>
      <c r="CU828" s="1"/>
      <c r="CV828" s="1"/>
      <c r="CW828" s="1"/>
      <c r="CX828" s="1"/>
      <c r="CY828" s="1"/>
      <c r="CZ828" s="1"/>
      <c r="DA828" s="1"/>
      <c r="DB828" s="1"/>
      <c r="DC828" s="1"/>
      <c r="DD828" s="1"/>
      <c r="DE828" s="1"/>
      <c r="DF828" s="1"/>
      <c r="DG828" s="1"/>
      <c r="DH828" s="1"/>
      <c r="DI828" s="1"/>
      <c r="DJ828" s="1"/>
      <c r="DK828" s="1"/>
      <c r="DL828" s="1"/>
      <c r="DM828" s="1"/>
      <c r="DN828" s="1"/>
      <c r="DO828" s="1"/>
      <c r="DP828" s="1"/>
      <c r="DQ828" s="1"/>
      <c r="DR828" s="1"/>
      <c r="DS828" s="1"/>
      <c r="DT828" s="1"/>
      <c r="DU828" s="1"/>
      <c r="DV828" s="1"/>
      <c r="DW828" s="1"/>
      <c r="DX828" s="1"/>
      <c r="DY828" s="1"/>
      <c r="DZ828" s="1"/>
      <c r="EA828" s="1"/>
      <c r="EB828" s="1"/>
      <c r="EC828" s="1"/>
      <c r="ED828" s="1"/>
      <c r="EE828" s="1"/>
      <c r="EF828" s="1"/>
      <c r="EG828" s="1"/>
      <c r="EH828" s="1"/>
      <c r="EI828" s="1"/>
      <c r="EJ828" s="1"/>
      <c r="EK828" s="1"/>
      <c r="EL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c r="BR829" s="1"/>
      <c r="BS829" s="1"/>
      <c r="BT829" s="1"/>
      <c r="BU829" s="1"/>
      <c r="BV829" s="1"/>
      <c r="BW829" s="1"/>
      <c r="BX829" s="1"/>
      <c r="BY829" s="1"/>
      <c r="BZ829" s="1"/>
      <c r="CA829" s="1"/>
      <c r="CB829" s="1"/>
      <c r="CC829" s="1"/>
      <c r="CD829" s="1"/>
      <c r="CE829" s="1"/>
      <c r="CF829" s="1"/>
      <c r="CG829" s="1"/>
      <c r="CH829" s="1"/>
      <c r="CI829" s="1"/>
      <c r="CJ829" s="1"/>
      <c r="CK829" s="1"/>
      <c r="CL829" s="1"/>
      <c r="CM829" s="1"/>
      <c r="CN829" s="1"/>
      <c r="CO829" s="1"/>
      <c r="CP829" s="1"/>
      <c r="CQ829" s="1"/>
      <c r="CR829" s="1"/>
      <c r="CS829" s="1"/>
      <c r="CT829" s="1"/>
      <c r="CU829" s="1"/>
      <c r="CV829" s="1"/>
      <c r="CW829" s="1"/>
      <c r="CX829" s="1"/>
      <c r="CY829" s="1"/>
      <c r="CZ829" s="1"/>
      <c r="DA829" s="1"/>
      <c r="DB829" s="1"/>
      <c r="DC829" s="1"/>
      <c r="DD829" s="1"/>
      <c r="DE829" s="1"/>
      <c r="DF829" s="1"/>
      <c r="DG829" s="1"/>
      <c r="DH829" s="1"/>
      <c r="DI829" s="1"/>
      <c r="DJ829" s="1"/>
      <c r="DK829" s="1"/>
      <c r="DL829" s="1"/>
      <c r="DM829" s="1"/>
      <c r="DN829" s="1"/>
      <c r="DO829" s="1"/>
      <c r="DP829" s="1"/>
      <c r="DQ829" s="1"/>
      <c r="DR829" s="1"/>
      <c r="DS829" s="1"/>
      <c r="DT829" s="1"/>
      <c r="DU829" s="1"/>
      <c r="DV829" s="1"/>
      <c r="DW829" s="1"/>
      <c r="DX829" s="1"/>
      <c r="DY829" s="1"/>
      <c r="DZ829" s="1"/>
      <c r="EA829" s="1"/>
      <c r="EB829" s="1"/>
      <c r="EC829" s="1"/>
      <c r="ED829" s="1"/>
      <c r="EE829" s="1"/>
      <c r="EF829" s="1"/>
      <c r="EG829" s="1"/>
      <c r="EH829" s="1"/>
      <c r="EI829" s="1"/>
      <c r="EJ829" s="1"/>
      <c r="EK829" s="1"/>
      <c r="EL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c r="BR830" s="1"/>
      <c r="BS830" s="1"/>
      <c r="BT830" s="1"/>
      <c r="BU830" s="1"/>
      <c r="BV830" s="1"/>
      <c r="BW830" s="1"/>
      <c r="BX830" s="1"/>
      <c r="BY830" s="1"/>
      <c r="BZ830" s="1"/>
      <c r="CA830" s="1"/>
      <c r="CB830" s="1"/>
      <c r="CC830" s="1"/>
      <c r="CD830" s="1"/>
      <c r="CE830" s="1"/>
      <c r="CF830" s="1"/>
      <c r="CG830" s="1"/>
      <c r="CH830" s="1"/>
      <c r="CI830" s="1"/>
      <c r="CJ830" s="1"/>
      <c r="CK830" s="1"/>
      <c r="CL830" s="1"/>
      <c r="CM830" s="1"/>
      <c r="CN830" s="1"/>
      <c r="CO830" s="1"/>
      <c r="CP830" s="1"/>
      <c r="CQ830" s="1"/>
      <c r="CR830" s="1"/>
      <c r="CS830" s="1"/>
      <c r="CT830" s="1"/>
      <c r="CU830" s="1"/>
      <c r="CV830" s="1"/>
      <c r="CW830" s="1"/>
      <c r="CX830" s="1"/>
      <c r="CY830" s="1"/>
      <c r="CZ830" s="1"/>
      <c r="DA830" s="1"/>
      <c r="DB830" s="1"/>
      <c r="DC830" s="1"/>
      <c r="DD830" s="1"/>
      <c r="DE830" s="1"/>
      <c r="DF830" s="1"/>
      <c r="DG830" s="1"/>
      <c r="DH830" s="1"/>
      <c r="DI830" s="1"/>
      <c r="DJ830" s="1"/>
      <c r="DK830" s="1"/>
      <c r="DL830" s="1"/>
      <c r="DM830" s="1"/>
      <c r="DN830" s="1"/>
      <c r="DO830" s="1"/>
      <c r="DP830" s="1"/>
      <c r="DQ830" s="1"/>
      <c r="DR830" s="1"/>
      <c r="DS830" s="1"/>
      <c r="DT830" s="1"/>
      <c r="DU830" s="1"/>
      <c r="DV830" s="1"/>
      <c r="DW830" s="1"/>
      <c r="DX830" s="1"/>
      <c r="DY830" s="1"/>
      <c r="DZ830" s="1"/>
      <c r="EA830" s="1"/>
      <c r="EB830" s="1"/>
      <c r="EC830" s="1"/>
      <c r="ED830" s="1"/>
      <c r="EE830" s="1"/>
      <c r="EF830" s="1"/>
      <c r="EG830" s="1"/>
      <c r="EH830" s="1"/>
      <c r="EI830" s="1"/>
      <c r="EJ830" s="1"/>
      <c r="EK830" s="1"/>
      <c r="EL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c r="BR831" s="1"/>
      <c r="BS831" s="1"/>
      <c r="BT831" s="1"/>
      <c r="BU831" s="1"/>
      <c r="BV831" s="1"/>
      <c r="BW831" s="1"/>
      <c r="BX831" s="1"/>
      <c r="BY831" s="1"/>
      <c r="BZ831" s="1"/>
      <c r="CA831" s="1"/>
      <c r="CB831" s="1"/>
      <c r="CC831" s="1"/>
      <c r="CD831" s="1"/>
      <c r="CE831" s="1"/>
      <c r="CF831" s="1"/>
      <c r="CG831" s="1"/>
      <c r="CH831" s="1"/>
      <c r="CI831" s="1"/>
      <c r="CJ831" s="1"/>
      <c r="CK831" s="1"/>
      <c r="CL831" s="1"/>
      <c r="CM831" s="1"/>
      <c r="CN831" s="1"/>
      <c r="CO831" s="1"/>
      <c r="CP831" s="1"/>
      <c r="CQ831" s="1"/>
      <c r="CR831" s="1"/>
      <c r="CS831" s="1"/>
      <c r="CT831" s="1"/>
      <c r="CU831" s="1"/>
      <c r="CV831" s="1"/>
      <c r="CW831" s="1"/>
      <c r="CX831" s="1"/>
      <c r="CY831" s="1"/>
      <c r="CZ831" s="1"/>
      <c r="DA831" s="1"/>
      <c r="DB831" s="1"/>
      <c r="DC831" s="1"/>
      <c r="DD831" s="1"/>
      <c r="DE831" s="1"/>
      <c r="DF831" s="1"/>
      <c r="DG831" s="1"/>
      <c r="DH831" s="1"/>
      <c r="DI831" s="1"/>
      <c r="DJ831" s="1"/>
      <c r="DK831" s="1"/>
      <c r="DL831" s="1"/>
      <c r="DM831" s="1"/>
      <c r="DN831" s="1"/>
      <c r="DO831" s="1"/>
      <c r="DP831" s="1"/>
      <c r="DQ831" s="1"/>
      <c r="DR831" s="1"/>
      <c r="DS831" s="1"/>
      <c r="DT831" s="1"/>
      <c r="DU831" s="1"/>
      <c r="DV831" s="1"/>
      <c r="DW831" s="1"/>
      <c r="DX831" s="1"/>
      <c r="DY831" s="1"/>
      <c r="DZ831" s="1"/>
      <c r="EA831" s="1"/>
      <c r="EB831" s="1"/>
      <c r="EC831" s="1"/>
      <c r="ED831" s="1"/>
      <c r="EE831" s="1"/>
      <c r="EF831" s="1"/>
      <c r="EG831" s="1"/>
      <c r="EH831" s="1"/>
      <c r="EI831" s="1"/>
      <c r="EJ831" s="1"/>
      <c r="EK831" s="1"/>
      <c r="EL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c r="BR832" s="1"/>
      <c r="BS832" s="1"/>
      <c r="BT832" s="1"/>
      <c r="BU832" s="1"/>
      <c r="BV832" s="1"/>
      <c r="BW832" s="1"/>
      <c r="BX832" s="1"/>
      <c r="BY832" s="1"/>
      <c r="BZ832" s="1"/>
      <c r="CA832" s="1"/>
      <c r="CB832" s="1"/>
      <c r="CC832" s="1"/>
      <c r="CD832" s="1"/>
      <c r="CE832" s="1"/>
      <c r="CF832" s="1"/>
      <c r="CG832" s="1"/>
      <c r="CH832" s="1"/>
      <c r="CI832" s="1"/>
      <c r="CJ832" s="1"/>
      <c r="CK832" s="1"/>
      <c r="CL832" s="1"/>
      <c r="CM832" s="1"/>
      <c r="CN832" s="1"/>
      <c r="CO832" s="1"/>
      <c r="CP832" s="1"/>
      <c r="CQ832" s="1"/>
      <c r="CR832" s="1"/>
      <c r="CS832" s="1"/>
      <c r="CT832" s="1"/>
      <c r="CU832" s="1"/>
      <c r="CV832" s="1"/>
      <c r="CW832" s="1"/>
      <c r="CX832" s="1"/>
      <c r="CY832" s="1"/>
      <c r="CZ832" s="1"/>
      <c r="DA832" s="1"/>
      <c r="DB832" s="1"/>
      <c r="DC832" s="1"/>
      <c r="DD832" s="1"/>
      <c r="DE832" s="1"/>
      <c r="DF832" s="1"/>
      <c r="DG832" s="1"/>
      <c r="DH832" s="1"/>
      <c r="DI832" s="1"/>
      <c r="DJ832" s="1"/>
      <c r="DK832" s="1"/>
      <c r="DL832" s="1"/>
      <c r="DM832" s="1"/>
      <c r="DN832" s="1"/>
      <c r="DO832" s="1"/>
      <c r="DP832" s="1"/>
      <c r="DQ832" s="1"/>
      <c r="DR832" s="1"/>
      <c r="DS832" s="1"/>
      <c r="DT832" s="1"/>
      <c r="DU832" s="1"/>
      <c r="DV832" s="1"/>
      <c r="DW832" s="1"/>
      <c r="DX832" s="1"/>
      <c r="DY832" s="1"/>
      <c r="DZ832" s="1"/>
      <c r="EA832" s="1"/>
      <c r="EB832" s="1"/>
      <c r="EC832" s="1"/>
      <c r="ED832" s="1"/>
      <c r="EE832" s="1"/>
      <c r="EF832" s="1"/>
      <c r="EG832" s="1"/>
      <c r="EH832" s="1"/>
      <c r="EI832" s="1"/>
      <c r="EJ832" s="1"/>
      <c r="EK832" s="1"/>
      <c r="EL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c r="BR833" s="1"/>
      <c r="BS833" s="1"/>
      <c r="BT833" s="1"/>
      <c r="BU833" s="1"/>
      <c r="BV833" s="1"/>
      <c r="BW833" s="1"/>
      <c r="BX833" s="1"/>
      <c r="BY833" s="1"/>
      <c r="BZ833" s="1"/>
      <c r="CA833" s="1"/>
      <c r="CB833" s="1"/>
      <c r="CC833" s="1"/>
      <c r="CD833" s="1"/>
      <c r="CE833" s="1"/>
      <c r="CF833" s="1"/>
      <c r="CG833" s="1"/>
      <c r="CH833" s="1"/>
      <c r="CI833" s="1"/>
      <c r="CJ833" s="1"/>
      <c r="CK833" s="1"/>
      <c r="CL833" s="1"/>
      <c r="CM833" s="1"/>
      <c r="CN833" s="1"/>
      <c r="CO833" s="1"/>
      <c r="CP833" s="1"/>
      <c r="CQ833" s="1"/>
      <c r="CR833" s="1"/>
      <c r="CS833" s="1"/>
      <c r="CT833" s="1"/>
      <c r="CU833" s="1"/>
      <c r="CV833" s="1"/>
      <c r="CW833" s="1"/>
      <c r="CX833" s="1"/>
      <c r="CY833" s="1"/>
      <c r="CZ833" s="1"/>
      <c r="DA833" s="1"/>
      <c r="DB833" s="1"/>
      <c r="DC833" s="1"/>
      <c r="DD833" s="1"/>
      <c r="DE833" s="1"/>
      <c r="DF833" s="1"/>
      <c r="DG833" s="1"/>
      <c r="DH833" s="1"/>
      <c r="DI833" s="1"/>
      <c r="DJ833" s="1"/>
      <c r="DK833" s="1"/>
      <c r="DL833" s="1"/>
      <c r="DM833" s="1"/>
      <c r="DN833" s="1"/>
      <c r="DO833" s="1"/>
      <c r="DP833" s="1"/>
      <c r="DQ833" s="1"/>
      <c r="DR833" s="1"/>
      <c r="DS833" s="1"/>
      <c r="DT833" s="1"/>
      <c r="DU833" s="1"/>
      <c r="DV833" s="1"/>
      <c r="DW833" s="1"/>
      <c r="DX833" s="1"/>
      <c r="DY833" s="1"/>
      <c r="DZ833" s="1"/>
      <c r="EA833" s="1"/>
      <c r="EB833" s="1"/>
      <c r="EC833" s="1"/>
      <c r="ED833" s="1"/>
      <c r="EE833" s="1"/>
      <c r="EF833" s="1"/>
      <c r="EG833" s="1"/>
      <c r="EH833" s="1"/>
      <c r="EI833" s="1"/>
      <c r="EJ833" s="1"/>
      <c r="EK833" s="1"/>
      <c r="EL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c r="BR834" s="1"/>
      <c r="BS834" s="1"/>
      <c r="BT834" s="1"/>
      <c r="BU834" s="1"/>
      <c r="BV834" s="1"/>
      <c r="BW834" s="1"/>
      <c r="BX834" s="1"/>
      <c r="BY834" s="1"/>
      <c r="BZ834" s="1"/>
      <c r="CA834" s="1"/>
      <c r="CB834" s="1"/>
      <c r="CC834" s="1"/>
      <c r="CD834" s="1"/>
      <c r="CE834" s="1"/>
      <c r="CF834" s="1"/>
      <c r="CG834" s="1"/>
      <c r="CH834" s="1"/>
      <c r="CI834" s="1"/>
      <c r="CJ834" s="1"/>
      <c r="CK834" s="1"/>
      <c r="CL834" s="1"/>
      <c r="CM834" s="1"/>
      <c r="CN834" s="1"/>
      <c r="CO834" s="1"/>
      <c r="CP834" s="1"/>
      <c r="CQ834" s="1"/>
      <c r="CR834" s="1"/>
      <c r="CS834" s="1"/>
      <c r="CT834" s="1"/>
      <c r="CU834" s="1"/>
      <c r="CV834" s="1"/>
      <c r="CW834" s="1"/>
      <c r="CX834" s="1"/>
      <c r="CY834" s="1"/>
      <c r="CZ834" s="1"/>
      <c r="DA834" s="1"/>
      <c r="DB834" s="1"/>
      <c r="DC834" s="1"/>
      <c r="DD834" s="1"/>
      <c r="DE834" s="1"/>
      <c r="DF834" s="1"/>
      <c r="DG834" s="1"/>
      <c r="DH834" s="1"/>
      <c r="DI834" s="1"/>
      <c r="DJ834" s="1"/>
      <c r="DK834" s="1"/>
      <c r="DL834" s="1"/>
      <c r="DM834" s="1"/>
      <c r="DN834" s="1"/>
      <c r="DO834" s="1"/>
      <c r="DP834" s="1"/>
      <c r="DQ834" s="1"/>
      <c r="DR834" s="1"/>
      <c r="DS834" s="1"/>
      <c r="DT834" s="1"/>
      <c r="DU834" s="1"/>
      <c r="DV834" s="1"/>
      <c r="DW834" s="1"/>
      <c r="DX834" s="1"/>
      <c r="DY834" s="1"/>
      <c r="DZ834" s="1"/>
      <c r="EA834" s="1"/>
      <c r="EB834" s="1"/>
      <c r="EC834" s="1"/>
      <c r="ED834" s="1"/>
      <c r="EE834" s="1"/>
      <c r="EF834" s="1"/>
      <c r="EG834" s="1"/>
      <c r="EH834" s="1"/>
      <c r="EI834" s="1"/>
      <c r="EJ834" s="1"/>
      <c r="EK834" s="1"/>
      <c r="EL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c r="BR835" s="1"/>
      <c r="BS835" s="1"/>
      <c r="BT835" s="1"/>
      <c r="BU835" s="1"/>
      <c r="BV835" s="1"/>
      <c r="BW835" s="1"/>
      <c r="BX835" s="1"/>
      <c r="BY835" s="1"/>
      <c r="BZ835" s="1"/>
      <c r="CA835" s="1"/>
      <c r="CB835" s="1"/>
      <c r="CC835" s="1"/>
      <c r="CD835" s="1"/>
      <c r="CE835" s="1"/>
      <c r="CF835" s="1"/>
      <c r="CG835" s="1"/>
      <c r="CH835" s="1"/>
      <c r="CI835" s="1"/>
      <c r="CJ835" s="1"/>
      <c r="CK835" s="1"/>
      <c r="CL835" s="1"/>
      <c r="CM835" s="1"/>
      <c r="CN835" s="1"/>
      <c r="CO835" s="1"/>
      <c r="CP835" s="1"/>
      <c r="CQ835" s="1"/>
      <c r="CR835" s="1"/>
      <c r="CS835" s="1"/>
      <c r="CT835" s="1"/>
      <c r="CU835" s="1"/>
      <c r="CV835" s="1"/>
      <c r="CW835" s="1"/>
      <c r="CX835" s="1"/>
      <c r="CY835" s="1"/>
      <c r="CZ835" s="1"/>
      <c r="DA835" s="1"/>
      <c r="DB835" s="1"/>
      <c r="DC835" s="1"/>
      <c r="DD835" s="1"/>
      <c r="DE835" s="1"/>
      <c r="DF835" s="1"/>
      <c r="DG835" s="1"/>
      <c r="DH835" s="1"/>
      <c r="DI835" s="1"/>
      <c r="DJ835" s="1"/>
      <c r="DK835" s="1"/>
      <c r="DL835" s="1"/>
      <c r="DM835" s="1"/>
      <c r="DN835" s="1"/>
      <c r="DO835" s="1"/>
      <c r="DP835" s="1"/>
      <c r="DQ835" s="1"/>
      <c r="DR835" s="1"/>
      <c r="DS835" s="1"/>
      <c r="DT835" s="1"/>
      <c r="DU835" s="1"/>
      <c r="DV835" s="1"/>
      <c r="DW835" s="1"/>
      <c r="DX835" s="1"/>
      <c r="DY835" s="1"/>
      <c r="DZ835" s="1"/>
      <c r="EA835" s="1"/>
      <c r="EB835" s="1"/>
      <c r="EC835" s="1"/>
      <c r="ED835" s="1"/>
      <c r="EE835" s="1"/>
      <c r="EF835" s="1"/>
      <c r="EG835" s="1"/>
      <c r="EH835" s="1"/>
      <c r="EI835" s="1"/>
      <c r="EJ835" s="1"/>
      <c r="EK835" s="1"/>
      <c r="EL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c r="BR836" s="1"/>
      <c r="BS836" s="1"/>
      <c r="BT836" s="1"/>
      <c r="BU836" s="1"/>
      <c r="BV836" s="1"/>
      <c r="BW836" s="1"/>
      <c r="BX836" s="1"/>
      <c r="BY836" s="1"/>
      <c r="BZ836" s="1"/>
      <c r="CA836" s="1"/>
      <c r="CB836" s="1"/>
      <c r="CC836" s="1"/>
      <c r="CD836" s="1"/>
      <c r="CE836" s="1"/>
      <c r="CF836" s="1"/>
      <c r="CG836" s="1"/>
      <c r="CH836" s="1"/>
      <c r="CI836" s="1"/>
      <c r="CJ836" s="1"/>
      <c r="CK836" s="1"/>
      <c r="CL836" s="1"/>
      <c r="CM836" s="1"/>
      <c r="CN836" s="1"/>
      <c r="CO836" s="1"/>
      <c r="CP836" s="1"/>
      <c r="CQ836" s="1"/>
      <c r="CR836" s="1"/>
      <c r="CS836" s="1"/>
      <c r="CT836" s="1"/>
      <c r="CU836" s="1"/>
      <c r="CV836" s="1"/>
      <c r="CW836" s="1"/>
      <c r="CX836" s="1"/>
      <c r="CY836" s="1"/>
      <c r="CZ836" s="1"/>
      <c r="DA836" s="1"/>
      <c r="DB836" s="1"/>
      <c r="DC836" s="1"/>
      <c r="DD836" s="1"/>
      <c r="DE836" s="1"/>
      <c r="DF836" s="1"/>
      <c r="DG836" s="1"/>
      <c r="DH836" s="1"/>
      <c r="DI836" s="1"/>
      <c r="DJ836" s="1"/>
      <c r="DK836" s="1"/>
      <c r="DL836" s="1"/>
      <c r="DM836" s="1"/>
      <c r="DN836" s="1"/>
      <c r="DO836" s="1"/>
      <c r="DP836" s="1"/>
      <c r="DQ836" s="1"/>
      <c r="DR836" s="1"/>
      <c r="DS836" s="1"/>
      <c r="DT836" s="1"/>
      <c r="DU836" s="1"/>
      <c r="DV836" s="1"/>
      <c r="DW836" s="1"/>
      <c r="DX836" s="1"/>
      <c r="DY836" s="1"/>
      <c r="DZ836" s="1"/>
      <c r="EA836" s="1"/>
      <c r="EB836" s="1"/>
      <c r="EC836" s="1"/>
      <c r="ED836" s="1"/>
      <c r="EE836" s="1"/>
      <c r="EF836" s="1"/>
      <c r="EG836" s="1"/>
      <c r="EH836" s="1"/>
      <c r="EI836" s="1"/>
      <c r="EJ836" s="1"/>
      <c r="EK836" s="1"/>
      <c r="EL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c r="BR837" s="1"/>
      <c r="BS837" s="1"/>
      <c r="BT837" s="1"/>
      <c r="BU837" s="1"/>
      <c r="BV837" s="1"/>
      <c r="BW837" s="1"/>
      <c r="BX837" s="1"/>
      <c r="BY837" s="1"/>
      <c r="BZ837" s="1"/>
      <c r="CA837" s="1"/>
      <c r="CB837" s="1"/>
      <c r="CC837" s="1"/>
      <c r="CD837" s="1"/>
      <c r="CE837" s="1"/>
      <c r="CF837" s="1"/>
      <c r="CG837" s="1"/>
      <c r="CH837" s="1"/>
      <c r="CI837" s="1"/>
      <c r="CJ837" s="1"/>
      <c r="CK837" s="1"/>
      <c r="CL837" s="1"/>
      <c r="CM837" s="1"/>
      <c r="CN837" s="1"/>
      <c r="CO837" s="1"/>
      <c r="CP837" s="1"/>
      <c r="CQ837" s="1"/>
      <c r="CR837" s="1"/>
      <c r="CS837" s="1"/>
      <c r="CT837" s="1"/>
      <c r="CU837" s="1"/>
      <c r="CV837" s="1"/>
      <c r="CW837" s="1"/>
      <c r="CX837" s="1"/>
      <c r="CY837" s="1"/>
      <c r="CZ837" s="1"/>
      <c r="DA837" s="1"/>
      <c r="DB837" s="1"/>
      <c r="DC837" s="1"/>
      <c r="DD837" s="1"/>
      <c r="DE837" s="1"/>
      <c r="DF837" s="1"/>
      <c r="DG837" s="1"/>
      <c r="DH837" s="1"/>
      <c r="DI837" s="1"/>
      <c r="DJ837" s="1"/>
      <c r="DK837" s="1"/>
      <c r="DL837" s="1"/>
      <c r="DM837" s="1"/>
      <c r="DN837" s="1"/>
      <c r="DO837" s="1"/>
      <c r="DP837" s="1"/>
      <c r="DQ837" s="1"/>
      <c r="DR837" s="1"/>
      <c r="DS837" s="1"/>
      <c r="DT837" s="1"/>
      <c r="DU837" s="1"/>
      <c r="DV837" s="1"/>
      <c r="DW837" s="1"/>
      <c r="DX837" s="1"/>
      <c r="DY837" s="1"/>
      <c r="DZ837" s="1"/>
      <c r="EA837" s="1"/>
      <c r="EB837" s="1"/>
      <c r="EC837" s="1"/>
      <c r="ED837" s="1"/>
      <c r="EE837" s="1"/>
      <c r="EF837" s="1"/>
      <c r="EG837" s="1"/>
      <c r="EH837" s="1"/>
      <c r="EI837" s="1"/>
      <c r="EJ837" s="1"/>
      <c r="EK837" s="1"/>
      <c r="EL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c r="BR838" s="1"/>
      <c r="BS838" s="1"/>
      <c r="BT838" s="1"/>
      <c r="BU838" s="1"/>
      <c r="BV838" s="1"/>
      <c r="BW838" s="1"/>
      <c r="BX838" s="1"/>
      <c r="BY838" s="1"/>
      <c r="BZ838" s="1"/>
      <c r="CA838" s="1"/>
      <c r="CB838" s="1"/>
      <c r="CC838" s="1"/>
      <c r="CD838" s="1"/>
      <c r="CE838" s="1"/>
      <c r="CF838" s="1"/>
      <c r="CG838" s="1"/>
      <c r="CH838" s="1"/>
      <c r="CI838" s="1"/>
      <c r="CJ838" s="1"/>
      <c r="CK838" s="1"/>
      <c r="CL838" s="1"/>
      <c r="CM838" s="1"/>
      <c r="CN838" s="1"/>
      <c r="CO838" s="1"/>
      <c r="CP838" s="1"/>
      <c r="CQ838" s="1"/>
      <c r="CR838" s="1"/>
      <c r="CS838" s="1"/>
      <c r="CT838" s="1"/>
      <c r="CU838" s="1"/>
      <c r="CV838" s="1"/>
      <c r="CW838" s="1"/>
      <c r="CX838" s="1"/>
      <c r="CY838" s="1"/>
      <c r="CZ838" s="1"/>
      <c r="DA838" s="1"/>
      <c r="DB838" s="1"/>
      <c r="DC838" s="1"/>
      <c r="DD838" s="1"/>
      <c r="DE838" s="1"/>
      <c r="DF838" s="1"/>
      <c r="DG838" s="1"/>
      <c r="DH838" s="1"/>
      <c r="DI838" s="1"/>
      <c r="DJ838" s="1"/>
      <c r="DK838" s="1"/>
      <c r="DL838" s="1"/>
      <c r="DM838" s="1"/>
      <c r="DN838" s="1"/>
      <c r="DO838" s="1"/>
      <c r="DP838" s="1"/>
      <c r="DQ838" s="1"/>
      <c r="DR838" s="1"/>
      <c r="DS838" s="1"/>
      <c r="DT838" s="1"/>
      <c r="DU838" s="1"/>
      <c r="DV838" s="1"/>
      <c r="DW838" s="1"/>
      <c r="DX838" s="1"/>
      <c r="DY838" s="1"/>
      <c r="DZ838" s="1"/>
      <c r="EA838" s="1"/>
      <c r="EB838" s="1"/>
      <c r="EC838" s="1"/>
      <c r="ED838" s="1"/>
      <c r="EE838" s="1"/>
      <c r="EF838" s="1"/>
      <c r="EG838" s="1"/>
      <c r="EH838" s="1"/>
      <c r="EI838" s="1"/>
      <c r="EJ838" s="1"/>
      <c r="EK838" s="1"/>
      <c r="EL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c r="BR839" s="1"/>
      <c r="BS839" s="1"/>
      <c r="BT839" s="1"/>
      <c r="BU839" s="1"/>
      <c r="BV839" s="1"/>
      <c r="BW839" s="1"/>
      <c r="BX839" s="1"/>
      <c r="BY839" s="1"/>
      <c r="BZ839" s="1"/>
      <c r="CA839" s="1"/>
      <c r="CB839" s="1"/>
      <c r="CC839" s="1"/>
      <c r="CD839" s="1"/>
      <c r="CE839" s="1"/>
      <c r="CF839" s="1"/>
      <c r="CG839" s="1"/>
      <c r="CH839" s="1"/>
      <c r="CI839" s="1"/>
      <c r="CJ839" s="1"/>
      <c r="CK839" s="1"/>
      <c r="CL839" s="1"/>
      <c r="CM839" s="1"/>
      <c r="CN839" s="1"/>
      <c r="CO839" s="1"/>
      <c r="CP839" s="1"/>
      <c r="CQ839" s="1"/>
      <c r="CR839" s="1"/>
      <c r="CS839" s="1"/>
      <c r="CT839" s="1"/>
      <c r="CU839" s="1"/>
      <c r="CV839" s="1"/>
      <c r="CW839" s="1"/>
      <c r="CX839" s="1"/>
      <c r="CY839" s="1"/>
      <c r="CZ839" s="1"/>
      <c r="DA839" s="1"/>
      <c r="DB839" s="1"/>
      <c r="DC839" s="1"/>
      <c r="DD839" s="1"/>
      <c r="DE839" s="1"/>
      <c r="DF839" s="1"/>
      <c r="DG839" s="1"/>
      <c r="DH839" s="1"/>
      <c r="DI839" s="1"/>
      <c r="DJ839" s="1"/>
      <c r="DK839" s="1"/>
      <c r="DL839" s="1"/>
      <c r="DM839" s="1"/>
      <c r="DN839" s="1"/>
      <c r="DO839" s="1"/>
      <c r="DP839" s="1"/>
      <c r="DQ839" s="1"/>
      <c r="DR839" s="1"/>
      <c r="DS839" s="1"/>
      <c r="DT839" s="1"/>
      <c r="DU839" s="1"/>
      <c r="DV839" s="1"/>
      <c r="DW839" s="1"/>
      <c r="DX839" s="1"/>
      <c r="DY839" s="1"/>
      <c r="DZ839" s="1"/>
      <c r="EA839" s="1"/>
      <c r="EB839" s="1"/>
      <c r="EC839" s="1"/>
      <c r="ED839" s="1"/>
      <c r="EE839" s="1"/>
      <c r="EF839" s="1"/>
      <c r="EG839" s="1"/>
      <c r="EH839" s="1"/>
      <c r="EI839" s="1"/>
      <c r="EJ839" s="1"/>
      <c r="EK839" s="1"/>
      <c r="EL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c r="BR840" s="1"/>
      <c r="BS840" s="1"/>
      <c r="BT840" s="1"/>
      <c r="BU840" s="1"/>
      <c r="BV840" s="1"/>
      <c r="BW840" s="1"/>
      <c r="BX840" s="1"/>
      <c r="BY840" s="1"/>
      <c r="BZ840" s="1"/>
      <c r="CA840" s="1"/>
      <c r="CB840" s="1"/>
      <c r="CC840" s="1"/>
      <c r="CD840" s="1"/>
      <c r="CE840" s="1"/>
      <c r="CF840" s="1"/>
      <c r="CG840" s="1"/>
      <c r="CH840" s="1"/>
      <c r="CI840" s="1"/>
      <c r="CJ840" s="1"/>
      <c r="CK840" s="1"/>
      <c r="CL840" s="1"/>
      <c r="CM840" s="1"/>
      <c r="CN840" s="1"/>
      <c r="CO840" s="1"/>
      <c r="CP840" s="1"/>
      <c r="CQ840" s="1"/>
      <c r="CR840" s="1"/>
      <c r="CS840" s="1"/>
      <c r="CT840" s="1"/>
      <c r="CU840" s="1"/>
      <c r="CV840" s="1"/>
      <c r="CW840" s="1"/>
      <c r="CX840" s="1"/>
      <c r="CY840" s="1"/>
      <c r="CZ840" s="1"/>
      <c r="DA840" s="1"/>
      <c r="DB840" s="1"/>
      <c r="DC840" s="1"/>
      <c r="DD840" s="1"/>
      <c r="DE840" s="1"/>
      <c r="DF840" s="1"/>
      <c r="DG840" s="1"/>
      <c r="DH840" s="1"/>
      <c r="DI840" s="1"/>
      <c r="DJ840" s="1"/>
      <c r="DK840" s="1"/>
      <c r="DL840" s="1"/>
      <c r="DM840" s="1"/>
      <c r="DN840" s="1"/>
      <c r="DO840" s="1"/>
      <c r="DP840" s="1"/>
      <c r="DQ840" s="1"/>
      <c r="DR840" s="1"/>
      <c r="DS840" s="1"/>
      <c r="DT840" s="1"/>
      <c r="DU840" s="1"/>
      <c r="DV840" s="1"/>
      <c r="DW840" s="1"/>
      <c r="DX840" s="1"/>
      <c r="DY840" s="1"/>
      <c r="DZ840" s="1"/>
      <c r="EA840" s="1"/>
      <c r="EB840" s="1"/>
      <c r="EC840" s="1"/>
      <c r="ED840" s="1"/>
      <c r="EE840" s="1"/>
      <c r="EF840" s="1"/>
      <c r="EG840" s="1"/>
      <c r="EH840" s="1"/>
      <c r="EI840" s="1"/>
      <c r="EJ840" s="1"/>
      <c r="EK840" s="1"/>
      <c r="EL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c r="BR841" s="1"/>
      <c r="BS841" s="1"/>
      <c r="BT841" s="1"/>
      <c r="BU841" s="1"/>
      <c r="BV841" s="1"/>
      <c r="BW841" s="1"/>
      <c r="BX841" s="1"/>
      <c r="BY841" s="1"/>
      <c r="BZ841" s="1"/>
      <c r="CA841" s="1"/>
      <c r="CB841" s="1"/>
      <c r="CC841" s="1"/>
      <c r="CD841" s="1"/>
      <c r="CE841" s="1"/>
      <c r="CF841" s="1"/>
      <c r="CG841" s="1"/>
      <c r="CH841" s="1"/>
      <c r="CI841" s="1"/>
      <c r="CJ841" s="1"/>
      <c r="CK841" s="1"/>
      <c r="CL841" s="1"/>
      <c r="CM841" s="1"/>
      <c r="CN841" s="1"/>
      <c r="CO841" s="1"/>
      <c r="CP841" s="1"/>
      <c r="CQ841" s="1"/>
      <c r="CR841" s="1"/>
      <c r="CS841" s="1"/>
      <c r="CT841" s="1"/>
      <c r="CU841" s="1"/>
      <c r="CV841" s="1"/>
      <c r="CW841" s="1"/>
      <c r="CX841" s="1"/>
      <c r="CY841" s="1"/>
      <c r="CZ841" s="1"/>
      <c r="DA841" s="1"/>
      <c r="DB841" s="1"/>
      <c r="DC841" s="1"/>
      <c r="DD841" s="1"/>
      <c r="DE841" s="1"/>
      <c r="DF841" s="1"/>
      <c r="DG841" s="1"/>
      <c r="DH841" s="1"/>
      <c r="DI841" s="1"/>
      <c r="DJ841" s="1"/>
      <c r="DK841" s="1"/>
      <c r="DL841" s="1"/>
      <c r="DM841" s="1"/>
      <c r="DN841" s="1"/>
      <c r="DO841" s="1"/>
      <c r="DP841" s="1"/>
      <c r="DQ841" s="1"/>
      <c r="DR841" s="1"/>
      <c r="DS841" s="1"/>
      <c r="DT841" s="1"/>
      <c r="DU841" s="1"/>
      <c r="DV841" s="1"/>
      <c r="DW841" s="1"/>
      <c r="DX841" s="1"/>
      <c r="DY841" s="1"/>
      <c r="DZ841" s="1"/>
      <c r="EA841" s="1"/>
      <c r="EB841" s="1"/>
      <c r="EC841" s="1"/>
      <c r="ED841" s="1"/>
      <c r="EE841" s="1"/>
      <c r="EF841" s="1"/>
      <c r="EG841" s="1"/>
      <c r="EH841" s="1"/>
      <c r="EI841" s="1"/>
      <c r="EJ841" s="1"/>
      <c r="EK841" s="1"/>
      <c r="EL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c r="BR842" s="1"/>
      <c r="BS842" s="1"/>
      <c r="BT842" s="1"/>
      <c r="BU842" s="1"/>
      <c r="BV842" s="1"/>
      <c r="BW842" s="1"/>
      <c r="BX842" s="1"/>
      <c r="BY842" s="1"/>
      <c r="BZ842" s="1"/>
      <c r="CA842" s="1"/>
      <c r="CB842" s="1"/>
      <c r="CC842" s="1"/>
      <c r="CD842" s="1"/>
      <c r="CE842" s="1"/>
      <c r="CF842" s="1"/>
      <c r="CG842" s="1"/>
      <c r="CH842" s="1"/>
      <c r="CI842" s="1"/>
      <c r="CJ842" s="1"/>
      <c r="CK842" s="1"/>
      <c r="CL842" s="1"/>
      <c r="CM842" s="1"/>
      <c r="CN842" s="1"/>
      <c r="CO842" s="1"/>
      <c r="CP842" s="1"/>
      <c r="CQ842" s="1"/>
      <c r="CR842" s="1"/>
      <c r="CS842" s="1"/>
      <c r="CT842" s="1"/>
      <c r="CU842" s="1"/>
      <c r="CV842" s="1"/>
      <c r="CW842" s="1"/>
      <c r="CX842" s="1"/>
      <c r="CY842" s="1"/>
      <c r="CZ842" s="1"/>
      <c r="DA842" s="1"/>
      <c r="DB842" s="1"/>
      <c r="DC842" s="1"/>
      <c r="DD842" s="1"/>
      <c r="DE842" s="1"/>
      <c r="DF842" s="1"/>
      <c r="DG842" s="1"/>
      <c r="DH842" s="1"/>
      <c r="DI842" s="1"/>
      <c r="DJ842" s="1"/>
      <c r="DK842" s="1"/>
      <c r="DL842" s="1"/>
      <c r="DM842" s="1"/>
      <c r="DN842" s="1"/>
      <c r="DO842" s="1"/>
      <c r="DP842" s="1"/>
      <c r="DQ842" s="1"/>
      <c r="DR842" s="1"/>
      <c r="DS842" s="1"/>
      <c r="DT842" s="1"/>
      <c r="DU842" s="1"/>
      <c r="DV842" s="1"/>
      <c r="DW842" s="1"/>
      <c r="DX842" s="1"/>
      <c r="DY842" s="1"/>
      <c r="DZ842" s="1"/>
      <c r="EA842" s="1"/>
      <c r="EB842" s="1"/>
      <c r="EC842" s="1"/>
      <c r="ED842" s="1"/>
      <c r="EE842" s="1"/>
      <c r="EF842" s="1"/>
      <c r="EG842" s="1"/>
      <c r="EH842" s="1"/>
      <c r="EI842" s="1"/>
      <c r="EJ842" s="1"/>
      <c r="EK842" s="1"/>
      <c r="EL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c r="BR843" s="1"/>
      <c r="BS843" s="1"/>
      <c r="BT843" s="1"/>
      <c r="BU843" s="1"/>
      <c r="BV843" s="1"/>
      <c r="BW843" s="1"/>
      <c r="BX843" s="1"/>
      <c r="BY843" s="1"/>
      <c r="BZ843" s="1"/>
      <c r="CA843" s="1"/>
      <c r="CB843" s="1"/>
      <c r="CC843" s="1"/>
      <c r="CD843" s="1"/>
      <c r="CE843" s="1"/>
      <c r="CF843" s="1"/>
      <c r="CG843" s="1"/>
      <c r="CH843" s="1"/>
      <c r="CI843" s="1"/>
      <c r="CJ843" s="1"/>
      <c r="CK843" s="1"/>
      <c r="CL843" s="1"/>
      <c r="CM843" s="1"/>
      <c r="CN843" s="1"/>
      <c r="CO843" s="1"/>
      <c r="CP843" s="1"/>
      <c r="CQ843" s="1"/>
      <c r="CR843" s="1"/>
      <c r="CS843" s="1"/>
      <c r="CT843" s="1"/>
      <c r="CU843" s="1"/>
      <c r="CV843" s="1"/>
      <c r="CW843" s="1"/>
      <c r="CX843" s="1"/>
      <c r="CY843" s="1"/>
      <c r="CZ843" s="1"/>
      <c r="DA843" s="1"/>
      <c r="DB843" s="1"/>
      <c r="DC843" s="1"/>
      <c r="DD843" s="1"/>
      <c r="DE843" s="1"/>
      <c r="DF843" s="1"/>
      <c r="DG843" s="1"/>
      <c r="DH843" s="1"/>
      <c r="DI843" s="1"/>
      <c r="DJ843" s="1"/>
      <c r="DK843" s="1"/>
      <c r="DL843" s="1"/>
      <c r="DM843" s="1"/>
      <c r="DN843" s="1"/>
      <c r="DO843" s="1"/>
      <c r="DP843" s="1"/>
      <c r="DQ843" s="1"/>
      <c r="DR843" s="1"/>
      <c r="DS843" s="1"/>
      <c r="DT843" s="1"/>
      <c r="DU843" s="1"/>
      <c r="DV843" s="1"/>
      <c r="DW843" s="1"/>
      <c r="DX843" s="1"/>
      <c r="DY843" s="1"/>
      <c r="DZ843" s="1"/>
      <c r="EA843" s="1"/>
      <c r="EB843" s="1"/>
      <c r="EC843" s="1"/>
      <c r="ED843" s="1"/>
      <c r="EE843" s="1"/>
      <c r="EF843" s="1"/>
      <c r="EG843" s="1"/>
      <c r="EH843" s="1"/>
      <c r="EI843" s="1"/>
      <c r="EJ843" s="1"/>
      <c r="EK843" s="1"/>
      <c r="EL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c r="BR844" s="1"/>
      <c r="BS844" s="1"/>
      <c r="BT844" s="1"/>
      <c r="BU844" s="1"/>
      <c r="BV844" s="1"/>
      <c r="BW844" s="1"/>
      <c r="BX844" s="1"/>
      <c r="BY844" s="1"/>
      <c r="BZ844" s="1"/>
      <c r="CA844" s="1"/>
      <c r="CB844" s="1"/>
      <c r="CC844" s="1"/>
      <c r="CD844" s="1"/>
      <c r="CE844" s="1"/>
      <c r="CF844" s="1"/>
      <c r="CG844" s="1"/>
      <c r="CH844" s="1"/>
      <c r="CI844" s="1"/>
      <c r="CJ844" s="1"/>
      <c r="CK844" s="1"/>
      <c r="CL844" s="1"/>
      <c r="CM844" s="1"/>
      <c r="CN844" s="1"/>
      <c r="CO844" s="1"/>
      <c r="CP844" s="1"/>
      <c r="CQ844" s="1"/>
      <c r="CR844" s="1"/>
      <c r="CS844" s="1"/>
      <c r="CT844" s="1"/>
      <c r="CU844" s="1"/>
      <c r="CV844" s="1"/>
      <c r="CW844" s="1"/>
      <c r="CX844" s="1"/>
      <c r="CY844" s="1"/>
      <c r="CZ844" s="1"/>
      <c r="DA844" s="1"/>
      <c r="DB844" s="1"/>
      <c r="DC844" s="1"/>
      <c r="DD844" s="1"/>
      <c r="DE844" s="1"/>
      <c r="DF844" s="1"/>
      <c r="DG844" s="1"/>
      <c r="DH844" s="1"/>
      <c r="DI844" s="1"/>
      <c r="DJ844" s="1"/>
      <c r="DK844" s="1"/>
      <c r="DL844" s="1"/>
      <c r="DM844" s="1"/>
      <c r="DN844" s="1"/>
      <c r="DO844" s="1"/>
      <c r="DP844" s="1"/>
      <c r="DQ844" s="1"/>
      <c r="DR844" s="1"/>
      <c r="DS844" s="1"/>
      <c r="DT844" s="1"/>
      <c r="DU844" s="1"/>
      <c r="DV844" s="1"/>
      <c r="DW844" s="1"/>
      <c r="DX844" s="1"/>
      <c r="DY844" s="1"/>
      <c r="DZ844" s="1"/>
      <c r="EA844" s="1"/>
      <c r="EB844" s="1"/>
      <c r="EC844" s="1"/>
      <c r="ED844" s="1"/>
      <c r="EE844" s="1"/>
      <c r="EF844" s="1"/>
      <c r="EG844" s="1"/>
      <c r="EH844" s="1"/>
      <c r="EI844" s="1"/>
      <c r="EJ844" s="1"/>
      <c r="EK844" s="1"/>
      <c r="EL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c r="BR845" s="1"/>
      <c r="BS845" s="1"/>
      <c r="BT845" s="1"/>
      <c r="BU845" s="1"/>
      <c r="BV845" s="1"/>
      <c r="BW845" s="1"/>
      <c r="BX845" s="1"/>
      <c r="BY845" s="1"/>
      <c r="BZ845" s="1"/>
      <c r="CA845" s="1"/>
      <c r="CB845" s="1"/>
      <c r="CC845" s="1"/>
      <c r="CD845" s="1"/>
      <c r="CE845" s="1"/>
      <c r="CF845" s="1"/>
      <c r="CG845" s="1"/>
      <c r="CH845" s="1"/>
      <c r="CI845" s="1"/>
      <c r="CJ845" s="1"/>
      <c r="CK845" s="1"/>
      <c r="CL845" s="1"/>
      <c r="CM845" s="1"/>
      <c r="CN845" s="1"/>
      <c r="CO845" s="1"/>
      <c r="CP845" s="1"/>
      <c r="CQ845" s="1"/>
      <c r="CR845" s="1"/>
      <c r="CS845" s="1"/>
      <c r="CT845" s="1"/>
      <c r="CU845" s="1"/>
      <c r="CV845" s="1"/>
      <c r="CW845" s="1"/>
      <c r="CX845" s="1"/>
      <c r="CY845" s="1"/>
      <c r="CZ845" s="1"/>
      <c r="DA845" s="1"/>
      <c r="DB845" s="1"/>
      <c r="DC845" s="1"/>
      <c r="DD845" s="1"/>
      <c r="DE845" s="1"/>
      <c r="DF845" s="1"/>
      <c r="DG845" s="1"/>
      <c r="DH845" s="1"/>
      <c r="DI845" s="1"/>
      <c r="DJ845" s="1"/>
      <c r="DK845" s="1"/>
      <c r="DL845" s="1"/>
      <c r="DM845" s="1"/>
      <c r="DN845" s="1"/>
      <c r="DO845" s="1"/>
      <c r="DP845" s="1"/>
      <c r="DQ845" s="1"/>
      <c r="DR845" s="1"/>
      <c r="DS845" s="1"/>
      <c r="DT845" s="1"/>
      <c r="DU845" s="1"/>
      <c r="DV845" s="1"/>
      <c r="DW845" s="1"/>
      <c r="DX845" s="1"/>
      <c r="DY845" s="1"/>
      <c r="DZ845" s="1"/>
      <c r="EA845" s="1"/>
      <c r="EB845" s="1"/>
      <c r="EC845" s="1"/>
      <c r="ED845" s="1"/>
      <c r="EE845" s="1"/>
      <c r="EF845" s="1"/>
      <c r="EG845" s="1"/>
      <c r="EH845" s="1"/>
      <c r="EI845" s="1"/>
      <c r="EJ845" s="1"/>
      <c r="EK845" s="1"/>
      <c r="EL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c r="BR846" s="1"/>
      <c r="BS846" s="1"/>
      <c r="BT846" s="1"/>
      <c r="BU846" s="1"/>
      <c r="BV846" s="1"/>
      <c r="BW846" s="1"/>
      <c r="BX846" s="1"/>
      <c r="BY846" s="1"/>
      <c r="BZ846" s="1"/>
      <c r="CA846" s="1"/>
      <c r="CB846" s="1"/>
      <c r="CC846" s="1"/>
      <c r="CD846" s="1"/>
      <c r="CE846" s="1"/>
      <c r="CF846" s="1"/>
      <c r="CG846" s="1"/>
      <c r="CH846" s="1"/>
      <c r="CI846" s="1"/>
      <c r="CJ846" s="1"/>
      <c r="CK846" s="1"/>
      <c r="CL846" s="1"/>
      <c r="CM846" s="1"/>
      <c r="CN846" s="1"/>
      <c r="CO846" s="1"/>
      <c r="CP846" s="1"/>
      <c r="CQ846" s="1"/>
      <c r="CR846" s="1"/>
      <c r="CS846" s="1"/>
      <c r="CT846" s="1"/>
      <c r="CU846" s="1"/>
      <c r="CV846" s="1"/>
      <c r="CW846" s="1"/>
      <c r="CX846" s="1"/>
      <c r="CY846" s="1"/>
      <c r="CZ846" s="1"/>
      <c r="DA846" s="1"/>
      <c r="DB846" s="1"/>
      <c r="DC846" s="1"/>
      <c r="DD846" s="1"/>
      <c r="DE846" s="1"/>
      <c r="DF846" s="1"/>
      <c r="DG846" s="1"/>
      <c r="DH846" s="1"/>
      <c r="DI846" s="1"/>
      <c r="DJ846" s="1"/>
      <c r="DK846" s="1"/>
      <c r="DL846" s="1"/>
      <c r="DM846" s="1"/>
      <c r="DN846" s="1"/>
      <c r="DO846" s="1"/>
      <c r="DP846" s="1"/>
      <c r="DQ846" s="1"/>
      <c r="DR846" s="1"/>
      <c r="DS846" s="1"/>
      <c r="DT846" s="1"/>
      <c r="DU846" s="1"/>
      <c r="DV846" s="1"/>
      <c r="DW846" s="1"/>
      <c r="DX846" s="1"/>
      <c r="DY846" s="1"/>
      <c r="DZ846" s="1"/>
      <c r="EA846" s="1"/>
      <c r="EB846" s="1"/>
      <c r="EC846" s="1"/>
      <c r="ED846" s="1"/>
      <c r="EE846" s="1"/>
      <c r="EF846" s="1"/>
      <c r="EG846" s="1"/>
      <c r="EH846" s="1"/>
      <c r="EI846" s="1"/>
      <c r="EJ846" s="1"/>
      <c r="EK846" s="1"/>
      <c r="EL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c r="BR847" s="1"/>
      <c r="BS847" s="1"/>
      <c r="BT847" s="1"/>
      <c r="BU847" s="1"/>
      <c r="BV847" s="1"/>
      <c r="BW847" s="1"/>
      <c r="BX847" s="1"/>
      <c r="BY847" s="1"/>
      <c r="BZ847" s="1"/>
      <c r="CA847" s="1"/>
      <c r="CB847" s="1"/>
      <c r="CC847" s="1"/>
      <c r="CD847" s="1"/>
      <c r="CE847" s="1"/>
      <c r="CF847" s="1"/>
      <c r="CG847" s="1"/>
      <c r="CH847" s="1"/>
      <c r="CI847" s="1"/>
      <c r="CJ847" s="1"/>
      <c r="CK847" s="1"/>
      <c r="CL847" s="1"/>
      <c r="CM847" s="1"/>
      <c r="CN847" s="1"/>
      <c r="CO847" s="1"/>
      <c r="CP847" s="1"/>
      <c r="CQ847" s="1"/>
      <c r="CR847" s="1"/>
      <c r="CS847" s="1"/>
      <c r="CT847" s="1"/>
      <c r="CU847" s="1"/>
      <c r="CV847" s="1"/>
      <c r="CW847" s="1"/>
      <c r="CX847" s="1"/>
      <c r="CY847" s="1"/>
      <c r="CZ847" s="1"/>
      <c r="DA847" s="1"/>
      <c r="DB847" s="1"/>
      <c r="DC847" s="1"/>
      <c r="DD847" s="1"/>
      <c r="DE847" s="1"/>
      <c r="DF847" s="1"/>
      <c r="DG847" s="1"/>
      <c r="DH847" s="1"/>
      <c r="DI847" s="1"/>
      <c r="DJ847" s="1"/>
      <c r="DK847" s="1"/>
      <c r="DL847" s="1"/>
      <c r="DM847" s="1"/>
      <c r="DN847" s="1"/>
      <c r="DO847" s="1"/>
      <c r="DP847" s="1"/>
      <c r="DQ847" s="1"/>
      <c r="DR847" s="1"/>
      <c r="DS847" s="1"/>
      <c r="DT847" s="1"/>
      <c r="DU847" s="1"/>
      <c r="DV847" s="1"/>
      <c r="DW847" s="1"/>
      <c r="DX847" s="1"/>
      <c r="DY847" s="1"/>
      <c r="DZ847" s="1"/>
      <c r="EA847" s="1"/>
      <c r="EB847" s="1"/>
      <c r="EC847" s="1"/>
      <c r="ED847" s="1"/>
      <c r="EE847" s="1"/>
      <c r="EF847" s="1"/>
      <c r="EG847" s="1"/>
      <c r="EH847" s="1"/>
      <c r="EI847" s="1"/>
      <c r="EJ847" s="1"/>
      <c r="EK847" s="1"/>
      <c r="EL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c r="BR848" s="1"/>
      <c r="BS848" s="1"/>
      <c r="BT848" s="1"/>
      <c r="BU848" s="1"/>
      <c r="BV848" s="1"/>
      <c r="BW848" s="1"/>
      <c r="BX848" s="1"/>
      <c r="BY848" s="1"/>
      <c r="BZ848" s="1"/>
      <c r="CA848" s="1"/>
      <c r="CB848" s="1"/>
      <c r="CC848" s="1"/>
      <c r="CD848" s="1"/>
      <c r="CE848" s="1"/>
      <c r="CF848" s="1"/>
      <c r="CG848" s="1"/>
      <c r="CH848" s="1"/>
      <c r="CI848" s="1"/>
      <c r="CJ848" s="1"/>
      <c r="CK848" s="1"/>
      <c r="CL848" s="1"/>
      <c r="CM848" s="1"/>
      <c r="CN848" s="1"/>
      <c r="CO848" s="1"/>
      <c r="CP848" s="1"/>
      <c r="CQ848" s="1"/>
      <c r="CR848" s="1"/>
      <c r="CS848" s="1"/>
      <c r="CT848" s="1"/>
      <c r="CU848" s="1"/>
      <c r="CV848" s="1"/>
      <c r="CW848" s="1"/>
      <c r="CX848" s="1"/>
      <c r="CY848" s="1"/>
      <c r="CZ848" s="1"/>
      <c r="DA848" s="1"/>
      <c r="DB848" s="1"/>
      <c r="DC848" s="1"/>
      <c r="DD848" s="1"/>
      <c r="DE848" s="1"/>
      <c r="DF848" s="1"/>
      <c r="DG848" s="1"/>
      <c r="DH848" s="1"/>
      <c r="DI848" s="1"/>
      <c r="DJ848" s="1"/>
      <c r="DK848" s="1"/>
      <c r="DL848" s="1"/>
      <c r="DM848" s="1"/>
      <c r="DN848" s="1"/>
      <c r="DO848" s="1"/>
      <c r="DP848" s="1"/>
      <c r="DQ848" s="1"/>
      <c r="DR848" s="1"/>
      <c r="DS848" s="1"/>
      <c r="DT848" s="1"/>
      <c r="DU848" s="1"/>
      <c r="DV848" s="1"/>
      <c r="DW848" s="1"/>
      <c r="DX848" s="1"/>
      <c r="DY848" s="1"/>
      <c r="DZ848" s="1"/>
      <c r="EA848" s="1"/>
      <c r="EB848" s="1"/>
      <c r="EC848" s="1"/>
      <c r="ED848" s="1"/>
      <c r="EE848" s="1"/>
      <c r="EF848" s="1"/>
      <c r="EG848" s="1"/>
      <c r="EH848" s="1"/>
      <c r="EI848" s="1"/>
      <c r="EJ848" s="1"/>
      <c r="EK848" s="1"/>
      <c r="EL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c r="BR849" s="1"/>
      <c r="BS849" s="1"/>
      <c r="BT849" s="1"/>
      <c r="BU849" s="1"/>
      <c r="BV849" s="1"/>
      <c r="BW849" s="1"/>
      <c r="BX849" s="1"/>
      <c r="BY849" s="1"/>
      <c r="BZ849" s="1"/>
      <c r="CA849" s="1"/>
      <c r="CB849" s="1"/>
      <c r="CC849" s="1"/>
      <c r="CD849" s="1"/>
      <c r="CE849" s="1"/>
      <c r="CF849" s="1"/>
      <c r="CG849" s="1"/>
      <c r="CH849" s="1"/>
      <c r="CI849" s="1"/>
      <c r="CJ849" s="1"/>
      <c r="CK849" s="1"/>
      <c r="CL849" s="1"/>
      <c r="CM849" s="1"/>
      <c r="CN849" s="1"/>
      <c r="CO849" s="1"/>
      <c r="CP849" s="1"/>
      <c r="CQ849" s="1"/>
      <c r="CR849" s="1"/>
      <c r="CS849" s="1"/>
      <c r="CT849" s="1"/>
      <c r="CU849" s="1"/>
      <c r="CV849" s="1"/>
      <c r="CW849" s="1"/>
      <c r="CX849" s="1"/>
      <c r="CY849" s="1"/>
      <c r="CZ849" s="1"/>
      <c r="DA849" s="1"/>
      <c r="DB849" s="1"/>
      <c r="DC849" s="1"/>
      <c r="DD849" s="1"/>
      <c r="DE849" s="1"/>
      <c r="DF849" s="1"/>
      <c r="DG849" s="1"/>
      <c r="DH849" s="1"/>
      <c r="DI849" s="1"/>
      <c r="DJ849" s="1"/>
      <c r="DK849" s="1"/>
      <c r="DL849" s="1"/>
      <c r="DM849" s="1"/>
      <c r="DN849" s="1"/>
      <c r="DO849" s="1"/>
      <c r="DP849" s="1"/>
      <c r="DQ849" s="1"/>
      <c r="DR849" s="1"/>
      <c r="DS849" s="1"/>
      <c r="DT849" s="1"/>
      <c r="DU849" s="1"/>
      <c r="DV849" s="1"/>
      <c r="DW849" s="1"/>
      <c r="DX849" s="1"/>
      <c r="DY849" s="1"/>
      <c r="DZ849" s="1"/>
      <c r="EA849" s="1"/>
      <c r="EB849" s="1"/>
      <c r="EC849" s="1"/>
      <c r="ED849" s="1"/>
      <c r="EE849" s="1"/>
      <c r="EF849" s="1"/>
      <c r="EG849" s="1"/>
      <c r="EH849" s="1"/>
      <c r="EI849" s="1"/>
      <c r="EJ849" s="1"/>
      <c r="EK849" s="1"/>
      <c r="EL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c r="BR850" s="1"/>
      <c r="BS850" s="1"/>
      <c r="BT850" s="1"/>
      <c r="BU850" s="1"/>
      <c r="BV850" s="1"/>
      <c r="BW850" s="1"/>
      <c r="BX850" s="1"/>
      <c r="BY850" s="1"/>
      <c r="BZ850" s="1"/>
      <c r="CA850" s="1"/>
      <c r="CB850" s="1"/>
      <c r="CC850" s="1"/>
      <c r="CD850" s="1"/>
      <c r="CE850" s="1"/>
      <c r="CF850" s="1"/>
      <c r="CG850" s="1"/>
      <c r="CH850" s="1"/>
      <c r="CI850" s="1"/>
      <c r="CJ850" s="1"/>
      <c r="CK850" s="1"/>
      <c r="CL850" s="1"/>
      <c r="CM850" s="1"/>
      <c r="CN850" s="1"/>
      <c r="CO850" s="1"/>
      <c r="CP850" s="1"/>
      <c r="CQ850" s="1"/>
      <c r="CR850" s="1"/>
      <c r="CS850" s="1"/>
      <c r="CT850" s="1"/>
      <c r="CU850" s="1"/>
      <c r="CV850" s="1"/>
      <c r="CW850" s="1"/>
      <c r="CX850" s="1"/>
      <c r="CY850" s="1"/>
      <c r="CZ850" s="1"/>
      <c r="DA850" s="1"/>
      <c r="DB850" s="1"/>
      <c r="DC850" s="1"/>
      <c r="DD850" s="1"/>
      <c r="DE850" s="1"/>
      <c r="DF850" s="1"/>
      <c r="DG850" s="1"/>
      <c r="DH850" s="1"/>
      <c r="DI850" s="1"/>
      <c r="DJ850" s="1"/>
      <c r="DK850" s="1"/>
      <c r="DL850" s="1"/>
      <c r="DM850" s="1"/>
      <c r="DN850" s="1"/>
      <c r="DO850" s="1"/>
      <c r="DP850" s="1"/>
      <c r="DQ850" s="1"/>
      <c r="DR850" s="1"/>
      <c r="DS850" s="1"/>
      <c r="DT850" s="1"/>
      <c r="DU850" s="1"/>
      <c r="DV850" s="1"/>
      <c r="DW850" s="1"/>
      <c r="DX850" s="1"/>
      <c r="DY850" s="1"/>
      <c r="DZ850" s="1"/>
      <c r="EA850" s="1"/>
      <c r="EB850" s="1"/>
      <c r="EC850" s="1"/>
      <c r="ED850" s="1"/>
      <c r="EE850" s="1"/>
      <c r="EF850" s="1"/>
      <c r="EG850" s="1"/>
      <c r="EH850" s="1"/>
      <c r="EI850" s="1"/>
      <c r="EJ850" s="1"/>
      <c r="EK850" s="1"/>
      <c r="EL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c r="BR851" s="1"/>
      <c r="BS851" s="1"/>
      <c r="BT851" s="1"/>
      <c r="BU851" s="1"/>
      <c r="BV851" s="1"/>
      <c r="BW851" s="1"/>
      <c r="BX851" s="1"/>
      <c r="BY851" s="1"/>
      <c r="BZ851" s="1"/>
      <c r="CA851" s="1"/>
      <c r="CB851" s="1"/>
      <c r="CC851" s="1"/>
      <c r="CD851" s="1"/>
      <c r="CE851" s="1"/>
      <c r="CF851" s="1"/>
      <c r="CG851" s="1"/>
      <c r="CH851" s="1"/>
      <c r="CI851" s="1"/>
      <c r="CJ851" s="1"/>
      <c r="CK851" s="1"/>
      <c r="CL851" s="1"/>
      <c r="CM851" s="1"/>
      <c r="CN851" s="1"/>
      <c r="CO851" s="1"/>
      <c r="CP851" s="1"/>
      <c r="CQ851" s="1"/>
      <c r="CR851" s="1"/>
      <c r="CS851" s="1"/>
      <c r="CT851" s="1"/>
      <c r="CU851" s="1"/>
      <c r="CV851" s="1"/>
      <c r="CW851" s="1"/>
      <c r="CX851" s="1"/>
      <c r="CY851" s="1"/>
      <c r="CZ851" s="1"/>
      <c r="DA851" s="1"/>
      <c r="DB851" s="1"/>
      <c r="DC851" s="1"/>
      <c r="DD851" s="1"/>
      <c r="DE851" s="1"/>
      <c r="DF851" s="1"/>
      <c r="DG851" s="1"/>
      <c r="DH851" s="1"/>
      <c r="DI851" s="1"/>
      <c r="DJ851" s="1"/>
      <c r="DK851" s="1"/>
      <c r="DL851" s="1"/>
      <c r="DM851" s="1"/>
      <c r="DN851" s="1"/>
      <c r="DO851" s="1"/>
      <c r="DP851" s="1"/>
      <c r="DQ851" s="1"/>
      <c r="DR851" s="1"/>
      <c r="DS851" s="1"/>
      <c r="DT851" s="1"/>
      <c r="DU851" s="1"/>
      <c r="DV851" s="1"/>
      <c r="DW851" s="1"/>
      <c r="DX851" s="1"/>
      <c r="DY851" s="1"/>
      <c r="DZ851" s="1"/>
      <c r="EA851" s="1"/>
      <c r="EB851" s="1"/>
      <c r="EC851" s="1"/>
      <c r="ED851" s="1"/>
      <c r="EE851" s="1"/>
      <c r="EF851" s="1"/>
      <c r="EG851" s="1"/>
      <c r="EH851" s="1"/>
      <c r="EI851" s="1"/>
      <c r="EJ851" s="1"/>
      <c r="EK851" s="1"/>
      <c r="EL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c r="BR852" s="1"/>
      <c r="BS852" s="1"/>
      <c r="BT852" s="1"/>
      <c r="BU852" s="1"/>
      <c r="BV852" s="1"/>
      <c r="BW852" s="1"/>
      <c r="BX852" s="1"/>
      <c r="BY852" s="1"/>
      <c r="BZ852" s="1"/>
      <c r="CA852" s="1"/>
      <c r="CB852" s="1"/>
      <c r="CC852" s="1"/>
      <c r="CD852" s="1"/>
      <c r="CE852" s="1"/>
      <c r="CF852" s="1"/>
      <c r="CG852" s="1"/>
      <c r="CH852" s="1"/>
      <c r="CI852" s="1"/>
      <c r="CJ852" s="1"/>
      <c r="CK852" s="1"/>
      <c r="CL852" s="1"/>
      <c r="CM852" s="1"/>
      <c r="CN852" s="1"/>
      <c r="CO852" s="1"/>
      <c r="CP852" s="1"/>
      <c r="CQ852" s="1"/>
      <c r="CR852" s="1"/>
      <c r="CS852" s="1"/>
      <c r="CT852" s="1"/>
      <c r="CU852" s="1"/>
      <c r="CV852" s="1"/>
      <c r="CW852" s="1"/>
      <c r="CX852" s="1"/>
      <c r="CY852" s="1"/>
      <c r="CZ852" s="1"/>
      <c r="DA852" s="1"/>
      <c r="DB852" s="1"/>
      <c r="DC852" s="1"/>
      <c r="DD852" s="1"/>
      <c r="DE852" s="1"/>
      <c r="DF852" s="1"/>
      <c r="DG852" s="1"/>
      <c r="DH852" s="1"/>
      <c r="DI852" s="1"/>
      <c r="DJ852" s="1"/>
      <c r="DK852" s="1"/>
      <c r="DL852" s="1"/>
      <c r="DM852" s="1"/>
      <c r="DN852" s="1"/>
      <c r="DO852" s="1"/>
      <c r="DP852" s="1"/>
      <c r="DQ852" s="1"/>
      <c r="DR852" s="1"/>
      <c r="DS852" s="1"/>
      <c r="DT852" s="1"/>
      <c r="DU852" s="1"/>
      <c r="DV852" s="1"/>
      <c r="DW852" s="1"/>
      <c r="DX852" s="1"/>
      <c r="DY852" s="1"/>
      <c r="DZ852" s="1"/>
      <c r="EA852" s="1"/>
      <c r="EB852" s="1"/>
      <c r="EC852" s="1"/>
      <c r="ED852" s="1"/>
      <c r="EE852" s="1"/>
      <c r="EF852" s="1"/>
      <c r="EG852" s="1"/>
      <c r="EH852" s="1"/>
      <c r="EI852" s="1"/>
      <c r="EJ852" s="1"/>
      <c r="EK852" s="1"/>
      <c r="EL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c r="BR853" s="1"/>
      <c r="BS853" s="1"/>
      <c r="BT853" s="1"/>
      <c r="BU853" s="1"/>
      <c r="BV853" s="1"/>
      <c r="BW853" s="1"/>
      <c r="BX853" s="1"/>
      <c r="BY853" s="1"/>
      <c r="BZ853" s="1"/>
      <c r="CA853" s="1"/>
      <c r="CB853" s="1"/>
      <c r="CC853" s="1"/>
      <c r="CD853" s="1"/>
      <c r="CE853" s="1"/>
      <c r="CF853" s="1"/>
      <c r="CG853" s="1"/>
      <c r="CH853" s="1"/>
      <c r="CI853" s="1"/>
      <c r="CJ853" s="1"/>
      <c r="CK853" s="1"/>
      <c r="CL853" s="1"/>
      <c r="CM853" s="1"/>
      <c r="CN853" s="1"/>
      <c r="CO853" s="1"/>
      <c r="CP853" s="1"/>
      <c r="CQ853" s="1"/>
      <c r="CR853" s="1"/>
      <c r="CS853" s="1"/>
      <c r="CT853" s="1"/>
      <c r="CU853" s="1"/>
      <c r="CV853" s="1"/>
      <c r="CW853" s="1"/>
      <c r="CX853" s="1"/>
      <c r="CY853" s="1"/>
      <c r="CZ853" s="1"/>
      <c r="DA853" s="1"/>
      <c r="DB853" s="1"/>
      <c r="DC853" s="1"/>
      <c r="DD853" s="1"/>
      <c r="DE853" s="1"/>
      <c r="DF853" s="1"/>
      <c r="DG853" s="1"/>
      <c r="DH853" s="1"/>
      <c r="DI853" s="1"/>
      <c r="DJ853" s="1"/>
      <c r="DK853" s="1"/>
      <c r="DL853" s="1"/>
      <c r="DM853" s="1"/>
      <c r="DN853" s="1"/>
      <c r="DO853" s="1"/>
      <c r="DP853" s="1"/>
      <c r="DQ853" s="1"/>
      <c r="DR853" s="1"/>
      <c r="DS853" s="1"/>
      <c r="DT853" s="1"/>
      <c r="DU853" s="1"/>
      <c r="DV853" s="1"/>
      <c r="DW853" s="1"/>
      <c r="DX853" s="1"/>
      <c r="DY853" s="1"/>
      <c r="DZ853" s="1"/>
      <c r="EA853" s="1"/>
      <c r="EB853" s="1"/>
      <c r="EC853" s="1"/>
      <c r="ED853" s="1"/>
      <c r="EE853" s="1"/>
      <c r="EF853" s="1"/>
      <c r="EG853" s="1"/>
      <c r="EH853" s="1"/>
      <c r="EI853" s="1"/>
      <c r="EJ853" s="1"/>
      <c r="EK853" s="1"/>
      <c r="EL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c r="BR854" s="1"/>
      <c r="BS854" s="1"/>
      <c r="BT854" s="1"/>
      <c r="BU854" s="1"/>
      <c r="BV854" s="1"/>
      <c r="BW854" s="1"/>
      <c r="BX854" s="1"/>
      <c r="BY854" s="1"/>
      <c r="BZ854" s="1"/>
      <c r="CA854" s="1"/>
      <c r="CB854" s="1"/>
      <c r="CC854" s="1"/>
      <c r="CD854" s="1"/>
      <c r="CE854" s="1"/>
      <c r="CF854" s="1"/>
      <c r="CG854" s="1"/>
      <c r="CH854" s="1"/>
      <c r="CI854" s="1"/>
      <c r="CJ854" s="1"/>
      <c r="CK854" s="1"/>
      <c r="CL854" s="1"/>
      <c r="CM854" s="1"/>
      <c r="CN854" s="1"/>
      <c r="CO854" s="1"/>
      <c r="CP854" s="1"/>
      <c r="CQ854" s="1"/>
      <c r="CR854" s="1"/>
      <c r="CS854" s="1"/>
      <c r="CT854" s="1"/>
      <c r="CU854" s="1"/>
      <c r="CV854" s="1"/>
      <c r="CW854" s="1"/>
      <c r="CX854" s="1"/>
      <c r="CY854" s="1"/>
      <c r="CZ854" s="1"/>
      <c r="DA854" s="1"/>
      <c r="DB854" s="1"/>
      <c r="DC854" s="1"/>
      <c r="DD854" s="1"/>
      <c r="DE854" s="1"/>
      <c r="DF854" s="1"/>
      <c r="DG854" s="1"/>
      <c r="DH854" s="1"/>
      <c r="DI854" s="1"/>
      <c r="DJ854" s="1"/>
      <c r="DK854" s="1"/>
      <c r="DL854" s="1"/>
      <c r="DM854" s="1"/>
      <c r="DN854" s="1"/>
      <c r="DO854" s="1"/>
      <c r="DP854" s="1"/>
      <c r="DQ854" s="1"/>
      <c r="DR854" s="1"/>
      <c r="DS854" s="1"/>
      <c r="DT854" s="1"/>
      <c r="DU854" s="1"/>
      <c r="DV854" s="1"/>
      <c r="DW854" s="1"/>
      <c r="DX854" s="1"/>
      <c r="DY854" s="1"/>
      <c r="DZ854" s="1"/>
      <c r="EA854" s="1"/>
      <c r="EB854" s="1"/>
      <c r="EC854" s="1"/>
      <c r="ED854" s="1"/>
      <c r="EE854" s="1"/>
      <c r="EF854" s="1"/>
      <c r="EG854" s="1"/>
      <c r="EH854" s="1"/>
      <c r="EI854" s="1"/>
      <c r="EJ854" s="1"/>
      <c r="EK854" s="1"/>
      <c r="EL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c r="BR855" s="1"/>
      <c r="BS855" s="1"/>
      <c r="BT855" s="1"/>
      <c r="BU855" s="1"/>
      <c r="BV855" s="1"/>
      <c r="BW855" s="1"/>
      <c r="BX855" s="1"/>
      <c r="BY855" s="1"/>
      <c r="BZ855" s="1"/>
      <c r="CA855" s="1"/>
      <c r="CB855" s="1"/>
      <c r="CC855" s="1"/>
      <c r="CD855" s="1"/>
      <c r="CE855" s="1"/>
      <c r="CF855" s="1"/>
      <c r="CG855" s="1"/>
      <c r="CH855" s="1"/>
      <c r="CI855" s="1"/>
      <c r="CJ855" s="1"/>
      <c r="CK855" s="1"/>
      <c r="CL855" s="1"/>
      <c r="CM855" s="1"/>
      <c r="CN855" s="1"/>
      <c r="CO855" s="1"/>
      <c r="CP855" s="1"/>
      <c r="CQ855" s="1"/>
      <c r="CR855" s="1"/>
      <c r="CS855" s="1"/>
      <c r="CT855" s="1"/>
      <c r="CU855" s="1"/>
      <c r="CV855" s="1"/>
      <c r="CW855" s="1"/>
      <c r="CX855" s="1"/>
      <c r="CY855" s="1"/>
      <c r="CZ855" s="1"/>
      <c r="DA855" s="1"/>
      <c r="DB855" s="1"/>
      <c r="DC855" s="1"/>
      <c r="DD855" s="1"/>
      <c r="DE855" s="1"/>
      <c r="DF855" s="1"/>
      <c r="DG855" s="1"/>
      <c r="DH855" s="1"/>
      <c r="DI855" s="1"/>
      <c r="DJ855" s="1"/>
      <c r="DK855" s="1"/>
      <c r="DL855" s="1"/>
      <c r="DM855" s="1"/>
      <c r="DN855" s="1"/>
      <c r="DO855" s="1"/>
      <c r="DP855" s="1"/>
      <c r="DQ855" s="1"/>
      <c r="DR855" s="1"/>
      <c r="DS855" s="1"/>
      <c r="DT855" s="1"/>
      <c r="DU855" s="1"/>
      <c r="DV855" s="1"/>
      <c r="DW855" s="1"/>
      <c r="DX855" s="1"/>
      <c r="DY855" s="1"/>
      <c r="DZ855" s="1"/>
      <c r="EA855" s="1"/>
      <c r="EB855" s="1"/>
      <c r="EC855" s="1"/>
      <c r="ED855" s="1"/>
      <c r="EE855" s="1"/>
      <c r="EF855" s="1"/>
      <c r="EG855" s="1"/>
      <c r="EH855" s="1"/>
      <c r="EI855" s="1"/>
      <c r="EJ855" s="1"/>
      <c r="EK855" s="1"/>
      <c r="EL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c r="BR856" s="1"/>
      <c r="BS856" s="1"/>
      <c r="BT856" s="1"/>
      <c r="BU856" s="1"/>
      <c r="BV856" s="1"/>
      <c r="BW856" s="1"/>
      <c r="BX856" s="1"/>
      <c r="BY856" s="1"/>
      <c r="BZ856" s="1"/>
      <c r="CA856" s="1"/>
      <c r="CB856" s="1"/>
      <c r="CC856" s="1"/>
      <c r="CD856" s="1"/>
      <c r="CE856" s="1"/>
      <c r="CF856" s="1"/>
      <c r="CG856" s="1"/>
      <c r="CH856" s="1"/>
      <c r="CI856" s="1"/>
      <c r="CJ856" s="1"/>
      <c r="CK856" s="1"/>
      <c r="CL856" s="1"/>
      <c r="CM856" s="1"/>
      <c r="CN856" s="1"/>
      <c r="CO856" s="1"/>
      <c r="CP856" s="1"/>
      <c r="CQ856" s="1"/>
      <c r="CR856" s="1"/>
      <c r="CS856" s="1"/>
      <c r="CT856" s="1"/>
      <c r="CU856" s="1"/>
      <c r="CV856" s="1"/>
      <c r="CW856" s="1"/>
      <c r="CX856" s="1"/>
      <c r="CY856" s="1"/>
      <c r="CZ856" s="1"/>
      <c r="DA856" s="1"/>
      <c r="DB856" s="1"/>
      <c r="DC856" s="1"/>
      <c r="DD856" s="1"/>
      <c r="DE856" s="1"/>
      <c r="DF856" s="1"/>
      <c r="DG856" s="1"/>
      <c r="DH856" s="1"/>
      <c r="DI856" s="1"/>
      <c r="DJ856" s="1"/>
      <c r="DK856" s="1"/>
      <c r="DL856" s="1"/>
      <c r="DM856" s="1"/>
      <c r="DN856" s="1"/>
      <c r="DO856" s="1"/>
      <c r="DP856" s="1"/>
      <c r="DQ856" s="1"/>
      <c r="DR856" s="1"/>
      <c r="DS856" s="1"/>
      <c r="DT856" s="1"/>
      <c r="DU856" s="1"/>
      <c r="DV856" s="1"/>
      <c r="DW856" s="1"/>
      <c r="DX856" s="1"/>
      <c r="DY856" s="1"/>
      <c r="DZ856" s="1"/>
      <c r="EA856" s="1"/>
      <c r="EB856" s="1"/>
      <c r="EC856" s="1"/>
      <c r="ED856" s="1"/>
      <c r="EE856" s="1"/>
      <c r="EF856" s="1"/>
      <c r="EG856" s="1"/>
      <c r="EH856" s="1"/>
      <c r="EI856" s="1"/>
      <c r="EJ856" s="1"/>
      <c r="EK856" s="1"/>
      <c r="EL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c r="BR857" s="1"/>
      <c r="BS857" s="1"/>
      <c r="BT857" s="1"/>
      <c r="BU857" s="1"/>
      <c r="BV857" s="1"/>
      <c r="BW857" s="1"/>
      <c r="BX857" s="1"/>
      <c r="BY857" s="1"/>
      <c r="BZ857" s="1"/>
      <c r="CA857" s="1"/>
      <c r="CB857" s="1"/>
      <c r="CC857" s="1"/>
      <c r="CD857" s="1"/>
      <c r="CE857" s="1"/>
      <c r="CF857" s="1"/>
      <c r="CG857" s="1"/>
      <c r="CH857" s="1"/>
      <c r="CI857" s="1"/>
      <c r="CJ857" s="1"/>
      <c r="CK857" s="1"/>
      <c r="CL857" s="1"/>
      <c r="CM857" s="1"/>
      <c r="CN857" s="1"/>
      <c r="CO857" s="1"/>
      <c r="CP857" s="1"/>
      <c r="CQ857" s="1"/>
      <c r="CR857" s="1"/>
      <c r="CS857" s="1"/>
      <c r="CT857" s="1"/>
      <c r="CU857" s="1"/>
      <c r="CV857" s="1"/>
      <c r="CW857" s="1"/>
      <c r="CX857" s="1"/>
      <c r="CY857" s="1"/>
      <c r="CZ857" s="1"/>
      <c r="DA857" s="1"/>
      <c r="DB857" s="1"/>
      <c r="DC857" s="1"/>
      <c r="DD857" s="1"/>
      <c r="DE857" s="1"/>
      <c r="DF857" s="1"/>
      <c r="DG857" s="1"/>
      <c r="DH857" s="1"/>
      <c r="DI857" s="1"/>
      <c r="DJ857" s="1"/>
      <c r="DK857" s="1"/>
      <c r="DL857" s="1"/>
      <c r="DM857" s="1"/>
      <c r="DN857" s="1"/>
      <c r="DO857" s="1"/>
      <c r="DP857" s="1"/>
      <c r="DQ857" s="1"/>
      <c r="DR857" s="1"/>
      <c r="DS857" s="1"/>
      <c r="DT857" s="1"/>
      <c r="DU857" s="1"/>
      <c r="DV857" s="1"/>
      <c r="DW857" s="1"/>
      <c r="DX857" s="1"/>
      <c r="DY857" s="1"/>
      <c r="DZ857" s="1"/>
      <c r="EA857" s="1"/>
      <c r="EB857" s="1"/>
      <c r="EC857" s="1"/>
      <c r="ED857" s="1"/>
      <c r="EE857" s="1"/>
      <c r="EF857" s="1"/>
      <c r="EG857" s="1"/>
      <c r="EH857" s="1"/>
      <c r="EI857" s="1"/>
      <c r="EJ857" s="1"/>
      <c r="EK857" s="1"/>
      <c r="EL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c r="BR858" s="1"/>
      <c r="BS858" s="1"/>
      <c r="BT858" s="1"/>
      <c r="BU858" s="1"/>
      <c r="BV858" s="1"/>
      <c r="BW858" s="1"/>
      <c r="BX858" s="1"/>
      <c r="BY858" s="1"/>
      <c r="BZ858" s="1"/>
      <c r="CA858" s="1"/>
      <c r="CB858" s="1"/>
      <c r="CC858" s="1"/>
      <c r="CD858" s="1"/>
      <c r="CE858" s="1"/>
      <c r="CF858" s="1"/>
      <c r="CG858" s="1"/>
      <c r="CH858" s="1"/>
      <c r="CI858" s="1"/>
      <c r="CJ858" s="1"/>
      <c r="CK858" s="1"/>
      <c r="CL858" s="1"/>
      <c r="CM858" s="1"/>
      <c r="CN858" s="1"/>
      <c r="CO858" s="1"/>
      <c r="CP858" s="1"/>
      <c r="CQ858" s="1"/>
      <c r="CR858" s="1"/>
      <c r="CS858" s="1"/>
      <c r="CT858" s="1"/>
      <c r="CU858" s="1"/>
      <c r="CV858" s="1"/>
      <c r="CW858" s="1"/>
      <c r="CX858" s="1"/>
      <c r="CY858" s="1"/>
      <c r="CZ858" s="1"/>
      <c r="DA858" s="1"/>
      <c r="DB858" s="1"/>
      <c r="DC858" s="1"/>
      <c r="DD858" s="1"/>
      <c r="DE858" s="1"/>
      <c r="DF858" s="1"/>
      <c r="DG858" s="1"/>
      <c r="DH858" s="1"/>
      <c r="DI858" s="1"/>
      <c r="DJ858" s="1"/>
      <c r="DK858" s="1"/>
      <c r="DL858" s="1"/>
      <c r="DM858" s="1"/>
      <c r="DN858" s="1"/>
      <c r="DO858" s="1"/>
      <c r="DP858" s="1"/>
      <c r="DQ858" s="1"/>
      <c r="DR858" s="1"/>
      <c r="DS858" s="1"/>
      <c r="DT858" s="1"/>
      <c r="DU858" s="1"/>
      <c r="DV858" s="1"/>
      <c r="DW858" s="1"/>
      <c r="DX858" s="1"/>
      <c r="DY858" s="1"/>
      <c r="DZ858" s="1"/>
      <c r="EA858" s="1"/>
      <c r="EB858" s="1"/>
      <c r="EC858" s="1"/>
      <c r="ED858" s="1"/>
      <c r="EE858" s="1"/>
      <c r="EF858" s="1"/>
      <c r="EG858" s="1"/>
      <c r="EH858" s="1"/>
      <c r="EI858" s="1"/>
      <c r="EJ858" s="1"/>
      <c r="EK858" s="1"/>
      <c r="EL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c r="BR859" s="1"/>
      <c r="BS859" s="1"/>
      <c r="BT859" s="1"/>
      <c r="BU859" s="1"/>
      <c r="BV859" s="1"/>
      <c r="BW859" s="1"/>
      <c r="BX859" s="1"/>
      <c r="BY859" s="1"/>
      <c r="BZ859" s="1"/>
      <c r="CA859" s="1"/>
      <c r="CB859" s="1"/>
      <c r="CC859" s="1"/>
      <c r="CD859" s="1"/>
      <c r="CE859" s="1"/>
      <c r="CF859" s="1"/>
      <c r="CG859" s="1"/>
      <c r="CH859" s="1"/>
      <c r="CI859" s="1"/>
      <c r="CJ859" s="1"/>
      <c r="CK859" s="1"/>
      <c r="CL859" s="1"/>
      <c r="CM859" s="1"/>
      <c r="CN859" s="1"/>
      <c r="CO859" s="1"/>
      <c r="CP859" s="1"/>
      <c r="CQ859" s="1"/>
      <c r="CR859" s="1"/>
      <c r="CS859" s="1"/>
      <c r="CT859" s="1"/>
      <c r="CU859" s="1"/>
      <c r="CV859" s="1"/>
      <c r="CW859" s="1"/>
      <c r="CX859" s="1"/>
      <c r="CY859" s="1"/>
      <c r="CZ859" s="1"/>
      <c r="DA859" s="1"/>
      <c r="DB859" s="1"/>
      <c r="DC859" s="1"/>
      <c r="DD859" s="1"/>
      <c r="DE859" s="1"/>
      <c r="DF859" s="1"/>
      <c r="DG859" s="1"/>
      <c r="DH859" s="1"/>
      <c r="DI859" s="1"/>
      <c r="DJ859" s="1"/>
      <c r="DK859" s="1"/>
      <c r="DL859" s="1"/>
      <c r="DM859" s="1"/>
      <c r="DN859" s="1"/>
      <c r="DO859" s="1"/>
      <c r="DP859" s="1"/>
      <c r="DQ859" s="1"/>
      <c r="DR859" s="1"/>
      <c r="DS859" s="1"/>
      <c r="DT859" s="1"/>
      <c r="DU859" s="1"/>
      <c r="DV859" s="1"/>
      <c r="DW859" s="1"/>
      <c r="DX859" s="1"/>
      <c r="DY859" s="1"/>
      <c r="DZ859" s="1"/>
      <c r="EA859" s="1"/>
      <c r="EB859" s="1"/>
      <c r="EC859" s="1"/>
      <c r="ED859" s="1"/>
      <c r="EE859" s="1"/>
      <c r="EF859" s="1"/>
      <c r="EG859" s="1"/>
      <c r="EH859" s="1"/>
      <c r="EI859" s="1"/>
      <c r="EJ859" s="1"/>
      <c r="EK859" s="1"/>
      <c r="EL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c r="BR860" s="1"/>
      <c r="BS860" s="1"/>
      <c r="BT860" s="1"/>
      <c r="BU860" s="1"/>
      <c r="BV860" s="1"/>
      <c r="BW860" s="1"/>
      <c r="BX860" s="1"/>
      <c r="BY860" s="1"/>
      <c r="BZ860" s="1"/>
      <c r="CA860" s="1"/>
      <c r="CB860" s="1"/>
      <c r="CC860" s="1"/>
      <c r="CD860" s="1"/>
      <c r="CE860" s="1"/>
      <c r="CF860" s="1"/>
      <c r="CG860" s="1"/>
      <c r="CH860" s="1"/>
      <c r="CI860" s="1"/>
      <c r="CJ860" s="1"/>
      <c r="CK860" s="1"/>
      <c r="CL860" s="1"/>
      <c r="CM860" s="1"/>
      <c r="CN860" s="1"/>
      <c r="CO860" s="1"/>
      <c r="CP860" s="1"/>
      <c r="CQ860" s="1"/>
      <c r="CR860" s="1"/>
      <c r="CS860" s="1"/>
      <c r="CT860" s="1"/>
      <c r="CU860" s="1"/>
      <c r="CV860" s="1"/>
      <c r="CW860" s="1"/>
      <c r="CX860" s="1"/>
      <c r="CY860" s="1"/>
      <c r="CZ860" s="1"/>
      <c r="DA860" s="1"/>
      <c r="DB860" s="1"/>
      <c r="DC860" s="1"/>
      <c r="DD860" s="1"/>
      <c r="DE860" s="1"/>
      <c r="DF860" s="1"/>
      <c r="DG860" s="1"/>
      <c r="DH860" s="1"/>
      <c r="DI860" s="1"/>
      <c r="DJ860" s="1"/>
      <c r="DK860" s="1"/>
      <c r="DL860" s="1"/>
      <c r="DM860" s="1"/>
      <c r="DN860" s="1"/>
      <c r="DO860" s="1"/>
      <c r="DP860" s="1"/>
      <c r="DQ860" s="1"/>
      <c r="DR860" s="1"/>
      <c r="DS860" s="1"/>
      <c r="DT860" s="1"/>
      <c r="DU860" s="1"/>
      <c r="DV860" s="1"/>
      <c r="DW860" s="1"/>
      <c r="DX860" s="1"/>
      <c r="DY860" s="1"/>
      <c r="DZ860" s="1"/>
      <c r="EA860" s="1"/>
      <c r="EB860" s="1"/>
      <c r="EC860" s="1"/>
      <c r="ED860" s="1"/>
      <c r="EE860" s="1"/>
      <c r="EF860" s="1"/>
      <c r="EG860" s="1"/>
      <c r="EH860" s="1"/>
      <c r="EI860" s="1"/>
      <c r="EJ860" s="1"/>
      <c r="EK860" s="1"/>
      <c r="EL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c r="BR861" s="1"/>
      <c r="BS861" s="1"/>
      <c r="BT861" s="1"/>
      <c r="BU861" s="1"/>
      <c r="BV861" s="1"/>
      <c r="BW861" s="1"/>
      <c r="BX861" s="1"/>
      <c r="BY861" s="1"/>
      <c r="BZ861" s="1"/>
      <c r="CA861" s="1"/>
      <c r="CB861" s="1"/>
      <c r="CC861" s="1"/>
      <c r="CD861" s="1"/>
      <c r="CE861" s="1"/>
      <c r="CF861" s="1"/>
      <c r="CG861" s="1"/>
      <c r="CH861" s="1"/>
      <c r="CI861" s="1"/>
      <c r="CJ861" s="1"/>
      <c r="CK861" s="1"/>
      <c r="CL861" s="1"/>
      <c r="CM861" s="1"/>
      <c r="CN861" s="1"/>
      <c r="CO861" s="1"/>
      <c r="CP861" s="1"/>
      <c r="CQ861" s="1"/>
      <c r="CR861" s="1"/>
      <c r="CS861" s="1"/>
      <c r="CT861" s="1"/>
      <c r="CU861" s="1"/>
      <c r="CV861" s="1"/>
      <c r="CW861" s="1"/>
      <c r="CX861" s="1"/>
      <c r="CY861" s="1"/>
      <c r="CZ861" s="1"/>
      <c r="DA861" s="1"/>
      <c r="DB861" s="1"/>
      <c r="DC861" s="1"/>
      <c r="DD861" s="1"/>
      <c r="DE861" s="1"/>
      <c r="DF861" s="1"/>
      <c r="DG861" s="1"/>
      <c r="DH861" s="1"/>
      <c r="DI861" s="1"/>
      <c r="DJ861" s="1"/>
      <c r="DK861" s="1"/>
      <c r="DL861" s="1"/>
      <c r="DM861" s="1"/>
      <c r="DN861" s="1"/>
      <c r="DO861" s="1"/>
      <c r="DP861" s="1"/>
      <c r="DQ861" s="1"/>
      <c r="DR861" s="1"/>
      <c r="DS861" s="1"/>
      <c r="DT861" s="1"/>
      <c r="DU861" s="1"/>
      <c r="DV861" s="1"/>
      <c r="DW861" s="1"/>
      <c r="DX861" s="1"/>
      <c r="DY861" s="1"/>
      <c r="DZ861" s="1"/>
      <c r="EA861" s="1"/>
      <c r="EB861" s="1"/>
      <c r="EC861" s="1"/>
      <c r="ED861" s="1"/>
      <c r="EE861" s="1"/>
      <c r="EF861" s="1"/>
      <c r="EG861" s="1"/>
      <c r="EH861" s="1"/>
      <c r="EI861" s="1"/>
      <c r="EJ861" s="1"/>
      <c r="EK861" s="1"/>
      <c r="EL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c r="BR862" s="1"/>
      <c r="BS862" s="1"/>
      <c r="BT862" s="1"/>
      <c r="BU862" s="1"/>
      <c r="BV862" s="1"/>
      <c r="BW862" s="1"/>
      <c r="BX862" s="1"/>
      <c r="BY862" s="1"/>
      <c r="BZ862" s="1"/>
      <c r="CA862" s="1"/>
      <c r="CB862" s="1"/>
      <c r="CC862" s="1"/>
      <c r="CD862" s="1"/>
      <c r="CE862" s="1"/>
      <c r="CF862" s="1"/>
      <c r="CG862" s="1"/>
      <c r="CH862" s="1"/>
      <c r="CI862" s="1"/>
      <c r="CJ862" s="1"/>
      <c r="CK862" s="1"/>
      <c r="CL862" s="1"/>
      <c r="CM862" s="1"/>
      <c r="CN862" s="1"/>
      <c r="CO862" s="1"/>
      <c r="CP862" s="1"/>
      <c r="CQ862" s="1"/>
      <c r="CR862" s="1"/>
      <c r="CS862" s="1"/>
      <c r="CT862" s="1"/>
      <c r="CU862" s="1"/>
      <c r="CV862" s="1"/>
      <c r="CW862" s="1"/>
      <c r="CX862" s="1"/>
      <c r="CY862" s="1"/>
      <c r="CZ862" s="1"/>
      <c r="DA862" s="1"/>
      <c r="DB862" s="1"/>
      <c r="DC862" s="1"/>
      <c r="DD862" s="1"/>
      <c r="DE862" s="1"/>
      <c r="DF862" s="1"/>
      <c r="DG862" s="1"/>
      <c r="DH862" s="1"/>
      <c r="DI862" s="1"/>
      <c r="DJ862" s="1"/>
      <c r="DK862" s="1"/>
      <c r="DL862" s="1"/>
      <c r="DM862" s="1"/>
      <c r="DN862" s="1"/>
      <c r="DO862" s="1"/>
      <c r="DP862" s="1"/>
      <c r="DQ862" s="1"/>
      <c r="DR862" s="1"/>
      <c r="DS862" s="1"/>
      <c r="DT862" s="1"/>
      <c r="DU862" s="1"/>
      <c r="DV862" s="1"/>
      <c r="DW862" s="1"/>
      <c r="DX862" s="1"/>
      <c r="DY862" s="1"/>
      <c r="DZ862" s="1"/>
      <c r="EA862" s="1"/>
      <c r="EB862" s="1"/>
      <c r="EC862" s="1"/>
      <c r="ED862" s="1"/>
      <c r="EE862" s="1"/>
      <c r="EF862" s="1"/>
      <c r="EG862" s="1"/>
      <c r="EH862" s="1"/>
      <c r="EI862" s="1"/>
      <c r="EJ862" s="1"/>
      <c r="EK862" s="1"/>
      <c r="EL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c r="BR863" s="1"/>
      <c r="BS863" s="1"/>
      <c r="BT863" s="1"/>
      <c r="BU863" s="1"/>
      <c r="BV863" s="1"/>
      <c r="BW863" s="1"/>
      <c r="BX863" s="1"/>
      <c r="BY863" s="1"/>
      <c r="BZ863" s="1"/>
      <c r="CA863" s="1"/>
      <c r="CB863" s="1"/>
      <c r="CC863" s="1"/>
      <c r="CD863" s="1"/>
      <c r="CE863" s="1"/>
      <c r="CF863" s="1"/>
      <c r="CG863" s="1"/>
      <c r="CH863" s="1"/>
      <c r="CI863" s="1"/>
      <c r="CJ863" s="1"/>
      <c r="CK863" s="1"/>
      <c r="CL863" s="1"/>
      <c r="CM863" s="1"/>
      <c r="CN863" s="1"/>
      <c r="CO863" s="1"/>
      <c r="CP863" s="1"/>
      <c r="CQ863" s="1"/>
      <c r="CR863" s="1"/>
      <c r="CS863" s="1"/>
      <c r="CT863" s="1"/>
      <c r="CU863" s="1"/>
      <c r="CV863" s="1"/>
      <c r="CW863" s="1"/>
      <c r="CX863" s="1"/>
      <c r="CY863" s="1"/>
      <c r="CZ863" s="1"/>
      <c r="DA863" s="1"/>
      <c r="DB863" s="1"/>
      <c r="DC863" s="1"/>
      <c r="DD863" s="1"/>
      <c r="DE863" s="1"/>
      <c r="DF863" s="1"/>
      <c r="DG863" s="1"/>
      <c r="DH863" s="1"/>
      <c r="DI863" s="1"/>
      <c r="DJ863" s="1"/>
      <c r="DK863" s="1"/>
      <c r="DL863" s="1"/>
      <c r="DM863" s="1"/>
      <c r="DN863" s="1"/>
      <c r="DO863" s="1"/>
      <c r="DP863" s="1"/>
      <c r="DQ863" s="1"/>
      <c r="DR863" s="1"/>
      <c r="DS863" s="1"/>
      <c r="DT863" s="1"/>
      <c r="DU863" s="1"/>
      <c r="DV863" s="1"/>
      <c r="DW863" s="1"/>
      <c r="DX863" s="1"/>
      <c r="DY863" s="1"/>
      <c r="DZ863" s="1"/>
      <c r="EA863" s="1"/>
      <c r="EB863" s="1"/>
      <c r="EC863" s="1"/>
      <c r="ED863" s="1"/>
      <c r="EE863" s="1"/>
      <c r="EF863" s="1"/>
      <c r="EG863" s="1"/>
      <c r="EH863" s="1"/>
      <c r="EI863" s="1"/>
      <c r="EJ863" s="1"/>
      <c r="EK863" s="1"/>
      <c r="EL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c r="BR864" s="1"/>
      <c r="BS864" s="1"/>
      <c r="BT864" s="1"/>
      <c r="BU864" s="1"/>
      <c r="BV864" s="1"/>
      <c r="BW864" s="1"/>
      <c r="BX864" s="1"/>
      <c r="BY864" s="1"/>
      <c r="BZ864" s="1"/>
      <c r="CA864" s="1"/>
      <c r="CB864" s="1"/>
      <c r="CC864" s="1"/>
      <c r="CD864" s="1"/>
      <c r="CE864" s="1"/>
      <c r="CF864" s="1"/>
      <c r="CG864" s="1"/>
      <c r="CH864" s="1"/>
      <c r="CI864" s="1"/>
      <c r="CJ864" s="1"/>
      <c r="CK864" s="1"/>
      <c r="CL864" s="1"/>
      <c r="CM864" s="1"/>
      <c r="CN864" s="1"/>
      <c r="CO864" s="1"/>
      <c r="CP864" s="1"/>
      <c r="CQ864" s="1"/>
      <c r="CR864" s="1"/>
      <c r="CS864" s="1"/>
      <c r="CT864" s="1"/>
      <c r="CU864" s="1"/>
      <c r="CV864" s="1"/>
      <c r="CW864" s="1"/>
      <c r="CX864" s="1"/>
      <c r="CY864" s="1"/>
      <c r="CZ864" s="1"/>
      <c r="DA864" s="1"/>
      <c r="DB864" s="1"/>
      <c r="DC864" s="1"/>
      <c r="DD864" s="1"/>
      <c r="DE864" s="1"/>
      <c r="DF864" s="1"/>
      <c r="DG864" s="1"/>
      <c r="DH864" s="1"/>
      <c r="DI864" s="1"/>
      <c r="DJ864" s="1"/>
      <c r="DK864" s="1"/>
      <c r="DL864" s="1"/>
      <c r="DM864" s="1"/>
      <c r="DN864" s="1"/>
      <c r="DO864" s="1"/>
      <c r="DP864" s="1"/>
      <c r="DQ864" s="1"/>
      <c r="DR864" s="1"/>
      <c r="DS864" s="1"/>
      <c r="DT864" s="1"/>
      <c r="DU864" s="1"/>
      <c r="DV864" s="1"/>
      <c r="DW864" s="1"/>
      <c r="DX864" s="1"/>
      <c r="DY864" s="1"/>
      <c r="DZ864" s="1"/>
      <c r="EA864" s="1"/>
      <c r="EB864" s="1"/>
      <c r="EC864" s="1"/>
      <c r="ED864" s="1"/>
      <c r="EE864" s="1"/>
      <c r="EF864" s="1"/>
      <c r="EG864" s="1"/>
      <c r="EH864" s="1"/>
      <c r="EI864" s="1"/>
      <c r="EJ864" s="1"/>
      <c r="EK864" s="1"/>
      <c r="EL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c r="BR865" s="1"/>
      <c r="BS865" s="1"/>
      <c r="BT865" s="1"/>
      <c r="BU865" s="1"/>
      <c r="BV865" s="1"/>
      <c r="BW865" s="1"/>
      <c r="BX865" s="1"/>
      <c r="BY865" s="1"/>
      <c r="BZ865" s="1"/>
      <c r="CA865" s="1"/>
      <c r="CB865" s="1"/>
      <c r="CC865" s="1"/>
      <c r="CD865" s="1"/>
      <c r="CE865" s="1"/>
      <c r="CF865" s="1"/>
      <c r="CG865" s="1"/>
      <c r="CH865" s="1"/>
      <c r="CI865" s="1"/>
      <c r="CJ865" s="1"/>
      <c r="CK865" s="1"/>
      <c r="CL865" s="1"/>
      <c r="CM865" s="1"/>
      <c r="CN865" s="1"/>
      <c r="CO865" s="1"/>
      <c r="CP865" s="1"/>
      <c r="CQ865" s="1"/>
      <c r="CR865" s="1"/>
      <c r="CS865" s="1"/>
      <c r="CT865" s="1"/>
      <c r="CU865" s="1"/>
      <c r="CV865" s="1"/>
      <c r="CW865" s="1"/>
      <c r="CX865" s="1"/>
      <c r="CY865" s="1"/>
      <c r="CZ865" s="1"/>
      <c r="DA865" s="1"/>
      <c r="DB865" s="1"/>
      <c r="DC865" s="1"/>
      <c r="DD865" s="1"/>
      <c r="DE865" s="1"/>
      <c r="DF865" s="1"/>
      <c r="DG865" s="1"/>
      <c r="DH865" s="1"/>
      <c r="DI865" s="1"/>
      <c r="DJ865" s="1"/>
      <c r="DK865" s="1"/>
      <c r="DL865" s="1"/>
      <c r="DM865" s="1"/>
      <c r="DN865" s="1"/>
      <c r="DO865" s="1"/>
      <c r="DP865" s="1"/>
      <c r="DQ865" s="1"/>
      <c r="DR865" s="1"/>
      <c r="DS865" s="1"/>
      <c r="DT865" s="1"/>
      <c r="DU865" s="1"/>
      <c r="DV865" s="1"/>
      <c r="DW865" s="1"/>
      <c r="DX865" s="1"/>
      <c r="DY865" s="1"/>
      <c r="DZ865" s="1"/>
      <c r="EA865" s="1"/>
      <c r="EB865" s="1"/>
      <c r="EC865" s="1"/>
      <c r="ED865" s="1"/>
      <c r="EE865" s="1"/>
      <c r="EF865" s="1"/>
      <c r="EG865" s="1"/>
      <c r="EH865" s="1"/>
      <c r="EI865" s="1"/>
      <c r="EJ865" s="1"/>
      <c r="EK865" s="1"/>
      <c r="EL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c r="BR866" s="1"/>
      <c r="BS866" s="1"/>
      <c r="BT866" s="1"/>
      <c r="BU866" s="1"/>
      <c r="BV866" s="1"/>
      <c r="BW866" s="1"/>
      <c r="BX866" s="1"/>
      <c r="BY866" s="1"/>
      <c r="BZ866" s="1"/>
      <c r="CA866" s="1"/>
      <c r="CB866" s="1"/>
      <c r="CC866" s="1"/>
      <c r="CD866" s="1"/>
      <c r="CE866" s="1"/>
      <c r="CF866" s="1"/>
      <c r="CG866" s="1"/>
      <c r="CH866" s="1"/>
      <c r="CI866" s="1"/>
      <c r="CJ866" s="1"/>
      <c r="CK866" s="1"/>
      <c r="CL866" s="1"/>
      <c r="CM866" s="1"/>
      <c r="CN866" s="1"/>
      <c r="CO866" s="1"/>
      <c r="CP866" s="1"/>
      <c r="CQ866" s="1"/>
      <c r="CR866" s="1"/>
      <c r="CS866" s="1"/>
      <c r="CT866" s="1"/>
      <c r="CU866" s="1"/>
      <c r="CV866" s="1"/>
      <c r="CW866" s="1"/>
      <c r="CX866" s="1"/>
      <c r="CY866" s="1"/>
      <c r="CZ866" s="1"/>
      <c r="DA866" s="1"/>
      <c r="DB866" s="1"/>
      <c r="DC866" s="1"/>
      <c r="DD866" s="1"/>
      <c r="DE866" s="1"/>
      <c r="DF866" s="1"/>
      <c r="DG866" s="1"/>
      <c r="DH866" s="1"/>
      <c r="DI866" s="1"/>
      <c r="DJ866" s="1"/>
      <c r="DK866" s="1"/>
      <c r="DL866" s="1"/>
      <c r="DM866" s="1"/>
      <c r="DN866" s="1"/>
      <c r="DO866" s="1"/>
      <c r="DP866" s="1"/>
      <c r="DQ866" s="1"/>
      <c r="DR866" s="1"/>
      <c r="DS866" s="1"/>
      <c r="DT866" s="1"/>
      <c r="DU866" s="1"/>
      <c r="DV866" s="1"/>
      <c r="DW866" s="1"/>
      <c r="DX866" s="1"/>
      <c r="DY866" s="1"/>
      <c r="DZ866" s="1"/>
      <c r="EA866" s="1"/>
      <c r="EB866" s="1"/>
      <c r="EC866" s="1"/>
      <c r="ED866" s="1"/>
      <c r="EE866" s="1"/>
      <c r="EF866" s="1"/>
      <c r="EG866" s="1"/>
      <c r="EH866" s="1"/>
      <c r="EI866" s="1"/>
      <c r="EJ866" s="1"/>
      <c r="EK866" s="1"/>
      <c r="EL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c r="BR867" s="1"/>
      <c r="BS867" s="1"/>
      <c r="BT867" s="1"/>
      <c r="BU867" s="1"/>
      <c r="BV867" s="1"/>
      <c r="BW867" s="1"/>
      <c r="BX867" s="1"/>
      <c r="BY867" s="1"/>
      <c r="BZ867" s="1"/>
      <c r="CA867" s="1"/>
      <c r="CB867" s="1"/>
      <c r="CC867" s="1"/>
      <c r="CD867" s="1"/>
      <c r="CE867" s="1"/>
      <c r="CF867" s="1"/>
      <c r="CG867" s="1"/>
      <c r="CH867" s="1"/>
      <c r="CI867" s="1"/>
      <c r="CJ867" s="1"/>
      <c r="CK867" s="1"/>
      <c r="CL867" s="1"/>
      <c r="CM867" s="1"/>
      <c r="CN867" s="1"/>
      <c r="CO867" s="1"/>
      <c r="CP867" s="1"/>
      <c r="CQ867" s="1"/>
      <c r="CR867" s="1"/>
      <c r="CS867" s="1"/>
      <c r="CT867" s="1"/>
      <c r="CU867" s="1"/>
      <c r="CV867" s="1"/>
      <c r="CW867" s="1"/>
      <c r="CX867" s="1"/>
      <c r="CY867" s="1"/>
      <c r="CZ867" s="1"/>
      <c r="DA867" s="1"/>
      <c r="DB867" s="1"/>
      <c r="DC867" s="1"/>
      <c r="DD867" s="1"/>
      <c r="DE867" s="1"/>
      <c r="DF867" s="1"/>
      <c r="DG867" s="1"/>
      <c r="DH867" s="1"/>
      <c r="DI867" s="1"/>
      <c r="DJ867" s="1"/>
      <c r="DK867" s="1"/>
      <c r="DL867" s="1"/>
      <c r="DM867" s="1"/>
      <c r="DN867" s="1"/>
      <c r="DO867" s="1"/>
      <c r="DP867" s="1"/>
      <c r="DQ867" s="1"/>
      <c r="DR867" s="1"/>
      <c r="DS867" s="1"/>
      <c r="DT867" s="1"/>
      <c r="DU867" s="1"/>
      <c r="DV867" s="1"/>
      <c r="DW867" s="1"/>
      <c r="DX867" s="1"/>
      <c r="DY867" s="1"/>
      <c r="DZ867" s="1"/>
      <c r="EA867" s="1"/>
      <c r="EB867" s="1"/>
      <c r="EC867" s="1"/>
      <c r="ED867" s="1"/>
      <c r="EE867" s="1"/>
      <c r="EF867" s="1"/>
      <c r="EG867" s="1"/>
      <c r="EH867" s="1"/>
      <c r="EI867" s="1"/>
      <c r="EJ867" s="1"/>
      <c r="EK867" s="1"/>
      <c r="EL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c r="BR868" s="1"/>
      <c r="BS868" s="1"/>
      <c r="BT868" s="1"/>
      <c r="BU868" s="1"/>
      <c r="BV868" s="1"/>
      <c r="BW868" s="1"/>
      <c r="BX868" s="1"/>
      <c r="BY868" s="1"/>
      <c r="BZ868" s="1"/>
      <c r="CA868" s="1"/>
      <c r="CB868" s="1"/>
      <c r="CC868" s="1"/>
      <c r="CD868" s="1"/>
      <c r="CE868" s="1"/>
      <c r="CF868" s="1"/>
      <c r="CG868" s="1"/>
      <c r="CH868" s="1"/>
      <c r="CI868" s="1"/>
      <c r="CJ868" s="1"/>
      <c r="CK868" s="1"/>
      <c r="CL868" s="1"/>
      <c r="CM868" s="1"/>
      <c r="CN868" s="1"/>
      <c r="CO868" s="1"/>
      <c r="CP868" s="1"/>
      <c r="CQ868" s="1"/>
      <c r="CR868" s="1"/>
      <c r="CS868" s="1"/>
      <c r="CT868" s="1"/>
      <c r="CU868" s="1"/>
      <c r="CV868" s="1"/>
      <c r="CW868" s="1"/>
      <c r="CX868" s="1"/>
      <c r="CY868" s="1"/>
      <c r="CZ868" s="1"/>
      <c r="DA868" s="1"/>
      <c r="DB868" s="1"/>
      <c r="DC868" s="1"/>
      <c r="DD868" s="1"/>
      <c r="DE868" s="1"/>
      <c r="DF868" s="1"/>
      <c r="DG868" s="1"/>
      <c r="DH868" s="1"/>
      <c r="DI868" s="1"/>
      <c r="DJ868" s="1"/>
      <c r="DK868" s="1"/>
      <c r="DL868" s="1"/>
      <c r="DM868" s="1"/>
      <c r="DN868" s="1"/>
      <c r="DO868" s="1"/>
      <c r="DP868" s="1"/>
      <c r="DQ868" s="1"/>
      <c r="DR868" s="1"/>
      <c r="DS868" s="1"/>
      <c r="DT868" s="1"/>
      <c r="DU868" s="1"/>
      <c r="DV868" s="1"/>
      <c r="DW868" s="1"/>
      <c r="DX868" s="1"/>
      <c r="DY868" s="1"/>
      <c r="DZ868" s="1"/>
      <c r="EA868" s="1"/>
      <c r="EB868" s="1"/>
      <c r="EC868" s="1"/>
      <c r="ED868" s="1"/>
      <c r="EE868" s="1"/>
      <c r="EF868" s="1"/>
      <c r="EG868" s="1"/>
      <c r="EH868" s="1"/>
      <c r="EI868" s="1"/>
      <c r="EJ868" s="1"/>
      <c r="EK868" s="1"/>
      <c r="EL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c r="BR869" s="1"/>
      <c r="BS869" s="1"/>
      <c r="BT869" s="1"/>
      <c r="BU869" s="1"/>
      <c r="BV869" s="1"/>
      <c r="BW869" s="1"/>
      <c r="BX869" s="1"/>
      <c r="BY869" s="1"/>
      <c r="BZ869" s="1"/>
      <c r="CA869" s="1"/>
      <c r="CB869" s="1"/>
      <c r="CC869" s="1"/>
      <c r="CD869" s="1"/>
      <c r="CE869" s="1"/>
      <c r="CF869" s="1"/>
      <c r="CG869" s="1"/>
      <c r="CH869" s="1"/>
      <c r="CI869" s="1"/>
      <c r="CJ869" s="1"/>
      <c r="CK869" s="1"/>
      <c r="CL869" s="1"/>
      <c r="CM869" s="1"/>
      <c r="CN869" s="1"/>
      <c r="CO869" s="1"/>
      <c r="CP869" s="1"/>
      <c r="CQ869" s="1"/>
      <c r="CR869" s="1"/>
      <c r="CS869" s="1"/>
      <c r="CT869" s="1"/>
      <c r="CU869" s="1"/>
      <c r="CV869" s="1"/>
      <c r="CW869" s="1"/>
      <c r="CX869" s="1"/>
      <c r="CY869" s="1"/>
      <c r="CZ869" s="1"/>
      <c r="DA869" s="1"/>
      <c r="DB869" s="1"/>
      <c r="DC869" s="1"/>
      <c r="DD869" s="1"/>
      <c r="DE869" s="1"/>
      <c r="DF869" s="1"/>
      <c r="DG869" s="1"/>
      <c r="DH869" s="1"/>
      <c r="DI869" s="1"/>
      <c r="DJ869" s="1"/>
      <c r="DK869" s="1"/>
      <c r="DL869" s="1"/>
      <c r="DM869" s="1"/>
      <c r="DN869" s="1"/>
      <c r="DO869" s="1"/>
      <c r="DP869" s="1"/>
      <c r="DQ869" s="1"/>
      <c r="DR869" s="1"/>
      <c r="DS869" s="1"/>
      <c r="DT869" s="1"/>
      <c r="DU869" s="1"/>
      <c r="DV869" s="1"/>
      <c r="DW869" s="1"/>
      <c r="DX869" s="1"/>
      <c r="DY869" s="1"/>
      <c r="DZ869" s="1"/>
      <c r="EA869" s="1"/>
      <c r="EB869" s="1"/>
      <c r="EC869" s="1"/>
      <c r="ED869" s="1"/>
      <c r="EE869" s="1"/>
      <c r="EF869" s="1"/>
      <c r="EG869" s="1"/>
      <c r="EH869" s="1"/>
      <c r="EI869" s="1"/>
      <c r="EJ869" s="1"/>
      <c r="EK869" s="1"/>
      <c r="EL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c r="BR870" s="1"/>
      <c r="BS870" s="1"/>
      <c r="BT870" s="1"/>
      <c r="BU870" s="1"/>
      <c r="BV870" s="1"/>
      <c r="BW870" s="1"/>
      <c r="BX870" s="1"/>
      <c r="BY870" s="1"/>
      <c r="BZ870" s="1"/>
      <c r="CA870" s="1"/>
      <c r="CB870" s="1"/>
      <c r="CC870" s="1"/>
      <c r="CD870" s="1"/>
      <c r="CE870" s="1"/>
      <c r="CF870" s="1"/>
      <c r="CG870" s="1"/>
      <c r="CH870" s="1"/>
      <c r="CI870" s="1"/>
      <c r="CJ870" s="1"/>
      <c r="CK870" s="1"/>
      <c r="CL870" s="1"/>
      <c r="CM870" s="1"/>
      <c r="CN870" s="1"/>
      <c r="CO870" s="1"/>
      <c r="CP870" s="1"/>
      <c r="CQ870" s="1"/>
      <c r="CR870" s="1"/>
      <c r="CS870" s="1"/>
      <c r="CT870" s="1"/>
      <c r="CU870" s="1"/>
      <c r="CV870" s="1"/>
      <c r="CW870" s="1"/>
      <c r="CX870" s="1"/>
      <c r="CY870" s="1"/>
      <c r="CZ870" s="1"/>
      <c r="DA870" s="1"/>
      <c r="DB870" s="1"/>
      <c r="DC870" s="1"/>
      <c r="DD870" s="1"/>
      <c r="DE870" s="1"/>
      <c r="DF870" s="1"/>
      <c r="DG870" s="1"/>
      <c r="DH870" s="1"/>
      <c r="DI870" s="1"/>
      <c r="DJ870" s="1"/>
      <c r="DK870" s="1"/>
      <c r="DL870" s="1"/>
      <c r="DM870" s="1"/>
      <c r="DN870" s="1"/>
      <c r="DO870" s="1"/>
      <c r="DP870" s="1"/>
      <c r="DQ870" s="1"/>
      <c r="DR870" s="1"/>
      <c r="DS870" s="1"/>
      <c r="DT870" s="1"/>
      <c r="DU870" s="1"/>
      <c r="DV870" s="1"/>
      <c r="DW870" s="1"/>
      <c r="DX870" s="1"/>
      <c r="DY870" s="1"/>
      <c r="DZ870" s="1"/>
      <c r="EA870" s="1"/>
      <c r="EB870" s="1"/>
      <c r="EC870" s="1"/>
      <c r="ED870" s="1"/>
      <c r="EE870" s="1"/>
      <c r="EF870" s="1"/>
      <c r="EG870" s="1"/>
      <c r="EH870" s="1"/>
      <c r="EI870" s="1"/>
      <c r="EJ870" s="1"/>
      <c r="EK870" s="1"/>
      <c r="EL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c r="BR871" s="1"/>
      <c r="BS871" s="1"/>
      <c r="BT871" s="1"/>
      <c r="BU871" s="1"/>
      <c r="BV871" s="1"/>
      <c r="BW871" s="1"/>
      <c r="BX871" s="1"/>
      <c r="BY871" s="1"/>
      <c r="BZ871" s="1"/>
      <c r="CA871" s="1"/>
      <c r="CB871" s="1"/>
      <c r="CC871" s="1"/>
      <c r="CD871" s="1"/>
      <c r="CE871" s="1"/>
      <c r="CF871" s="1"/>
      <c r="CG871" s="1"/>
      <c r="CH871" s="1"/>
      <c r="CI871" s="1"/>
      <c r="CJ871" s="1"/>
      <c r="CK871" s="1"/>
      <c r="CL871" s="1"/>
      <c r="CM871" s="1"/>
      <c r="CN871" s="1"/>
      <c r="CO871" s="1"/>
      <c r="CP871" s="1"/>
      <c r="CQ871" s="1"/>
      <c r="CR871" s="1"/>
      <c r="CS871" s="1"/>
      <c r="CT871" s="1"/>
      <c r="CU871" s="1"/>
      <c r="CV871" s="1"/>
      <c r="CW871" s="1"/>
      <c r="CX871" s="1"/>
      <c r="CY871" s="1"/>
      <c r="CZ871" s="1"/>
      <c r="DA871" s="1"/>
      <c r="DB871" s="1"/>
      <c r="DC871" s="1"/>
      <c r="DD871" s="1"/>
      <c r="DE871" s="1"/>
      <c r="DF871" s="1"/>
      <c r="DG871" s="1"/>
      <c r="DH871" s="1"/>
      <c r="DI871" s="1"/>
      <c r="DJ871" s="1"/>
      <c r="DK871" s="1"/>
      <c r="DL871" s="1"/>
      <c r="DM871" s="1"/>
      <c r="DN871" s="1"/>
      <c r="DO871" s="1"/>
      <c r="DP871" s="1"/>
      <c r="DQ871" s="1"/>
      <c r="DR871" s="1"/>
      <c r="DS871" s="1"/>
      <c r="DT871" s="1"/>
      <c r="DU871" s="1"/>
      <c r="DV871" s="1"/>
      <c r="DW871" s="1"/>
      <c r="DX871" s="1"/>
      <c r="DY871" s="1"/>
      <c r="DZ871" s="1"/>
      <c r="EA871" s="1"/>
      <c r="EB871" s="1"/>
      <c r="EC871" s="1"/>
      <c r="ED871" s="1"/>
      <c r="EE871" s="1"/>
      <c r="EF871" s="1"/>
      <c r="EG871" s="1"/>
      <c r="EH871" s="1"/>
      <c r="EI871" s="1"/>
      <c r="EJ871" s="1"/>
      <c r="EK871" s="1"/>
      <c r="EL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c r="BR872" s="1"/>
      <c r="BS872" s="1"/>
      <c r="BT872" s="1"/>
      <c r="BU872" s="1"/>
      <c r="BV872" s="1"/>
      <c r="BW872" s="1"/>
      <c r="BX872" s="1"/>
      <c r="BY872" s="1"/>
      <c r="BZ872" s="1"/>
      <c r="CA872" s="1"/>
      <c r="CB872" s="1"/>
      <c r="CC872" s="1"/>
      <c r="CD872" s="1"/>
      <c r="CE872" s="1"/>
      <c r="CF872" s="1"/>
      <c r="CG872" s="1"/>
      <c r="CH872" s="1"/>
      <c r="CI872" s="1"/>
      <c r="CJ872" s="1"/>
      <c r="CK872" s="1"/>
      <c r="CL872" s="1"/>
      <c r="CM872" s="1"/>
      <c r="CN872" s="1"/>
      <c r="CO872" s="1"/>
      <c r="CP872" s="1"/>
      <c r="CQ872" s="1"/>
      <c r="CR872" s="1"/>
      <c r="CS872" s="1"/>
      <c r="CT872" s="1"/>
      <c r="CU872" s="1"/>
      <c r="CV872" s="1"/>
      <c r="CW872" s="1"/>
      <c r="CX872" s="1"/>
      <c r="CY872" s="1"/>
      <c r="CZ872" s="1"/>
      <c r="DA872" s="1"/>
      <c r="DB872" s="1"/>
      <c r="DC872" s="1"/>
      <c r="DD872" s="1"/>
      <c r="DE872" s="1"/>
      <c r="DF872" s="1"/>
      <c r="DG872" s="1"/>
      <c r="DH872" s="1"/>
      <c r="DI872" s="1"/>
      <c r="DJ872" s="1"/>
      <c r="DK872" s="1"/>
      <c r="DL872" s="1"/>
      <c r="DM872" s="1"/>
      <c r="DN872" s="1"/>
      <c r="DO872" s="1"/>
      <c r="DP872" s="1"/>
      <c r="DQ872" s="1"/>
      <c r="DR872" s="1"/>
      <c r="DS872" s="1"/>
      <c r="DT872" s="1"/>
      <c r="DU872" s="1"/>
      <c r="DV872" s="1"/>
      <c r="DW872" s="1"/>
      <c r="DX872" s="1"/>
      <c r="DY872" s="1"/>
      <c r="DZ872" s="1"/>
      <c r="EA872" s="1"/>
      <c r="EB872" s="1"/>
      <c r="EC872" s="1"/>
      <c r="ED872" s="1"/>
      <c r="EE872" s="1"/>
      <c r="EF872" s="1"/>
      <c r="EG872" s="1"/>
      <c r="EH872" s="1"/>
      <c r="EI872" s="1"/>
      <c r="EJ872" s="1"/>
      <c r="EK872" s="1"/>
      <c r="EL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c r="BR873" s="1"/>
      <c r="BS873" s="1"/>
      <c r="BT873" s="1"/>
      <c r="BU873" s="1"/>
      <c r="BV873" s="1"/>
      <c r="BW873" s="1"/>
      <c r="BX873" s="1"/>
      <c r="BY873" s="1"/>
      <c r="BZ873" s="1"/>
      <c r="CA873" s="1"/>
      <c r="CB873" s="1"/>
      <c r="CC873" s="1"/>
      <c r="CD873" s="1"/>
      <c r="CE873" s="1"/>
      <c r="CF873" s="1"/>
      <c r="CG873" s="1"/>
      <c r="CH873" s="1"/>
      <c r="CI873" s="1"/>
      <c r="CJ873" s="1"/>
      <c r="CK873" s="1"/>
      <c r="CL873" s="1"/>
      <c r="CM873" s="1"/>
      <c r="CN873" s="1"/>
      <c r="CO873" s="1"/>
      <c r="CP873" s="1"/>
      <c r="CQ873" s="1"/>
      <c r="CR873" s="1"/>
      <c r="CS873" s="1"/>
      <c r="CT873" s="1"/>
      <c r="CU873" s="1"/>
      <c r="CV873" s="1"/>
      <c r="CW873" s="1"/>
      <c r="CX873" s="1"/>
      <c r="CY873" s="1"/>
      <c r="CZ873" s="1"/>
      <c r="DA873" s="1"/>
      <c r="DB873" s="1"/>
      <c r="DC873" s="1"/>
      <c r="DD873" s="1"/>
      <c r="DE873" s="1"/>
      <c r="DF873" s="1"/>
      <c r="DG873" s="1"/>
      <c r="DH873" s="1"/>
      <c r="DI873" s="1"/>
      <c r="DJ873" s="1"/>
      <c r="DK873" s="1"/>
      <c r="DL873" s="1"/>
      <c r="DM873" s="1"/>
      <c r="DN873" s="1"/>
      <c r="DO873" s="1"/>
      <c r="DP873" s="1"/>
      <c r="DQ873" s="1"/>
      <c r="DR873" s="1"/>
      <c r="DS873" s="1"/>
      <c r="DT873" s="1"/>
      <c r="DU873" s="1"/>
      <c r="DV873" s="1"/>
      <c r="DW873" s="1"/>
      <c r="DX873" s="1"/>
      <c r="DY873" s="1"/>
      <c r="DZ873" s="1"/>
      <c r="EA873" s="1"/>
      <c r="EB873" s="1"/>
      <c r="EC873" s="1"/>
      <c r="ED873" s="1"/>
      <c r="EE873" s="1"/>
      <c r="EF873" s="1"/>
      <c r="EG873" s="1"/>
      <c r="EH873" s="1"/>
      <c r="EI873" s="1"/>
      <c r="EJ873" s="1"/>
      <c r="EK873" s="1"/>
      <c r="EL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c r="BR874" s="1"/>
      <c r="BS874" s="1"/>
      <c r="BT874" s="1"/>
      <c r="BU874" s="1"/>
      <c r="BV874" s="1"/>
      <c r="BW874" s="1"/>
      <c r="BX874" s="1"/>
      <c r="BY874" s="1"/>
      <c r="BZ874" s="1"/>
      <c r="CA874" s="1"/>
      <c r="CB874" s="1"/>
      <c r="CC874" s="1"/>
      <c r="CD874" s="1"/>
      <c r="CE874" s="1"/>
      <c r="CF874" s="1"/>
      <c r="CG874" s="1"/>
      <c r="CH874" s="1"/>
      <c r="CI874" s="1"/>
      <c r="CJ874" s="1"/>
      <c r="CK874" s="1"/>
      <c r="CL874" s="1"/>
      <c r="CM874" s="1"/>
      <c r="CN874" s="1"/>
      <c r="CO874" s="1"/>
      <c r="CP874" s="1"/>
      <c r="CQ874" s="1"/>
      <c r="CR874" s="1"/>
      <c r="CS874" s="1"/>
      <c r="CT874" s="1"/>
      <c r="CU874" s="1"/>
      <c r="CV874" s="1"/>
      <c r="CW874" s="1"/>
      <c r="CX874" s="1"/>
      <c r="CY874" s="1"/>
      <c r="CZ874" s="1"/>
      <c r="DA874" s="1"/>
      <c r="DB874" s="1"/>
      <c r="DC874" s="1"/>
      <c r="DD874" s="1"/>
      <c r="DE874" s="1"/>
      <c r="DF874" s="1"/>
      <c r="DG874" s="1"/>
      <c r="DH874" s="1"/>
      <c r="DI874" s="1"/>
      <c r="DJ874" s="1"/>
      <c r="DK874" s="1"/>
      <c r="DL874" s="1"/>
      <c r="DM874" s="1"/>
      <c r="DN874" s="1"/>
      <c r="DO874" s="1"/>
      <c r="DP874" s="1"/>
      <c r="DQ874" s="1"/>
      <c r="DR874" s="1"/>
      <c r="DS874" s="1"/>
      <c r="DT874" s="1"/>
      <c r="DU874" s="1"/>
      <c r="DV874" s="1"/>
      <c r="DW874" s="1"/>
      <c r="DX874" s="1"/>
      <c r="DY874" s="1"/>
      <c r="DZ874" s="1"/>
      <c r="EA874" s="1"/>
      <c r="EB874" s="1"/>
      <c r="EC874" s="1"/>
      <c r="ED874" s="1"/>
      <c r="EE874" s="1"/>
      <c r="EF874" s="1"/>
      <c r="EG874" s="1"/>
      <c r="EH874" s="1"/>
      <c r="EI874" s="1"/>
      <c r="EJ874" s="1"/>
      <c r="EK874" s="1"/>
      <c r="EL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c r="BR875" s="1"/>
      <c r="BS875" s="1"/>
      <c r="BT875" s="1"/>
      <c r="BU875" s="1"/>
      <c r="BV875" s="1"/>
      <c r="BW875" s="1"/>
      <c r="BX875" s="1"/>
      <c r="BY875" s="1"/>
      <c r="BZ875" s="1"/>
      <c r="CA875" s="1"/>
      <c r="CB875" s="1"/>
      <c r="CC875" s="1"/>
      <c r="CD875" s="1"/>
      <c r="CE875" s="1"/>
      <c r="CF875" s="1"/>
      <c r="CG875" s="1"/>
      <c r="CH875" s="1"/>
      <c r="CI875" s="1"/>
      <c r="CJ875" s="1"/>
      <c r="CK875" s="1"/>
      <c r="CL875" s="1"/>
      <c r="CM875" s="1"/>
      <c r="CN875" s="1"/>
      <c r="CO875" s="1"/>
      <c r="CP875" s="1"/>
      <c r="CQ875" s="1"/>
      <c r="CR875" s="1"/>
      <c r="CS875" s="1"/>
      <c r="CT875" s="1"/>
      <c r="CU875" s="1"/>
      <c r="CV875" s="1"/>
      <c r="CW875" s="1"/>
      <c r="CX875" s="1"/>
      <c r="CY875" s="1"/>
      <c r="CZ875" s="1"/>
      <c r="DA875" s="1"/>
      <c r="DB875" s="1"/>
      <c r="DC875" s="1"/>
      <c r="DD875" s="1"/>
      <c r="DE875" s="1"/>
      <c r="DF875" s="1"/>
      <c r="DG875" s="1"/>
      <c r="DH875" s="1"/>
      <c r="DI875" s="1"/>
      <c r="DJ875" s="1"/>
      <c r="DK875" s="1"/>
      <c r="DL875" s="1"/>
      <c r="DM875" s="1"/>
      <c r="DN875" s="1"/>
      <c r="DO875" s="1"/>
      <c r="DP875" s="1"/>
      <c r="DQ875" s="1"/>
      <c r="DR875" s="1"/>
      <c r="DS875" s="1"/>
      <c r="DT875" s="1"/>
      <c r="DU875" s="1"/>
      <c r="DV875" s="1"/>
      <c r="DW875" s="1"/>
      <c r="DX875" s="1"/>
      <c r="DY875" s="1"/>
      <c r="DZ875" s="1"/>
      <c r="EA875" s="1"/>
      <c r="EB875" s="1"/>
      <c r="EC875" s="1"/>
      <c r="ED875" s="1"/>
      <c r="EE875" s="1"/>
      <c r="EF875" s="1"/>
      <c r="EG875" s="1"/>
      <c r="EH875" s="1"/>
      <c r="EI875" s="1"/>
      <c r="EJ875" s="1"/>
      <c r="EK875" s="1"/>
      <c r="EL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c r="BR876" s="1"/>
      <c r="BS876" s="1"/>
      <c r="BT876" s="1"/>
      <c r="BU876" s="1"/>
      <c r="BV876" s="1"/>
      <c r="BW876" s="1"/>
      <c r="BX876" s="1"/>
      <c r="BY876" s="1"/>
      <c r="BZ876" s="1"/>
      <c r="CA876" s="1"/>
      <c r="CB876" s="1"/>
      <c r="CC876" s="1"/>
      <c r="CD876" s="1"/>
      <c r="CE876" s="1"/>
      <c r="CF876" s="1"/>
      <c r="CG876" s="1"/>
      <c r="CH876" s="1"/>
      <c r="CI876" s="1"/>
      <c r="CJ876" s="1"/>
      <c r="CK876" s="1"/>
      <c r="CL876" s="1"/>
      <c r="CM876" s="1"/>
      <c r="CN876" s="1"/>
      <c r="CO876" s="1"/>
      <c r="CP876" s="1"/>
      <c r="CQ876" s="1"/>
      <c r="CR876" s="1"/>
      <c r="CS876" s="1"/>
      <c r="CT876" s="1"/>
      <c r="CU876" s="1"/>
      <c r="CV876" s="1"/>
      <c r="CW876" s="1"/>
      <c r="CX876" s="1"/>
      <c r="CY876" s="1"/>
      <c r="CZ876" s="1"/>
      <c r="DA876" s="1"/>
      <c r="DB876" s="1"/>
      <c r="DC876" s="1"/>
      <c r="DD876" s="1"/>
      <c r="DE876" s="1"/>
      <c r="DF876" s="1"/>
      <c r="DG876" s="1"/>
      <c r="DH876" s="1"/>
      <c r="DI876" s="1"/>
      <c r="DJ876" s="1"/>
      <c r="DK876" s="1"/>
      <c r="DL876" s="1"/>
      <c r="DM876" s="1"/>
      <c r="DN876" s="1"/>
      <c r="DO876" s="1"/>
      <c r="DP876" s="1"/>
      <c r="DQ876" s="1"/>
      <c r="DR876" s="1"/>
      <c r="DS876" s="1"/>
      <c r="DT876" s="1"/>
      <c r="DU876" s="1"/>
      <c r="DV876" s="1"/>
      <c r="DW876" s="1"/>
      <c r="DX876" s="1"/>
      <c r="DY876" s="1"/>
      <c r="DZ876" s="1"/>
      <c r="EA876" s="1"/>
      <c r="EB876" s="1"/>
      <c r="EC876" s="1"/>
      <c r="ED876" s="1"/>
      <c r="EE876" s="1"/>
      <c r="EF876" s="1"/>
      <c r="EG876" s="1"/>
      <c r="EH876" s="1"/>
      <c r="EI876" s="1"/>
      <c r="EJ876" s="1"/>
      <c r="EK876" s="1"/>
      <c r="EL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c r="BR877" s="1"/>
      <c r="BS877" s="1"/>
      <c r="BT877" s="1"/>
      <c r="BU877" s="1"/>
      <c r="BV877" s="1"/>
      <c r="BW877" s="1"/>
      <c r="BX877" s="1"/>
      <c r="BY877" s="1"/>
      <c r="BZ877" s="1"/>
      <c r="CA877" s="1"/>
      <c r="CB877" s="1"/>
      <c r="CC877" s="1"/>
      <c r="CD877" s="1"/>
      <c r="CE877" s="1"/>
      <c r="CF877" s="1"/>
      <c r="CG877" s="1"/>
      <c r="CH877" s="1"/>
      <c r="CI877" s="1"/>
      <c r="CJ877" s="1"/>
      <c r="CK877" s="1"/>
      <c r="CL877" s="1"/>
      <c r="CM877" s="1"/>
      <c r="CN877" s="1"/>
      <c r="CO877" s="1"/>
      <c r="CP877" s="1"/>
      <c r="CQ877" s="1"/>
      <c r="CR877" s="1"/>
      <c r="CS877" s="1"/>
      <c r="CT877" s="1"/>
      <c r="CU877" s="1"/>
      <c r="CV877" s="1"/>
      <c r="CW877" s="1"/>
      <c r="CX877" s="1"/>
      <c r="CY877" s="1"/>
      <c r="CZ877" s="1"/>
      <c r="DA877" s="1"/>
      <c r="DB877" s="1"/>
      <c r="DC877" s="1"/>
      <c r="DD877" s="1"/>
      <c r="DE877" s="1"/>
      <c r="DF877" s="1"/>
      <c r="DG877" s="1"/>
      <c r="DH877" s="1"/>
      <c r="DI877" s="1"/>
      <c r="DJ877" s="1"/>
      <c r="DK877" s="1"/>
      <c r="DL877" s="1"/>
      <c r="DM877" s="1"/>
      <c r="DN877" s="1"/>
      <c r="DO877" s="1"/>
      <c r="DP877" s="1"/>
      <c r="DQ877" s="1"/>
      <c r="DR877" s="1"/>
      <c r="DS877" s="1"/>
      <c r="DT877" s="1"/>
      <c r="DU877" s="1"/>
      <c r="DV877" s="1"/>
      <c r="DW877" s="1"/>
      <c r="DX877" s="1"/>
      <c r="DY877" s="1"/>
      <c r="DZ877" s="1"/>
      <c r="EA877" s="1"/>
      <c r="EB877" s="1"/>
      <c r="EC877" s="1"/>
      <c r="ED877" s="1"/>
      <c r="EE877" s="1"/>
      <c r="EF877" s="1"/>
      <c r="EG877" s="1"/>
      <c r="EH877" s="1"/>
      <c r="EI877" s="1"/>
      <c r="EJ877" s="1"/>
      <c r="EK877" s="1"/>
      <c r="EL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c r="BR878" s="1"/>
      <c r="BS878" s="1"/>
      <c r="BT878" s="1"/>
      <c r="BU878" s="1"/>
      <c r="BV878" s="1"/>
      <c r="BW878" s="1"/>
      <c r="BX878" s="1"/>
      <c r="BY878" s="1"/>
      <c r="BZ878" s="1"/>
      <c r="CA878" s="1"/>
      <c r="CB878" s="1"/>
      <c r="CC878" s="1"/>
      <c r="CD878" s="1"/>
      <c r="CE878" s="1"/>
      <c r="CF878" s="1"/>
      <c r="CG878" s="1"/>
      <c r="CH878" s="1"/>
      <c r="CI878" s="1"/>
      <c r="CJ878" s="1"/>
      <c r="CK878" s="1"/>
      <c r="CL878" s="1"/>
      <c r="CM878" s="1"/>
      <c r="CN878" s="1"/>
      <c r="CO878" s="1"/>
      <c r="CP878" s="1"/>
      <c r="CQ878" s="1"/>
      <c r="CR878" s="1"/>
      <c r="CS878" s="1"/>
      <c r="CT878" s="1"/>
      <c r="CU878" s="1"/>
      <c r="CV878" s="1"/>
      <c r="CW878" s="1"/>
      <c r="CX878" s="1"/>
      <c r="CY878" s="1"/>
      <c r="CZ878" s="1"/>
      <c r="DA878" s="1"/>
      <c r="DB878" s="1"/>
      <c r="DC878" s="1"/>
      <c r="DD878" s="1"/>
      <c r="DE878" s="1"/>
      <c r="DF878" s="1"/>
      <c r="DG878" s="1"/>
      <c r="DH878" s="1"/>
      <c r="DI878" s="1"/>
      <c r="DJ878" s="1"/>
      <c r="DK878" s="1"/>
      <c r="DL878" s="1"/>
      <c r="DM878" s="1"/>
      <c r="DN878" s="1"/>
      <c r="DO878" s="1"/>
      <c r="DP878" s="1"/>
      <c r="DQ878" s="1"/>
      <c r="DR878" s="1"/>
      <c r="DS878" s="1"/>
      <c r="DT878" s="1"/>
      <c r="DU878" s="1"/>
      <c r="DV878" s="1"/>
      <c r="DW878" s="1"/>
      <c r="DX878" s="1"/>
      <c r="DY878" s="1"/>
      <c r="DZ878" s="1"/>
      <c r="EA878" s="1"/>
      <c r="EB878" s="1"/>
      <c r="EC878" s="1"/>
      <c r="ED878" s="1"/>
      <c r="EE878" s="1"/>
      <c r="EF878" s="1"/>
      <c r="EG878" s="1"/>
      <c r="EH878" s="1"/>
      <c r="EI878" s="1"/>
      <c r="EJ878" s="1"/>
      <c r="EK878" s="1"/>
      <c r="EL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c r="BR879" s="1"/>
      <c r="BS879" s="1"/>
      <c r="BT879" s="1"/>
      <c r="BU879" s="1"/>
      <c r="BV879" s="1"/>
      <c r="BW879" s="1"/>
      <c r="BX879" s="1"/>
      <c r="BY879" s="1"/>
      <c r="BZ879" s="1"/>
      <c r="CA879" s="1"/>
      <c r="CB879" s="1"/>
      <c r="CC879" s="1"/>
      <c r="CD879" s="1"/>
      <c r="CE879" s="1"/>
      <c r="CF879" s="1"/>
      <c r="CG879" s="1"/>
      <c r="CH879" s="1"/>
      <c r="CI879" s="1"/>
      <c r="CJ879" s="1"/>
      <c r="CK879" s="1"/>
      <c r="CL879" s="1"/>
      <c r="CM879" s="1"/>
      <c r="CN879" s="1"/>
      <c r="CO879" s="1"/>
      <c r="CP879" s="1"/>
      <c r="CQ879" s="1"/>
      <c r="CR879" s="1"/>
      <c r="CS879" s="1"/>
      <c r="CT879" s="1"/>
      <c r="CU879" s="1"/>
      <c r="CV879" s="1"/>
      <c r="CW879" s="1"/>
      <c r="CX879" s="1"/>
      <c r="CY879" s="1"/>
      <c r="CZ879" s="1"/>
      <c r="DA879" s="1"/>
      <c r="DB879" s="1"/>
      <c r="DC879" s="1"/>
      <c r="DD879" s="1"/>
      <c r="DE879" s="1"/>
      <c r="DF879" s="1"/>
      <c r="DG879" s="1"/>
      <c r="DH879" s="1"/>
      <c r="DI879" s="1"/>
      <c r="DJ879" s="1"/>
      <c r="DK879" s="1"/>
      <c r="DL879" s="1"/>
      <c r="DM879" s="1"/>
      <c r="DN879" s="1"/>
      <c r="DO879" s="1"/>
      <c r="DP879" s="1"/>
      <c r="DQ879" s="1"/>
      <c r="DR879" s="1"/>
      <c r="DS879" s="1"/>
      <c r="DT879" s="1"/>
      <c r="DU879" s="1"/>
      <c r="DV879" s="1"/>
      <c r="DW879" s="1"/>
      <c r="DX879" s="1"/>
      <c r="DY879" s="1"/>
      <c r="DZ879" s="1"/>
      <c r="EA879" s="1"/>
      <c r="EB879" s="1"/>
      <c r="EC879" s="1"/>
      <c r="ED879" s="1"/>
      <c r="EE879" s="1"/>
      <c r="EF879" s="1"/>
      <c r="EG879" s="1"/>
      <c r="EH879" s="1"/>
      <c r="EI879" s="1"/>
      <c r="EJ879" s="1"/>
      <c r="EK879" s="1"/>
      <c r="EL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c r="BR880" s="1"/>
      <c r="BS880" s="1"/>
      <c r="BT880" s="1"/>
      <c r="BU880" s="1"/>
      <c r="BV880" s="1"/>
      <c r="BW880" s="1"/>
      <c r="BX880" s="1"/>
      <c r="BY880" s="1"/>
      <c r="BZ880" s="1"/>
      <c r="CA880" s="1"/>
      <c r="CB880" s="1"/>
      <c r="CC880" s="1"/>
      <c r="CD880" s="1"/>
      <c r="CE880" s="1"/>
      <c r="CF880" s="1"/>
      <c r="CG880" s="1"/>
      <c r="CH880" s="1"/>
      <c r="CI880" s="1"/>
      <c r="CJ880" s="1"/>
      <c r="CK880" s="1"/>
      <c r="CL880" s="1"/>
      <c r="CM880" s="1"/>
      <c r="CN880" s="1"/>
      <c r="CO880" s="1"/>
      <c r="CP880" s="1"/>
      <c r="CQ880" s="1"/>
      <c r="CR880" s="1"/>
      <c r="CS880" s="1"/>
      <c r="CT880" s="1"/>
      <c r="CU880" s="1"/>
      <c r="CV880" s="1"/>
      <c r="CW880" s="1"/>
      <c r="CX880" s="1"/>
      <c r="CY880" s="1"/>
      <c r="CZ880" s="1"/>
      <c r="DA880" s="1"/>
      <c r="DB880" s="1"/>
      <c r="DC880" s="1"/>
      <c r="DD880" s="1"/>
      <c r="DE880" s="1"/>
      <c r="DF880" s="1"/>
      <c r="DG880" s="1"/>
      <c r="DH880" s="1"/>
      <c r="DI880" s="1"/>
      <c r="DJ880" s="1"/>
      <c r="DK880" s="1"/>
      <c r="DL880" s="1"/>
      <c r="DM880" s="1"/>
      <c r="DN880" s="1"/>
      <c r="DO880" s="1"/>
      <c r="DP880" s="1"/>
      <c r="DQ880" s="1"/>
      <c r="DR880" s="1"/>
      <c r="DS880" s="1"/>
      <c r="DT880" s="1"/>
      <c r="DU880" s="1"/>
      <c r="DV880" s="1"/>
      <c r="DW880" s="1"/>
      <c r="DX880" s="1"/>
      <c r="DY880" s="1"/>
      <c r="DZ880" s="1"/>
      <c r="EA880" s="1"/>
      <c r="EB880" s="1"/>
      <c r="EC880" s="1"/>
      <c r="ED880" s="1"/>
      <c r="EE880" s="1"/>
      <c r="EF880" s="1"/>
      <c r="EG880" s="1"/>
      <c r="EH880" s="1"/>
      <c r="EI880" s="1"/>
      <c r="EJ880" s="1"/>
      <c r="EK880" s="1"/>
      <c r="EL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c r="BR881" s="1"/>
      <c r="BS881" s="1"/>
      <c r="BT881" s="1"/>
      <c r="BU881" s="1"/>
      <c r="BV881" s="1"/>
      <c r="BW881" s="1"/>
      <c r="BX881" s="1"/>
      <c r="BY881" s="1"/>
      <c r="BZ881" s="1"/>
      <c r="CA881" s="1"/>
      <c r="CB881" s="1"/>
      <c r="CC881" s="1"/>
      <c r="CD881" s="1"/>
      <c r="CE881" s="1"/>
      <c r="CF881" s="1"/>
      <c r="CG881" s="1"/>
      <c r="CH881" s="1"/>
      <c r="CI881" s="1"/>
      <c r="CJ881" s="1"/>
      <c r="CK881" s="1"/>
      <c r="CL881" s="1"/>
      <c r="CM881" s="1"/>
      <c r="CN881" s="1"/>
      <c r="CO881" s="1"/>
      <c r="CP881" s="1"/>
      <c r="CQ881" s="1"/>
      <c r="CR881" s="1"/>
      <c r="CS881" s="1"/>
      <c r="CT881" s="1"/>
      <c r="CU881" s="1"/>
      <c r="CV881" s="1"/>
      <c r="CW881" s="1"/>
      <c r="CX881" s="1"/>
      <c r="CY881" s="1"/>
      <c r="CZ881" s="1"/>
      <c r="DA881" s="1"/>
      <c r="DB881" s="1"/>
      <c r="DC881" s="1"/>
      <c r="DD881" s="1"/>
      <c r="DE881" s="1"/>
      <c r="DF881" s="1"/>
      <c r="DG881" s="1"/>
      <c r="DH881" s="1"/>
      <c r="DI881" s="1"/>
      <c r="DJ881" s="1"/>
      <c r="DK881" s="1"/>
      <c r="DL881" s="1"/>
      <c r="DM881" s="1"/>
      <c r="DN881" s="1"/>
      <c r="DO881" s="1"/>
      <c r="DP881" s="1"/>
      <c r="DQ881" s="1"/>
      <c r="DR881" s="1"/>
      <c r="DS881" s="1"/>
      <c r="DT881" s="1"/>
      <c r="DU881" s="1"/>
      <c r="DV881" s="1"/>
      <c r="DW881" s="1"/>
      <c r="DX881" s="1"/>
      <c r="DY881" s="1"/>
      <c r="DZ881" s="1"/>
      <c r="EA881" s="1"/>
      <c r="EB881" s="1"/>
      <c r="EC881" s="1"/>
      <c r="ED881" s="1"/>
      <c r="EE881" s="1"/>
      <c r="EF881" s="1"/>
      <c r="EG881" s="1"/>
      <c r="EH881" s="1"/>
      <c r="EI881" s="1"/>
      <c r="EJ881" s="1"/>
      <c r="EK881" s="1"/>
      <c r="EL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c r="BR882" s="1"/>
      <c r="BS882" s="1"/>
      <c r="BT882" s="1"/>
      <c r="BU882" s="1"/>
      <c r="BV882" s="1"/>
      <c r="BW882" s="1"/>
      <c r="BX882" s="1"/>
      <c r="BY882" s="1"/>
      <c r="BZ882" s="1"/>
      <c r="CA882" s="1"/>
      <c r="CB882" s="1"/>
      <c r="CC882" s="1"/>
      <c r="CD882" s="1"/>
      <c r="CE882" s="1"/>
      <c r="CF882" s="1"/>
      <c r="CG882" s="1"/>
      <c r="CH882" s="1"/>
      <c r="CI882" s="1"/>
      <c r="CJ882" s="1"/>
      <c r="CK882" s="1"/>
      <c r="CL882" s="1"/>
      <c r="CM882" s="1"/>
      <c r="CN882" s="1"/>
      <c r="CO882" s="1"/>
      <c r="CP882" s="1"/>
      <c r="CQ882" s="1"/>
      <c r="CR882" s="1"/>
      <c r="CS882" s="1"/>
      <c r="CT882" s="1"/>
      <c r="CU882" s="1"/>
      <c r="CV882" s="1"/>
      <c r="CW882" s="1"/>
      <c r="CX882" s="1"/>
      <c r="CY882" s="1"/>
      <c r="CZ882" s="1"/>
      <c r="DA882" s="1"/>
      <c r="DB882" s="1"/>
      <c r="DC882" s="1"/>
      <c r="DD882" s="1"/>
      <c r="DE882" s="1"/>
      <c r="DF882" s="1"/>
      <c r="DG882" s="1"/>
      <c r="DH882" s="1"/>
      <c r="DI882" s="1"/>
      <c r="DJ882" s="1"/>
      <c r="DK882" s="1"/>
      <c r="DL882" s="1"/>
      <c r="DM882" s="1"/>
      <c r="DN882" s="1"/>
      <c r="DO882" s="1"/>
      <c r="DP882" s="1"/>
      <c r="DQ882" s="1"/>
      <c r="DR882" s="1"/>
      <c r="DS882" s="1"/>
      <c r="DT882" s="1"/>
      <c r="DU882" s="1"/>
      <c r="DV882" s="1"/>
      <c r="DW882" s="1"/>
      <c r="DX882" s="1"/>
      <c r="DY882" s="1"/>
      <c r="DZ882" s="1"/>
      <c r="EA882" s="1"/>
      <c r="EB882" s="1"/>
      <c r="EC882" s="1"/>
      <c r="ED882" s="1"/>
      <c r="EE882" s="1"/>
      <c r="EF882" s="1"/>
      <c r="EG882" s="1"/>
      <c r="EH882" s="1"/>
      <c r="EI882" s="1"/>
      <c r="EJ882" s="1"/>
      <c r="EK882" s="1"/>
      <c r="EL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c r="BR883" s="1"/>
      <c r="BS883" s="1"/>
      <c r="BT883" s="1"/>
      <c r="BU883" s="1"/>
      <c r="BV883" s="1"/>
      <c r="BW883" s="1"/>
      <c r="BX883" s="1"/>
      <c r="BY883" s="1"/>
      <c r="BZ883" s="1"/>
      <c r="CA883" s="1"/>
      <c r="CB883" s="1"/>
      <c r="CC883" s="1"/>
      <c r="CD883" s="1"/>
      <c r="CE883" s="1"/>
      <c r="CF883" s="1"/>
      <c r="CG883" s="1"/>
      <c r="CH883" s="1"/>
      <c r="CI883" s="1"/>
      <c r="CJ883" s="1"/>
      <c r="CK883" s="1"/>
      <c r="CL883" s="1"/>
      <c r="CM883" s="1"/>
      <c r="CN883" s="1"/>
      <c r="CO883" s="1"/>
      <c r="CP883" s="1"/>
      <c r="CQ883" s="1"/>
      <c r="CR883" s="1"/>
      <c r="CS883" s="1"/>
      <c r="CT883" s="1"/>
      <c r="CU883" s="1"/>
      <c r="CV883" s="1"/>
      <c r="CW883" s="1"/>
      <c r="CX883" s="1"/>
      <c r="CY883" s="1"/>
      <c r="CZ883" s="1"/>
      <c r="DA883" s="1"/>
      <c r="DB883" s="1"/>
      <c r="DC883" s="1"/>
      <c r="DD883" s="1"/>
      <c r="DE883" s="1"/>
      <c r="DF883" s="1"/>
      <c r="DG883" s="1"/>
      <c r="DH883" s="1"/>
      <c r="DI883" s="1"/>
      <c r="DJ883" s="1"/>
      <c r="DK883" s="1"/>
      <c r="DL883" s="1"/>
      <c r="DM883" s="1"/>
      <c r="DN883" s="1"/>
      <c r="DO883" s="1"/>
      <c r="DP883" s="1"/>
      <c r="DQ883" s="1"/>
      <c r="DR883" s="1"/>
      <c r="DS883" s="1"/>
      <c r="DT883" s="1"/>
      <c r="DU883" s="1"/>
      <c r="DV883" s="1"/>
      <c r="DW883" s="1"/>
      <c r="DX883" s="1"/>
      <c r="DY883" s="1"/>
      <c r="DZ883" s="1"/>
      <c r="EA883" s="1"/>
      <c r="EB883" s="1"/>
      <c r="EC883" s="1"/>
      <c r="ED883" s="1"/>
      <c r="EE883" s="1"/>
      <c r="EF883" s="1"/>
      <c r="EG883" s="1"/>
      <c r="EH883" s="1"/>
      <c r="EI883" s="1"/>
      <c r="EJ883" s="1"/>
      <c r="EK883" s="1"/>
      <c r="EL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c r="BR884" s="1"/>
      <c r="BS884" s="1"/>
      <c r="BT884" s="1"/>
      <c r="BU884" s="1"/>
      <c r="BV884" s="1"/>
      <c r="BW884" s="1"/>
      <c r="BX884" s="1"/>
      <c r="BY884" s="1"/>
      <c r="BZ884" s="1"/>
      <c r="CA884" s="1"/>
      <c r="CB884" s="1"/>
      <c r="CC884" s="1"/>
      <c r="CD884" s="1"/>
      <c r="CE884" s="1"/>
      <c r="CF884" s="1"/>
      <c r="CG884" s="1"/>
      <c r="CH884" s="1"/>
      <c r="CI884" s="1"/>
      <c r="CJ884" s="1"/>
      <c r="CK884" s="1"/>
      <c r="CL884" s="1"/>
      <c r="CM884" s="1"/>
      <c r="CN884" s="1"/>
      <c r="CO884" s="1"/>
      <c r="CP884" s="1"/>
      <c r="CQ884" s="1"/>
      <c r="CR884" s="1"/>
      <c r="CS884" s="1"/>
      <c r="CT884" s="1"/>
      <c r="CU884" s="1"/>
      <c r="CV884" s="1"/>
      <c r="CW884" s="1"/>
      <c r="CX884" s="1"/>
      <c r="CY884" s="1"/>
      <c r="CZ884" s="1"/>
      <c r="DA884" s="1"/>
      <c r="DB884" s="1"/>
      <c r="DC884" s="1"/>
      <c r="DD884" s="1"/>
      <c r="DE884" s="1"/>
      <c r="DF884" s="1"/>
      <c r="DG884" s="1"/>
      <c r="DH884" s="1"/>
      <c r="DI884" s="1"/>
      <c r="DJ884" s="1"/>
      <c r="DK884" s="1"/>
      <c r="DL884" s="1"/>
      <c r="DM884" s="1"/>
      <c r="DN884" s="1"/>
      <c r="DO884" s="1"/>
      <c r="DP884" s="1"/>
      <c r="DQ884" s="1"/>
      <c r="DR884" s="1"/>
      <c r="DS884" s="1"/>
      <c r="DT884" s="1"/>
      <c r="DU884" s="1"/>
      <c r="DV884" s="1"/>
      <c r="DW884" s="1"/>
      <c r="DX884" s="1"/>
      <c r="DY884" s="1"/>
      <c r="DZ884" s="1"/>
      <c r="EA884" s="1"/>
      <c r="EB884" s="1"/>
      <c r="EC884" s="1"/>
      <c r="ED884" s="1"/>
      <c r="EE884" s="1"/>
      <c r="EF884" s="1"/>
      <c r="EG884" s="1"/>
      <c r="EH884" s="1"/>
      <c r="EI884" s="1"/>
      <c r="EJ884" s="1"/>
      <c r="EK884" s="1"/>
      <c r="EL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c r="BR885" s="1"/>
      <c r="BS885" s="1"/>
      <c r="BT885" s="1"/>
      <c r="BU885" s="1"/>
      <c r="BV885" s="1"/>
      <c r="BW885" s="1"/>
      <c r="BX885" s="1"/>
      <c r="BY885" s="1"/>
      <c r="BZ885" s="1"/>
      <c r="CA885" s="1"/>
      <c r="CB885" s="1"/>
      <c r="CC885" s="1"/>
      <c r="CD885" s="1"/>
      <c r="CE885" s="1"/>
      <c r="CF885" s="1"/>
      <c r="CG885" s="1"/>
      <c r="CH885" s="1"/>
      <c r="CI885" s="1"/>
      <c r="CJ885" s="1"/>
      <c r="CK885" s="1"/>
      <c r="CL885" s="1"/>
      <c r="CM885" s="1"/>
      <c r="CN885" s="1"/>
      <c r="CO885" s="1"/>
      <c r="CP885" s="1"/>
      <c r="CQ885" s="1"/>
      <c r="CR885" s="1"/>
      <c r="CS885" s="1"/>
      <c r="CT885" s="1"/>
      <c r="CU885" s="1"/>
      <c r="CV885" s="1"/>
      <c r="CW885" s="1"/>
      <c r="CX885" s="1"/>
      <c r="CY885" s="1"/>
      <c r="CZ885" s="1"/>
      <c r="DA885" s="1"/>
      <c r="DB885" s="1"/>
      <c r="DC885" s="1"/>
      <c r="DD885" s="1"/>
      <c r="DE885" s="1"/>
      <c r="DF885" s="1"/>
      <c r="DG885" s="1"/>
      <c r="DH885" s="1"/>
      <c r="DI885" s="1"/>
      <c r="DJ885" s="1"/>
      <c r="DK885" s="1"/>
      <c r="DL885" s="1"/>
      <c r="DM885" s="1"/>
      <c r="DN885" s="1"/>
      <c r="DO885" s="1"/>
      <c r="DP885" s="1"/>
      <c r="DQ885" s="1"/>
      <c r="DR885" s="1"/>
      <c r="DS885" s="1"/>
      <c r="DT885" s="1"/>
      <c r="DU885" s="1"/>
      <c r="DV885" s="1"/>
      <c r="DW885" s="1"/>
      <c r="DX885" s="1"/>
      <c r="DY885" s="1"/>
      <c r="DZ885" s="1"/>
      <c r="EA885" s="1"/>
      <c r="EB885" s="1"/>
      <c r="EC885" s="1"/>
      <c r="ED885" s="1"/>
      <c r="EE885" s="1"/>
      <c r="EF885" s="1"/>
      <c r="EG885" s="1"/>
      <c r="EH885" s="1"/>
      <c r="EI885" s="1"/>
      <c r="EJ885" s="1"/>
      <c r="EK885" s="1"/>
      <c r="EL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c r="BR886" s="1"/>
      <c r="BS886" s="1"/>
      <c r="BT886" s="1"/>
      <c r="BU886" s="1"/>
      <c r="BV886" s="1"/>
      <c r="BW886" s="1"/>
      <c r="BX886" s="1"/>
      <c r="BY886" s="1"/>
      <c r="BZ886" s="1"/>
      <c r="CA886" s="1"/>
      <c r="CB886" s="1"/>
      <c r="CC886" s="1"/>
      <c r="CD886" s="1"/>
      <c r="CE886" s="1"/>
      <c r="CF886" s="1"/>
      <c r="CG886" s="1"/>
      <c r="CH886" s="1"/>
      <c r="CI886" s="1"/>
      <c r="CJ886" s="1"/>
      <c r="CK886" s="1"/>
      <c r="CL886" s="1"/>
      <c r="CM886" s="1"/>
      <c r="CN886" s="1"/>
      <c r="CO886" s="1"/>
      <c r="CP886" s="1"/>
      <c r="CQ886" s="1"/>
      <c r="CR886" s="1"/>
      <c r="CS886" s="1"/>
      <c r="CT886" s="1"/>
      <c r="CU886" s="1"/>
      <c r="CV886" s="1"/>
      <c r="CW886" s="1"/>
      <c r="CX886" s="1"/>
      <c r="CY886" s="1"/>
      <c r="CZ886" s="1"/>
      <c r="DA886" s="1"/>
      <c r="DB886" s="1"/>
      <c r="DC886" s="1"/>
      <c r="DD886" s="1"/>
      <c r="DE886" s="1"/>
      <c r="DF886" s="1"/>
      <c r="DG886" s="1"/>
      <c r="DH886" s="1"/>
      <c r="DI886" s="1"/>
      <c r="DJ886" s="1"/>
      <c r="DK886" s="1"/>
      <c r="DL886" s="1"/>
      <c r="DM886" s="1"/>
      <c r="DN886" s="1"/>
      <c r="DO886" s="1"/>
      <c r="DP886" s="1"/>
      <c r="DQ886" s="1"/>
      <c r="DR886" s="1"/>
      <c r="DS886" s="1"/>
      <c r="DT886" s="1"/>
      <c r="DU886" s="1"/>
      <c r="DV886" s="1"/>
      <c r="DW886" s="1"/>
      <c r="DX886" s="1"/>
      <c r="DY886" s="1"/>
      <c r="DZ886" s="1"/>
      <c r="EA886" s="1"/>
      <c r="EB886" s="1"/>
      <c r="EC886" s="1"/>
      <c r="ED886" s="1"/>
      <c r="EE886" s="1"/>
      <c r="EF886" s="1"/>
      <c r="EG886" s="1"/>
      <c r="EH886" s="1"/>
      <c r="EI886" s="1"/>
      <c r="EJ886" s="1"/>
      <c r="EK886" s="1"/>
      <c r="EL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c r="BR887" s="1"/>
      <c r="BS887" s="1"/>
      <c r="BT887" s="1"/>
      <c r="BU887" s="1"/>
      <c r="BV887" s="1"/>
      <c r="BW887" s="1"/>
      <c r="BX887" s="1"/>
      <c r="BY887" s="1"/>
      <c r="BZ887" s="1"/>
      <c r="CA887" s="1"/>
      <c r="CB887" s="1"/>
      <c r="CC887" s="1"/>
      <c r="CD887" s="1"/>
      <c r="CE887" s="1"/>
      <c r="CF887" s="1"/>
      <c r="CG887" s="1"/>
      <c r="CH887" s="1"/>
      <c r="CI887" s="1"/>
      <c r="CJ887" s="1"/>
      <c r="CK887" s="1"/>
      <c r="CL887" s="1"/>
      <c r="CM887" s="1"/>
      <c r="CN887" s="1"/>
      <c r="CO887" s="1"/>
      <c r="CP887" s="1"/>
      <c r="CQ887" s="1"/>
      <c r="CR887" s="1"/>
      <c r="CS887" s="1"/>
      <c r="CT887" s="1"/>
      <c r="CU887" s="1"/>
      <c r="CV887" s="1"/>
      <c r="CW887" s="1"/>
      <c r="CX887" s="1"/>
      <c r="CY887" s="1"/>
      <c r="CZ887" s="1"/>
      <c r="DA887" s="1"/>
      <c r="DB887" s="1"/>
      <c r="DC887" s="1"/>
      <c r="DD887" s="1"/>
      <c r="DE887" s="1"/>
      <c r="DF887" s="1"/>
      <c r="DG887" s="1"/>
      <c r="DH887" s="1"/>
      <c r="DI887" s="1"/>
      <c r="DJ887" s="1"/>
      <c r="DK887" s="1"/>
      <c r="DL887" s="1"/>
      <c r="DM887" s="1"/>
      <c r="DN887" s="1"/>
      <c r="DO887" s="1"/>
      <c r="DP887" s="1"/>
      <c r="DQ887" s="1"/>
      <c r="DR887" s="1"/>
      <c r="DS887" s="1"/>
      <c r="DT887" s="1"/>
      <c r="DU887" s="1"/>
      <c r="DV887" s="1"/>
      <c r="DW887" s="1"/>
      <c r="DX887" s="1"/>
      <c r="DY887" s="1"/>
      <c r="DZ887" s="1"/>
      <c r="EA887" s="1"/>
      <c r="EB887" s="1"/>
      <c r="EC887" s="1"/>
      <c r="ED887" s="1"/>
      <c r="EE887" s="1"/>
      <c r="EF887" s="1"/>
      <c r="EG887" s="1"/>
      <c r="EH887" s="1"/>
      <c r="EI887" s="1"/>
      <c r="EJ887" s="1"/>
      <c r="EK887" s="1"/>
      <c r="EL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c r="BR888" s="1"/>
      <c r="BS888" s="1"/>
      <c r="BT888" s="1"/>
      <c r="BU888" s="1"/>
      <c r="BV888" s="1"/>
      <c r="BW888" s="1"/>
      <c r="BX888" s="1"/>
      <c r="BY888" s="1"/>
      <c r="BZ888" s="1"/>
      <c r="CA888" s="1"/>
      <c r="CB888" s="1"/>
      <c r="CC888" s="1"/>
      <c r="CD888" s="1"/>
      <c r="CE888" s="1"/>
      <c r="CF888" s="1"/>
      <c r="CG888" s="1"/>
      <c r="CH888" s="1"/>
      <c r="CI888" s="1"/>
      <c r="CJ888" s="1"/>
      <c r="CK888" s="1"/>
      <c r="CL888" s="1"/>
      <c r="CM888" s="1"/>
      <c r="CN888" s="1"/>
      <c r="CO888" s="1"/>
      <c r="CP888" s="1"/>
      <c r="CQ888" s="1"/>
      <c r="CR888" s="1"/>
      <c r="CS888" s="1"/>
      <c r="CT888" s="1"/>
      <c r="CU888" s="1"/>
      <c r="CV888" s="1"/>
      <c r="CW888" s="1"/>
      <c r="CX888" s="1"/>
      <c r="CY888" s="1"/>
      <c r="CZ888" s="1"/>
      <c r="DA888" s="1"/>
      <c r="DB888" s="1"/>
      <c r="DC888" s="1"/>
      <c r="DD888" s="1"/>
      <c r="DE888" s="1"/>
      <c r="DF888" s="1"/>
      <c r="DG888" s="1"/>
      <c r="DH888" s="1"/>
      <c r="DI888" s="1"/>
      <c r="DJ888" s="1"/>
      <c r="DK888" s="1"/>
      <c r="DL888" s="1"/>
      <c r="DM888" s="1"/>
      <c r="DN888" s="1"/>
      <c r="DO888" s="1"/>
      <c r="DP888" s="1"/>
      <c r="DQ888" s="1"/>
      <c r="DR888" s="1"/>
      <c r="DS888" s="1"/>
      <c r="DT888" s="1"/>
      <c r="DU888" s="1"/>
      <c r="DV888" s="1"/>
      <c r="DW888" s="1"/>
      <c r="DX888" s="1"/>
      <c r="DY888" s="1"/>
      <c r="DZ888" s="1"/>
      <c r="EA888" s="1"/>
      <c r="EB888" s="1"/>
      <c r="EC888" s="1"/>
      <c r="ED888" s="1"/>
      <c r="EE888" s="1"/>
      <c r="EF888" s="1"/>
      <c r="EG888" s="1"/>
      <c r="EH888" s="1"/>
      <c r="EI888" s="1"/>
      <c r="EJ888" s="1"/>
      <c r="EK888" s="1"/>
      <c r="EL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c r="BR889" s="1"/>
      <c r="BS889" s="1"/>
      <c r="BT889" s="1"/>
      <c r="BU889" s="1"/>
      <c r="BV889" s="1"/>
      <c r="BW889" s="1"/>
      <c r="BX889" s="1"/>
      <c r="BY889" s="1"/>
      <c r="BZ889" s="1"/>
      <c r="CA889" s="1"/>
      <c r="CB889" s="1"/>
      <c r="CC889" s="1"/>
      <c r="CD889" s="1"/>
      <c r="CE889" s="1"/>
      <c r="CF889" s="1"/>
      <c r="CG889" s="1"/>
      <c r="CH889" s="1"/>
      <c r="CI889" s="1"/>
      <c r="CJ889" s="1"/>
      <c r="CK889" s="1"/>
      <c r="CL889" s="1"/>
      <c r="CM889" s="1"/>
      <c r="CN889" s="1"/>
      <c r="CO889" s="1"/>
      <c r="CP889" s="1"/>
      <c r="CQ889" s="1"/>
      <c r="CR889" s="1"/>
      <c r="CS889" s="1"/>
      <c r="CT889" s="1"/>
      <c r="CU889" s="1"/>
      <c r="CV889" s="1"/>
      <c r="CW889" s="1"/>
      <c r="CX889" s="1"/>
      <c r="CY889" s="1"/>
      <c r="CZ889" s="1"/>
      <c r="DA889" s="1"/>
      <c r="DB889" s="1"/>
      <c r="DC889" s="1"/>
      <c r="DD889" s="1"/>
      <c r="DE889" s="1"/>
      <c r="DF889" s="1"/>
      <c r="DG889" s="1"/>
      <c r="DH889" s="1"/>
      <c r="DI889" s="1"/>
      <c r="DJ889" s="1"/>
      <c r="DK889" s="1"/>
      <c r="DL889" s="1"/>
      <c r="DM889" s="1"/>
      <c r="DN889" s="1"/>
      <c r="DO889" s="1"/>
      <c r="DP889" s="1"/>
      <c r="DQ889" s="1"/>
      <c r="DR889" s="1"/>
      <c r="DS889" s="1"/>
      <c r="DT889" s="1"/>
      <c r="DU889" s="1"/>
      <c r="DV889" s="1"/>
      <c r="DW889" s="1"/>
      <c r="DX889" s="1"/>
      <c r="DY889" s="1"/>
      <c r="DZ889" s="1"/>
      <c r="EA889" s="1"/>
      <c r="EB889" s="1"/>
      <c r="EC889" s="1"/>
      <c r="ED889" s="1"/>
      <c r="EE889" s="1"/>
      <c r="EF889" s="1"/>
      <c r="EG889" s="1"/>
      <c r="EH889" s="1"/>
      <c r="EI889" s="1"/>
      <c r="EJ889" s="1"/>
      <c r="EK889" s="1"/>
      <c r="EL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c r="BR890" s="1"/>
      <c r="BS890" s="1"/>
      <c r="BT890" s="1"/>
      <c r="BU890" s="1"/>
      <c r="BV890" s="1"/>
      <c r="BW890" s="1"/>
      <c r="BX890" s="1"/>
      <c r="BY890" s="1"/>
      <c r="BZ890" s="1"/>
      <c r="CA890" s="1"/>
      <c r="CB890" s="1"/>
      <c r="CC890" s="1"/>
      <c r="CD890" s="1"/>
      <c r="CE890" s="1"/>
      <c r="CF890" s="1"/>
      <c r="CG890" s="1"/>
      <c r="CH890" s="1"/>
      <c r="CI890" s="1"/>
      <c r="CJ890" s="1"/>
      <c r="CK890" s="1"/>
      <c r="CL890" s="1"/>
      <c r="CM890" s="1"/>
      <c r="CN890" s="1"/>
      <c r="CO890" s="1"/>
      <c r="CP890" s="1"/>
      <c r="CQ890" s="1"/>
      <c r="CR890" s="1"/>
      <c r="CS890" s="1"/>
      <c r="CT890" s="1"/>
      <c r="CU890" s="1"/>
      <c r="CV890" s="1"/>
      <c r="CW890" s="1"/>
      <c r="CX890" s="1"/>
      <c r="CY890" s="1"/>
      <c r="CZ890" s="1"/>
      <c r="DA890" s="1"/>
      <c r="DB890" s="1"/>
      <c r="DC890" s="1"/>
      <c r="DD890" s="1"/>
      <c r="DE890" s="1"/>
      <c r="DF890" s="1"/>
      <c r="DG890" s="1"/>
      <c r="DH890" s="1"/>
      <c r="DI890" s="1"/>
      <c r="DJ890" s="1"/>
      <c r="DK890" s="1"/>
      <c r="DL890" s="1"/>
      <c r="DM890" s="1"/>
      <c r="DN890" s="1"/>
      <c r="DO890" s="1"/>
      <c r="DP890" s="1"/>
      <c r="DQ890" s="1"/>
      <c r="DR890" s="1"/>
      <c r="DS890" s="1"/>
      <c r="DT890" s="1"/>
      <c r="DU890" s="1"/>
      <c r="DV890" s="1"/>
      <c r="DW890" s="1"/>
      <c r="DX890" s="1"/>
      <c r="DY890" s="1"/>
      <c r="DZ890" s="1"/>
      <c r="EA890" s="1"/>
      <c r="EB890" s="1"/>
      <c r="EC890" s="1"/>
      <c r="ED890" s="1"/>
      <c r="EE890" s="1"/>
      <c r="EF890" s="1"/>
      <c r="EG890" s="1"/>
      <c r="EH890" s="1"/>
      <c r="EI890" s="1"/>
      <c r="EJ890" s="1"/>
      <c r="EK890" s="1"/>
      <c r="EL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c r="BR891" s="1"/>
      <c r="BS891" s="1"/>
      <c r="BT891" s="1"/>
      <c r="BU891" s="1"/>
      <c r="BV891" s="1"/>
      <c r="BW891" s="1"/>
      <c r="BX891" s="1"/>
      <c r="BY891" s="1"/>
      <c r="BZ891" s="1"/>
      <c r="CA891" s="1"/>
      <c r="CB891" s="1"/>
      <c r="CC891" s="1"/>
      <c r="CD891" s="1"/>
      <c r="CE891" s="1"/>
      <c r="CF891" s="1"/>
      <c r="CG891" s="1"/>
      <c r="CH891" s="1"/>
      <c r="CI891" s="1"/>
      <c r="CJ891" s="1"/>
      <c r="CK891" s="1"/>
      <c r="CL891" s="1"/>
      <c r="CM891" s="1"/>
      <c r="CN891" s="1"/>
      <c r="CO891" s="1"/>
      <c r="CP891" s="1"/>
      <c r="CQ891" s="1"/>
      <c r="CR891" s="1"/>
      <c r="CS891" s="1"/>
      <c r="CT891" s="1"/>
      <c r="CU891" s="1"/>
      <c r="CV891" s="1"/>
      <c r="CW891" s="1"/>
      <c r="CX891" s="1"/>
      <c r="CY891" s="1"/>
      <c r="CZ891" s="1"/>
      <c r="DA891" s="1"/>
      <c r="DB891" s="1"/>
      <c r="DC891" s="1"/>
      <c r="DD891" s="1"/>
      <c r="DE891" s="1"/>
      <c r="DF891" s="1"/>
      <c r="DG891" s="1"/>
      <c r="DH891" s="1"/>
      <c r="DI891" s="1"/>
      <c r="DJ891" s="1"/>
      <c r="DK891" s="1"/>
      <c r="DL891" s="1"/>
      <c r="DM891" s="1"/>
      <c r="DN891" s="1"/>
      <c r="DO891" s="1"/>
      <c r="DP891" s="1"/>
      <c r="DQ891" s="1"/>
      <c r="DR891" s="1"/>
      <c r="DS891" s="1"/>
      <c r="DT891" s="1"/>
      <c r="DU891" s="1"/>
      <c r="DV891" s="1"/>
      <c r="DW891" s="1"/>
      <c r="DX891" s="1"/>
      <c r="DY891" s="1"/>
      <c r="DZ891" s="1"/>
      <c r="EA891" s="1"/>
      <c r="EB891" s="1"/>
      <c r="EC891" s="1"/>
      <c r="ED891" s="1"/>
      <c r="EE891" s="1"/>
      <c r="EF891" s="1"/>
      <c r="EG891" s="1"/>
      <c r="EH891" s="1"/>
      <c r="EI891" s="1"/>
      <c r="EJ891" s="1"/>
      <c r="EK891" s="1"/>
      <c r="EL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c r="BR892" s="1"/>
      <c r="BS892" s="1"/>
      <c r="BT892" s="1"/>
      <c r="BU892" s="1"/>
      <c r="BV892" s="1"/>
      <c r="BW892" s="1"/>
      <c r="BX892" s="1"/>
      <c r="BY892" s="1"/>
      <c r="BZ892" s="1"/>
      <c r="CA892" s="1"/>
      <c r="CB892" s="1"/>
      <c r="CC892" s="1"/>
      <c r="CD892" s="1"/>
      <c r="CE892" s="1"/>
      <c r="CF892" s="1"/>
      <c r="CG892" s="1"/>
      <c r="CH892" s="1"/>
      <c r="CI892" s="1"/>
      <c r="CJ892" s="1"/>
      <c r="CK892" s="1"/>
      <c r="CL892" s="1"/>
      <c r="CM892" s="1"/>
      <c r="CN892" s="1"/>
      <c r="CO892" s="1"/>
      <c r="CP892" s="1"/>
      <c r="CQ892" s="1"/>
      <c r="CR892" s="1"/>
      <c r="CS892" s="1"/>
      <c r="CT892" s="1"/>
      <c r="CU892" s="1"/>
      <c r="CV892" s="1"/>
      <c r="CW892" s="1"/>
      <c r="CX892" s="1"/>
      <c r="CY892" s="1"/>
      <c r="CZ892" s="1"/>
      <c r="DA892" s="1"/>
      <c r="DB892" s="1"/>
      <c r="DC892" s="1"/>
      <c r="DD892" s="1"/>
      <c r="DE892" s="1"/>
      <c r="DF892" s="1"/>
      <c r="DG892" s="1"/>
      <c r="DH892" s="1"/>
      <c r="DI892" s="1"/>
      <c r="DJ892" s="1"/>
      <c r="DK892" s="1"/>
      <c r="DL892" s="1"/>
      <c r="DM892" s="1"/>
      <c r="DN892" s="1"/>
      <c r="DO892" s="1"/>
      <c r="DP892" s="1"/>
      <c r="DQ892" s="1"/>
      <c r="DR892" s="1"/>
      <c r="DS892" s="1"/>
      <c r="DT892" s="1"/>
      <c r="DU892" s="1"/>
      <c r="DV892" s="1"/>
      <c r="DW892" s="1"/>
      <c r="DX892" s="1"/>
      <c r="DY892" s="1"/>
      <c r="DZ892" s="1"/>
      <c r="EA892" s="1"/>
      <c r="EB892" s="1"/>
      <c r="EC892" s="1"/>
      <c r="ED892" s="1"/>
      <c r="EE892" s="1"/>
      <c r="EF892" s="1"/>
      <c r="EG892" s="1"/>
      <c r="EH892" s="1"/>
      <c r="EI892" s="1"/>
      <c r="EJ892" s="1"/>
      <c r="EK892" s="1"/>
      <c r="EL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c r="BR893" s="1"/>
      <c r="BS893" s="1"/>
      <c r="BT893" s="1"/>
      <c r="BU893" s="1"/>
      <c r="BV893" s="1"/>
      <c r="BW893" s="1"/>
      <c r="BX893" s="1"/>
      <c r="BY893" s="1"/>
      <c r="BZ893" s="1"/>
      <c r="CA893" s="1"/>
      <c r="CB893" s="1"/>
      <c r="CC893" s="1"/>
      <c r="CD893" s="1"/>
      <c r="CE893" s="1"/>
      <c r="CF893" s="1"/>
      <c r="CG893" s="1"/>
      <c r="CH893" s="1"/>
      <c r="CI893" s="1"/>
      <c r="CJ893" s="1"/>
      <c r="CK893" s="1"/>
      <c r="CL893" s="1"/>
      <c r="CM893" s="1"/>
      <c r="CN893" s="1"/>
      <c r="CO893" s="1"/>
      <c r="CP893" s="1"/>
      <c r="CQ893" s="1"/>
      <c r="CR893" s="1"/>
      <c r="CS893" s="1"/>
      <c r="CT893" s="1"/>
      <c r="CU893" s="1"/>
      <c r="CV893" s="1"/>
      <c r="CW893" s="1"/>
      <c r="CX893" s="1"/>
      <c r="CY893" s="1"/>
      <c r="CZ893" s="1"/>
      <c r="DA893" s="1"/>
      <c r="DB893" s="1"/>
      <c r="DC893" s="1"/>
      <c r="DD893" s="1"/>
      <c r="DE893" s="1"/>
      <c r="DF893" s="1"/>
      <c r="DG893" s="1"/>
      <c r="DH893" s="1"/>
      <c r="DI893" s="1"/>
      <c r="DJ893" s="1"/>
      <c r="DK893" s="1"/>
      <c r="DL893" s="1"/>
      <c r="DM893" s="1"/>
      <c r="DN893" s="1"/>
      <c r="DO893" s="1"/>
      <c r="DP893" s="1"/>
      <c r="DQ893" s="1"/>
      <c r="DR893" s="1"/>
      <c r="DS893" s="1"/>
      <c r="DT893" s="1"/>
      <c r="DU893" s="1"/>
      <c r="DV893" s="1"/>
      <c r="DW893" s="1"/>
      <c r="DX893" s="1"/>
      <c r="DY893" s="1"/>
      <c r="DZ893" s="1"/>
      <c r="EA893" s="1"/>
      <c r="EB893" s="1"/>
      <c r="EC893" s="1"/>
      <c r="ED893" s="1"/>
      <c r="EE893" s="1"/>
      <c r="EF893" s="1"/>
      <c r="EG893" s="1"/>
      <c r="EH893" s="1"/>
      <c r="EI893" s="1"/>
      <c r="EJ893" s="1"/>
      <c r="EK893" s="1"/>
      <c r="EL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c r="BR894" s="1"/>
      <c r="BS894" s="1"/>
      <c r="BT894" s="1"/>
      <c r="BU894" s="1"/>
      <c r="BV894" s="1"/>
      <c r="BW894" s="1"/>
      <c r="BX894" s="1"/>
      <c r="BY894" s="1"/>
      <c r="BZ894" s="1"/>
      <c r="CA894" s="1"/>
      <c r="CB894" s="1"/>
      <c r="CC894" s="1"/>
      <c r="CD894" s="1"/>
      <c r="CE894" s="1"/>
      <c r="CF894" s="1"/>
      <c r="CG894" s="1"/>
      <c r="CH894" s="1"/>
      <c r="CI894" s="1"/>
      <c r="CJ894" s="1"/>
      <c r="CK894" s="1"/>
      <c r="CL894" s="1"/>
      <c r="CM894" s="1"/>
      <c r="CN894" s="1"/>
      <c r="CO894" s="1"/>
      <c r="CP894" s="1"/>
      <c r="CQ894" s="1"/>
      <c r="CR894" s="1"/>
      <c r="CS894" s="1"/>
      <c r="CT894" s="1"/>
      <c r="CU894" s="1"/>
      <c r="CV894" s="1"/>
      <c r="CW894" s="1"/>
      <c r="CX894" s="1"/>
      <c r="CY894" s="1"/>
      <c r="CZ894" s="1"/>
      <c r="DA894" s="1"/>
      <c r="DB894" s="1"/>
      <c r="DC894" s="1"/>
      <c r="DD894" s="1"/>
      <c r="DE894" s="1"/>
      <c r="DF894" s="1"/>
      <c r="DG894" s="1"/>
      <c r="DH894" s="1"/>
      <c r="DI894" s="1"/>
      <c r="DJ894" s="1"/>
      <c r="DK894" s="1"/>
      <c r="DL894" s="1"/>
      <c r="DM894" s="1"/>
      <c r="DN894" s="1"/>
      <c r="DO894" s="1"/>
      <c r="DP894" s="1"/>
      <c r="DQ894" s="1"/>
      <c r="DR894" s="1"/>
      <c r="DS894" s="1"/>
      <c r="DT894" s="1"/>
      <c r="DU894" s="1"/>
      <c r="DV894" s="1"/>
      <c r="DW894" s="1"/>
      <c r="DX894" s="1"/>
      <c r="DY894" s="1"/>
      <c r="DZ894" s="1"/>
      <c r="EA894" s="1"/>
      <c r="EB894" s="1"/>
      <c r="EC894" s="1"/>
      <c r="ED894" s="1"/>
      <c r="EE894" s="1"/>
      <c r="EF894" s="1"/>
      <c r="EG894" s="1"/>
      <c r="EH894" s="1"/>
      <c r="EI894" s="1"/>
      <c r="EJ894" s="1"/>
      <c r="EK894" s="1"/>
      <c r="EL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c r="BR895" s="1"/>
      <c r="BS895" s="1"/>
      <c r="BT895" s="1"/>
      <c r="BU895" s="1"/>
      <c r="BV895" s="1"/>
      <c r="BW895" s="1"/>
      <c r="BX895" s="1"/>
      <c r="BY895" s="1"/>
      <c r="BZ895" s="1"/>
      <c r="CA895" s="1"/>
      <c r="CB895" s="1"/>
      <c r="CC895" s="1"/>
      <c r="CD895" s="1"/>
      <c r="CE895" s="1"/>
      <c r="CF895" s="1"/>
      <c r="CG895" s="1"/>
      <c r="CH895" s="1"/>
      <c r="CI895" s="1"/>
      <c r="CJ895" s="1"/>
      <c r="CK895" s="1"/>
      <c r="CL895" s="1"/>
      <c r="CM895" s="1"/>
      <c r="CN895" s="1"/>
      <c r="CO895" s="1"/>
      <c r="CP895" s="1"/>
      <c r="CQ895" s="1"/>
      <c r="CR895" s="1"/>
      <c r="CS895" s="1"/>
      <c r="CT895" s="1"/>
      <c r="CU895" s="1"/>
      <c r="CV895" s="1"/>
      <c r="CW895" s="1"/>
      <c r="CX895" s="1"/>
      <c r="CY895" s="1"/>
      <c r="CZ895" s="1"/>
      <c r="DA895" s="1"/>
      <c r="DB895" s="1"/>
      <c r="DC895" s="1"/>
      <c r="DD895" s="1"/>
      <c r="DE895" s="1"/>
      <c r="DF895" s="1"/>
      <c r="DG895" s="1"/>
      <c r="DH895" s="1"/>
      <c r="DI895" s="1"/>
      <c r="DJ895" s="1"/>
      <c r="DK895" s="1"/>
      <c r="DL895" s="1"/>
      <c r="DM895" s="1"/>
      <c r="DN895" s="1"/>
      <c r="DO895" s="1"/>
      <c r="DP895" s="1"/>
      <c r="DQ895" s="1"/>
      <c r="DR895" s="1"/>
      <c r="DS895" s="1"/>
      <c r="DT895" s="1"/>
      <c r="DU895" s="1"/>
      <c r="DV895" s="1"/>
      <c r="DW895" s="1"/>
      <c r="DX895" s="1"/>
      <c r="DY895" s="1"/>
      <c r="DZ895" s="1"/>
      <c r="EA895" s="1"/>
      <c r="EB895" s="1"/>
      <c r="EC895" s="1"/>
      <c r="ED895" s="1"/>
      <c r="EE895" s="1"/>
      <c r="EF895" s="1"/>
      <c r="EG895" s="1"/>
      <c r="EH895" s="1"/>
      <c r="EI895" s="1"/>
      <c r="EJ895" s="1"/>
      <c r="EK895" s="1"/>
      <c r="EL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c r="BR896" s="1"/>
      <c r="BS896" s="1"/>
      <c r="BT896" s="1"/>
      <c r="BU896" s="1"/>
      <c r="BV896" s="1"/>
      <c r="BW896" s="1"/>
      <c r="BX896" s="1"/>
      <c r="BY896" s="1"/>
      <c r="BZ896" s="1"/>
      <c r="CA896" s="1"/>
      <c r="CB896" s="1"/>
      <c r="CC896" s="1"/>
      <c r="CD896" s="1"/>
      <c r="CE896" s="1"/>
      <c r="CF896" s="1"/>
      <c r="CG896" s="1"/>
      <c r="CH896" s="1"/>
      <c r="CI896" s="1"/>
      <c r="CJ896" s="1"/>
      <c r="CK896" s="1"/>
      <c r="CL896" s="1"/>
      <c r="CM896" s="1"/>
      <c r="CN896" s="1"/>
      <c r="CO896" s="1"/>
      <c r="CP896" s="1"/>
      <c r="CQ896" s="1"/>
      <c r="CR896" s="1"/>
      <c r="CS896" s="1"/>
      <c r="CT896" s="1"/>
      <c r="CU896" s="1"/>
      <c r="CV896" s="1"/>
      <c r="CW896" s="1"/>
      <c r="CX896" s="1"/>
      <c r="CY896" s="1"/>
      <c r="CZ896" s="1"/>
      <c r="DA896" s="1"/>
      <c r="DB896" s="1"/>
      <c r="DC896" s="1"/>
      <c r="DD896" s="1"/>
      <c r="DE896" s="1"/>
      <c r="DF896" s="1"/>
      <c r="DG896" s="1"/>
      <c r="DH896" s="1"/>
      <c r="DI896" s="1"/>
      <c r="DJ896" s="1"/>
      <c r="DK896" s="1"/>
      <c r="DL896" s="1"/>
      <c r="DM896" s="1"/>
      <c r="DN896" s="1"/>
      <c r="DO896" s="1"/>
      <c r="DP896" s="1"/>
      <c r="DQ896" s="1"/>
      <c r="DR896" s="1"/>
      <c r="DS896" s="1"/>
      <c r="DT896" s="1"/>
      <c r="DU896" s="1"/>
      <c r="DV896" s="1"/>
      <c r="DW896" s="1"/>
      <c r="DX896" s="1"/>
      <c r="DY896" s="1"/>
      <c r="DZ896" s="1"/>
      <c r="EA896" s="1"/>
      <c r="EB896" s="1"/>
      <c r="EC896" s="1"/>
      <c r="ED896" s="1"/>
      <c r="EE896" s="1"/>
      <c r="EF896" s="1"/>
      <c r="EG896" s="1"/>
      <c r="EH896" s="1"/>
      <c r="EI896" s="1"/>
      <c r="EJ896" s="1"/>
      <c r="EK896" s="1"/>
      <c r="EL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c r="BR897" s="1"/>
      <c r="BS897" s="1"/>
      <c r="BT897" s="1"/>
      <c r="BU897" s="1"/>
      <c r="BV897" s="1"/>
      <c r="BW897" s="1"/>
      <c r="BX897" s="1"/>
      <c r="BY897" s="1"/>
      <c r="BZ897" s="1"/>
      <c r="CA897" s="1"/>
      <c r="CB897" s="1"/>
      <c r="CC897" s="1"/>
      <c r="CD897" s="1"/>
      <c r="CE897" s="1"/>
      <c r="CF897" s="1"/>
      <c r="CG897" s="1"/>
      <c r="CH897" s="1"/>
      <c r="CI897" s="1"/>
      <c r="CJ897" s="1"/>
      <c r="CK897" s="1"/>
      <c r="CL897" s="1"/>
      <c r="CM897" s="1"/>
      <c r="CN897" s="1"/>
      <c r="CO897" s="1"/>
      <c r="CP897" s="1"/>
      <c r="CQ897" s="1"/>
      <c r="CR897" s="1"/>
      <c r="CS897" s="1"/>
      <c r="CT897" s="1"/>
      <c r="CU897" s="1"/>
      <c r="CV897" s="1"/>
      <c r="CW897" s="1"/>
      <c r="CX897" s="1"/>
      <c r="CY897" s="1"/>
      <c r="CZ897" s="1"/>
      <c r="DA897" s="1"/>
      <c r="DB897" s="1"/>
      <c r="DC897" s="1"/>
      <c r="DD897" s="1"/>
      <c r="DE897" s="1"/>
      <c r="DF897" s="1"/>
      <c r="DG897" s="1"/>
      <c r="DH897" s="1"/>
      <c r="DI897" s="1"/>
      <c r="DJ897" s="1"/>
      <c r="DK897" s="1"/>
      <c r="DL897" s="1"/>
      <c r="DM897" s="1"/>
      <c r="DN897" s="1"/>
      <c r="DO897" s="1"/>
      <c r="DP897" s="1"/>
      <c r="DQ897" s="1"/>
      <c r="DR897" s="1"/>
      <c r="DS897" s="1"/>
      <c r="DT897" s="1"/>
      <c r="DU897" s="1"/>
      <c r="DV897" s="1"/>
      <c r="DW897" s="1"/>
      <c r="DX897" s="1"/>
      <c r="DY897" s="1"/>
      <c r="DZ897" s="1"/>
      <c r="EA897" s="1"/>
      <c r="EB897" s="1"/>
      <c r="EC897" s="1"/>
      <c r="ED897" s="1"/>
      <c r="EE897" s="1"/>
      <c r="EF897" s="1"/>
      <c r="EG897" s="1"/>
      <c r="EH897" s="1"/>
      <c r="EI897" s="1"/>
      <c r="EJ897" s="1"/>
      <c r="EK897" s="1"/>
      <c r="EL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c r="BR898" s="1"/>
      <c r="BS898" s="1"/>
      <c r="BT898" s="1"/>
      <c r="BU898" s="1"/>
      <c r="BV898" s="1"/>
      <c r="BW898" s="1"/>
      <c r="BX898" s="1"/>
      <c r="BY898" s="1"/>
      <c r="BZ898" s="1"/>
      <c r="CA898" s="1"/>
      <c r="CB898" s="1"/>
      <c r="CC898" s="1"/>
      <c r="CD898" s="1"/>
      <c r="CE898" s="1"/>
      <c r="CF898" s="1"/>
      <c r="CG898" s="1"/>
      <c r="CH898" s="1"/>
      <c r="CI898" s="1"/>
      <c r="CJ898" s="1"/>
      <c r="CK898" s="1"/>
      <c r="CL898" s="1"/>
      <c r="CM898" s="1"/>
      <c r="CN898" s="1"/>
      <c r="CO898" s="1"/>
      <c r="CP898" s="1"/>
      <c r="CQ898" s="1"/>
      <c r="CR898" s="1"/>
      <c r="CS898" s="1"/>
      <c r="CT898" s="1"/>
      <c r="CU898" s="1"/>
      <c r="CV898" s="1"/>
      <c r="CW898" s="1"/>
      <c r="CX898" s="1"/>
      <c r="CY898" s="1"/>
      <c r="CZ898" s="1"/>
      <c r="DA898" s="1"/>
      <c r="DB898" s="1"/>
      <c r="DC898" s="1"/>
      <c r="DD898" s="1"/>
      <c r="DE898" s="1"/>
      <c r="DF898" s="1"/>
      <c r="DG898" s="1"/>
      <c r="DH898" s="1"/>
      <c r="DI898" s="1"/>
      <c r="DJ898" s="1"/>
      <c r="DK898" s="1"/>
      <c r="DL898" s="1"/>
      <c r="DM898" s="1"/>
      <c r="DN898" s="1"/>
      <c r="DO898" s="1"/>
      <c r="DP898" s="1"/>
      <c r="DQ898" s="1"/>
      <c r="DR898" s="1"/>
      <c r="DS898" s="1"/>
      <c r="DT898" s="1"/>
      <c r="DU898" s="1"/>
      <c r="DV898" s="1"/>
      <c r="DW898" s="1"/>
      <c r="DX898" s="1"/>
      <c r="DY898" s="1"/>
      <c r="DZ898" s="1"/>
      <c r="EA898" s="1"/>
      <c r="EB898" s="1"/>
      <c r="EC898" s="1"/>
      <c r="ED898" s="1"/>
      <c r="EE898" s="1"/>
      <c r="EF898" s="1"/>
      <c r="EG898" s="1"/>
      <c r="EH898" s="1"/>
      <c r="EI898" s="1"/>
      <c r="EJ898" s="1"/>
      <c r="EK898" s="1"/>
      <c r="EL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c r="BR899" s="1"/>
      <c r="BS899" s="1"/>
      <c r="BT899" s="1"/>
      <c r="BU899" s="1"/>
      <c r="BV899" s="1"/>
      <c r="BW899" s="1"/>
      <c r="BX899" s="1"/>
      <c r="BY899" s="1"/>
      <c r="BZ899" s="1"/>
      <c r="CA899" s="1"/>
      <c r="CB899" s="1"/>
      <c r="CC899" s="1"/>
      <c r="CD899" s="1"/>
      <c r="CE899" s="1"/>
      <c r="CF899" s="1"/>
      <c r="CG899" s="1"/>
      <c r="CH899" s="1"/>
      <c r="CI899" s="1"/>
      <c r="CJ899" s="1"/>
      <c r="CK899" s="1"/>
      <c r="CL899" s="1"/>
      <c r="CM899" s="1"/>
      <c r="CN899" s="1"/>
      <c r="CO899" s="1"/>
      <c r="CP899" s="1"/>
      <c r="CQ899" s="1"/>
      <c r="CR899" s="1"/>
      <c r="CS899" s="1"/>
      <c r="CT899" s="1"/>
      <c r="CU899" s="1"/>
      <c r="CV899" s="1"/>
      <c r="CW899" s="1"/>
      <c r="CX899" s="1"/>
      <c r="CY899" s="1"/>
      <c r="CZ899" s="1"/>
      <c r="DA899" s="1"/>
      <c r="DB899" s="1"/>
      <c r="DC899" s="1"/>
      <c r="DD899" s="1"/>
      <c r="DE899" s="1"/>
      <c r="DF899" s="1"/>
      <c r="DG899" s="1"/>
      <c r="DH899" s="1"/>
      <c r="DI899" s="1"/>
      <c r="DJ899" s="1"/>
      <c r="DK899" s="1"/>
      <c r="DL899" s="1"/>
      <c r="DM899" s="1"/>
      <c r="DN899" s="1"/>
      <c r="DO899" s="1"/>
      <c r="DP899" s="1"/>
      <c r="DQ899" s="1"/>
      <c r="DR899" s="1"/>
      <c r="DS899" s="1"/>
      <c r="DT899" s="1"/>
      <c r="DU899" s="1"/>
      <c r="DV899" s="1"/>
      <c r="DW899" s="1"/>
      <c r="DX899" s="1"/>
      <c r="DY899" s="1"/>
      <c r="DZ899" s="1"/>
      <c r="EA899" s="1"/>
      <c r="EB899" s="1"/>
      <c r="EC899" s="1"/>
      <c r="ED899" s="1"/>
      <c r="EE899" s="1"/>
      <c r="EF899" s="1"/>
      <c r="EG899" s="1"/>
      <c r="EH899" s="1"/>
      <c r="EI899" s="1"/>
      <c r="EJ899" s="1"/>
      <c r="EK899" s="1"/>
      <c r="EL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c r="BR900" s="1"/>
      <c r="BS900" s="1"/>
      <c r="BT900" s="1"/>
      <c r="BU900" s="1"/>
      <c r="BV900" s="1"/>
      <c r="BW900" s="1"/>
      <c r="BX900" s="1"/>
      <c r="BY900" s="1"/>
      <c r="BZ900" s="1"/>
      <c r="CA900" s="1"/>
      <c r="CB900" s="1"/>
      <c r="CC900" s="1"/>
      <c r="CD900" s="1"/>
      <c r="CE900" s="1"/>
      <c r="CF900" s="1"/>
      <c r="CG900" s="1"/>
      <c r="CH900" s="1"/>
      <c r="CI900" s="1"/>
      <c r="CJ900" s="1"/>
      <c r="CK900" s="1"/>
      <c r="CL900" s="1"/>
      <c r="CM900" s="1"/>
      <c r="CN900" s="1"/>
      <c r="CO900" s="1"/>
      <c r="CP900" s="1"/>
      <c r="CQ900" s="1"/>
      <c r="CR900" s="1"/>
      <c r="CS900" s="1"/>
      <c r="CT900" s="1"/>
      <c r="CU900" s="1"/>
      <c r="CV900" s="1"/>
      <c r="CW900" s="1"/>
      <c r="CX900" s="1"/>
      <c r="CY900" s="1"/>
      <c r="CZ900" s="1"/>
      <c r="DA900" s="1"/>
      <c r="DB900" s="1"/>
      <c r="DC900" s="1"/>
      <c r="DD900" s="1"/>
      <c r="DE900" s="1"/>
      <c r="DF900" s="1"/>
      <c r="DG900" s="1"/>
      <c r="DH900" s="1"/>
      <c r="DI900" s="1"/>
      <c r="DJ900" s="1"/>
      <c r="DK900" s="1"/>
      <c r="DL900" s="1"/>
      <c r="DM900" s="1"/>
      <c r="DN900" s="1"/>
      <c r="DO900" s="1"/>
      <c r="DP900" s="1"/>
      <c r="DQ900" s="1"/>
      <c r="DR900" s="1"/>
      <c r="DS900" s="1"/>
      <c r="DT900" s="1"/>
      <c r="DU900" s="1"/>
      <c r="DV900" s="1"/>
      <c r="DW900" s="1"/>
      <c r="DX900" s="1"/>
      <c r="DY900" s="1"/>
      <c r="DZ900" s="1"/>
      <c r="EA900" s="1"/>
      <c r="EB900" s="1"/>
      <c r="EC900" s="1"/>
      <c r="ED900" s="1"/>
      <c r="EE900" s="1"/>
      <c r="EF900" s="1"/>
      <c r="EG900" s="1"/>
      <c r="EH900" s="1"/>
      <c r="EI900" s="1"/>
      <c r="EJ900" s="1"/>
      <c r="EK900" s="1"/>
      <c r="EL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c r="BR901" s="1"/>
      <c r="BS901" s="1"/>
      <c r="BT901" s="1"/>
      <c r="BU901" s="1"/>
      <c r="BV901" s="1"/>
      <c r="BW901" s="1"/>
      <c r="BX901" s="1"/>
      <c r="BY901" s="1"/>
      <c r="BZ901" s="1"/>
      <c r="CA901" s="1"/>
      <c r="CB901" s="1"/>
      <c r="CC901" s="1"/>
      <c r="CD901" s="1"/>
      <c r="CE901" s="1"/>
      <c r="CF901" s="1"/>
      <c r="CG901" s="1"/>
      <c r="CH901" s="1"/>
      <c r="CI901" s="1"/>
      <c r="CJ901" s="1"/>
      <c r="CK901" s="1"/>
      <c r="CL901" s="1"/>
      <c r="CM901" s="1"/>
      <c r="CN901" s="1"/>
      <c r="CO901" s="1"/>
      <c r="CP901" s="1"/>
      <c r="CQ901" s="1"/>
      <c r="CR901" s="1"/>
      <c r="CS901" s="1"/>
      <c r="CT901" s="1"/>
      <c r="CU901" s="1"/>
      <c r="CV901" s="1"/>
      <c r="CW901" s="1"/>
      <c r="CX901" s="1"/>
      <c r="CY901" s="1"/>
      <c r="CZ901" s="1"/>
      <c r="DA901" s="1"/>
      <c r="DB901" s="1"/>
      <c r="DC901" s="1"/>
      <c r="DD901" s="1"/>
      <c r="DE901" s="1"/>
      <c r="DF901" s="1"/>
      <c r="DG901" s="1"/>
      <c r="DH901" s="1"/>
      <c r="DI901" s="1"/>
      <c r="DJ901" s="1"/>
      <c r="DK901" s="1"/>
      <c r="DL901" s="1"/>
      <c r="DM901" s="1"/>
      <c r="DN901" s="1"/>
      <c r="DO901" s="1"/>
      <c r="DP901" s="1"/>
      <c r="DQ901" s="1"/>
      <c r="DR901" s="1"/>
      <c r="DS901" s="1"/>
      <c r="DT901" s="1"/>
      <c r="DU901" s="1"/>
      <c r="DV901" s="1"/>
      <c r="DW901" s="1"/>
      <c r="DX901" s="1"/>
      <c r="DY901" s="1"/>
      <c r="DZ901" s="1"/>
      <c r="EA901" s="1"/>
      <c r="EB901" s="1"/>
      <c r="EC901" s="1"/>
      <c r="ED901" s="1"/>
      <c r="EE901" s="1"/>
      <c r="EF901" s="1"/>
      <c r="EG901" s="1"/>
      <c r="EH901" s="1"/>
      <c r="EI901" s="1"/>
      <c r="EJ901" s="1"/>
      <c r="EK901" s="1"/>
      <c r="EL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c r="BR902" s="1"/>
      <c r="BS902" s="1"/>
      <c r="BT902" s="1"/>
      <c r="BU902" s="1"/>
      <c r="BV902" s="1"/>
      <c r="BW902" s="1"/>
      <c r="BX902" s="1"/>
      <c r="BY902" s="1"/>
      <c r="BZ902" s="1"/>
      <c r="CA902" s="1"/>
      <c r="CB902" s="1"/>
      <c r="CC902" s="1"/>
      <c r="CD902" s="1"/>
      <c r="CE902" s="1"/>
      <c r="CF902" s="1"/>
      <c r="CG902" s="1"/>
      <c r="CH902" s="1"/>
      <c r="CI902" s="1"/>
      <c r="CJ902" s="1"/>
      <c r="CK902" s="1"/>
      <c r="CL902" s="1"/>
      <c r="CM902" s="1"/>
      <c r="CN902" s="1"/>
      <c r="CO902" s="1"/>
      <c r="CP902" s="1"/>
      <c r="CQ902" s="1"/>
      <c r="CR902" s="1"/>
      <c r="CS902" s="1"/>
      <c r="CT902" s="1"/>
      <c r="CU902" s="1"/>
      <c r="CV902" s="1"/>
      <c r="CW902" s="1"/>
      <c r="CX902" s="1"/>
      <c r="CY902" s="1"/>
      <c r="CZ902" s="1"/>
      <c r="DA902" s="1"/>
      <c r="DB902" s="1"/>
      <c r="DC902" s="1"/>
      <c r="DD902" s="1"/>
      <c r="DE902" s="1"/>
      <c r="DF902" s="1"/>
      <c r="DG902" s="1"/>
      <c r="DH902" s="1"/>
      <c r="DI902" s="1"/>
      <c r="DJ902" s="1"/>
      <c r="DK902" s="1"/>
      <c r="DL902" s="1"/>
      <c r="DM902" s="1"/>
      <c r="DN902" s="1"/>
      <c r="DO902" s="1"/>
      <c r="DP902" s="1"/>
      <c r="DQ902" s="1"/>
      <c r="DR902" s="1"/>
      <c r="DS902" s="1"/>
      <c r="DT902" s="1"/>
      <c r="DU902" s="1"/>
      <c r="DV902" s="1"/>
      <c r="DW902" s="1"/>
      <c r="DX902" s="1"/>
      <c r="DY902" s="1"/>
      <c r="DZ902" s="1"/>
      <c r="EA902" s="1"/>
      <c r="EB902" s="1"/>
      <c r="EC902" s="1"/>
      <c r="ED902" s="1"/>
      <c r="EE902" s="1"/>
      <c r="EF902" s="1"/>
      <c r="EG902" s="1"/>
      <c r="EH902" s="1"/>
      <c r="EI902" s="1"/>
      <c r="EJ902" s="1"/>
      <c r="EK902" s="1"/>
      <c r="EL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c r="BR903" s="1"/>
      <c r="BS903" s="1"/>
      <c r="BT903" s="1"/>
      <c r="BU903" s="1"/>
      <c r="BV903" s="1"/>
      <c r="BW903" s="1"/>
      <c r="BX903" s="1"/>
      <c r="BY903" s="1"/>
      <c r="BZ903" s="1"/>
      <c r="CA903" s="1"/>
      <c r="CB903" s="1"/>
      <c r="CC903" s="1"/>
      <c r="CD903" s="1"/>
      <c r="CE903" s="1"/>
      <c r="CF903" s="1"/>
      <c r="CG903" s="1"/>
      <c r="CH903" s="1"/>
      <c r="CI903" s="1"/>
      <c r="CJ903" s="1"/>
      <c r="CK903" s="1"/>
      <c r="CL903" s="1"/>
      <c r="CM903" s="1"/>
      <c r="CN903" s="1"/>
      <c r="CO903" s="1"/>
      <c r="CP903" s="1"/>
      <c r="CQ903" s="1"/>
      <c r="CR903" s="1"/>
      <c r="CS903" s="1"/>
      <c r="CT903" s="1"/>
      <c r="CU903" s="1"/>
      <c r="CV903" s="1"/>
      <c r="CW903" s="1"/>
      <c r="CX903" s="1"/>
      <c r="CY903" s="1"/>
      <c r="CZ903" s="1"/>
      <c r="DA903" s="1"/>
      <c r="DB903" s="1"/>
      <c r="DC903" s="1"/>
      <c r="DD903" s="1"/>
      <c r="DE903" s="1"/>
      <c r="DF903" s="1"/>
      <c r="DG903" s="1"/>
      <c r="DH903" s="1"/>
      <c r="DI903" s="1"/>
      <c r="DJ903" s="1"/>
      <c r="DK903" s="1"/>
      <c r="DL903" s="1"/>
      <c r="DM903" s="1"/>
      <c r="DN903" s="1"/>
      <c r="DO903" s="1"/>
      <c r="DP903" s="1"/>
      <c r="DQ903" s="1"/>
      <c r="DR903" s="1"/>
      <c r="DS903" s="1"/>
      <c r="DT903" s="1"/>
      <c r="DU903" s="1"/>
      <c r="DV903" s="1"/>
      <c r="DW903" s="1"/>
      <c r="DX903" s="1"/>
      <c r="DY903" s="1"/>
      <c r="DZ903" s="1"/>
      <c r="EA903" s="1"/>
      <c r="EB903" s="1"/>
      <c r="EC903" s="1"/>
      <c r="ED903" s="1"/>
      <c r="EE903" s="1"/>
      <c r="EF903" s="1"/>
      <c r="EG903" s="1"/>
      <c r="EH903" s="1"/>
      <c r="EI903" s="1"/>
      <c r="EJ903" s="1"/>
      <c r="EK903" s="1"/>
      <c r="EL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c r="BR904" s="1"/>
      <c r="BS904" s="1"/>
      <c r="BT904" s="1"/>
      <c r="BU904" s="1"/>
      <c r="BV904" s="1"/>
      <c r="BW904" s="1"/>
      <c r="BX904" s="1"/>
      <c r="BY904" s="1"/>
      <c r="BZ904" s="1"/>
      <c r="CA904" s="1"/>
      <c r="CB904" s="1"/>
      <c r="CC904" s="1"/>
      <c r="CD904" s="1"/>
      <c r="CE904" s="1"/>
      <c r="CF904" s="1"/>
      <c r="CG904" s="1"/>
      <c r="CH904" s="1"/>
      <c r="CI904" s="1"/>
      <c r="CJ904" s="1"/>
      <c r="CK904" s="1"/>
      <c r="CL904" s="1"/>
      <c r="CM904" s="1"/>
      <c r="CN904" s="1"/>
      <c r="CO904" s="1"/>
      <c r="CP904" s="1"/>
      <c r="CQ904" s="1"/>
      <c r="CR904" s="1"/>
      <c r="CS904" s="1"/>
      <c r="CT904" s="1"/>
      <c r="CU904" s="1"/>
      <c r="CV904" s="1"/>
      <c r="CW904" s="1"/>
      <c r="CX904" s="1"/>
      <c r="CY904" s="1"/>
      <c r="CZ904" s="1"/>
      <c r="DA904" s="1"/>
      <c r="DB904" s="1"/>
      <c r="DC904" s="1"/>
      <c r="DD904" s="1"/>
      <c r="DE904" s="1"/>
      <c r="DF904" s="1"/>
      <c r="DG904" s="1"/>
      <c r="DH904" s="1"/>
      <c r="DI904" s="1"/>
      <c r="DJ904" s="1"/>
      <c r="DK904" s="1"/>
      <c r="DL904" s="1"/>
      <c r="DM904" s="1"/>
      <c r="DN904" s="1"/>
      <c r="DO904" s="1"/>
      <c r="DP904" s="1"/>
      <c r="DQ904" s="1"/>
      <c r="DR904" s="1"/>
      <c r="DS904" s="1"/>
      <c r="DT904" s="1"/>
      <c r="DU904" s="1"/>
      <c r="DV904" s="1"/>
      <c r="DW904" s="1"/>
      <c r="DX904" s="1"/>
      <c r="DY904" s="1"/>
      <c r="DZ904" s="1"/>
      <c r="EA904" s="1"/>
      <c r="EB904" s="1"/>
      <c r="EC904" s="1"/>
      <c r="ED904" s="1"/>
      <c r="EE904" s="1"/>
      <c r="EF904" s="1"/>
      <c r="EG904" s="1"/>
      <c r="EH904" s="1"/>
      <c r="EI904" s="1"/>
      <c r="EJ904" s="1"/>
      <c r="EK904" s="1"/>
      <c r="EL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c r="BR905" s="1"/>
      <c r="BS905" s="1"/>
      <c r="BT905" s="1"/>
      <c r="BU905" s="1"/>
      <c r="BV905" s="1"/>
      <c r="BW905" s="1"/>
      <c r="BX905" s="1"/>
      <c r="BY905" s="1"/>
      <c r="BZ905" s="1"/>
      <c r="CA905" s="1"/>
      <c r="CB905" s="1"/>
      <c r="CC905" s="1"/>
      <c r="CD905" s="1"/>
      <c r="CE905" s="1"/>
      <c r="CF905" s="1"/>
      <c r="CG905" s="1"/>
      <c r="CH905" s="1"/>
      <c r="CI905" s="1"/>
      <c r="CJ905" s="1"/>
      <c r="CK905" s="1"/>
      <c r="CL905" s="1"/>
      <c r="CM905" s="1"/>
      <c r="CN905" s="1"/>
      <c r="CO905" s="1"/>
      <c r="CP905" s="1"/>
      <c r="CQ905" s="1"/>
      <c r="CR905" s="1"/>
      <c r="CS905" s="1"/>
      <c r="CT905" s="1"/>
      <c r="CU905" s="1"/>
      <c r="CV905" s="1"/>
      <c r="CW905" s="1"/>
      <c r="CX905" s="1"/>
      <c r="CY905" s="1"/>
      <c r="CZ905" s="1"/>
      <c r="DA905" s="1"/>
      <c r="DB905" s="1"/>
      <c r="DC905" s="1"/>
      <c r="DD905" s="1"/>
      <c r="DE905" s="1"/>
      <c r="DF905" s="1"/>
      <c r="DG905" s="1"/>
      <c r="DH905" s="1"/>
      <c r="DI905" s="1"/>
      <c r="DJ905" s="1"/>
      <c r="DK905" s="1"/>
      <c r="DL905" s="1"/>
      <c r="DM905" s="1"/>
      <c r="DN905" s="1"/>
      <c r="DO905" s="1"/>
      <c r="DP905" s="1"/>
      <c r="DQ905" s="1"/>
      <c r="DR905" s="1"/>
      <c r="DS905" s="1"/>
      <c r="DT905" s="1"/>
      <c r="DU905" s="1"/>
      <c r="DV905" s="1"/>
      <c r="DW905" s="1"/>
      <c r="DX905" s="1"/>
      <c r="DY905" s="1"/>
      <c r="DZ905" s="1"/>
      <c r="EA905" s="1"/>
      <c r="EB905" s="1"/>
      <c r="EC905" s="1"/>
      <c r="ED905" s="1"/>
      <c r="EE905" s="1"/>
      <c r="EF905" s="1"/>
      <c r="EG905" s="1"/>
      <c r="EH905" s="1"/>
      <c r="EI905" s="1"/>
      <c r="EJ905" s="1"/>
      <c r="EK905" s="1"/>
      <c r="EL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c r="BR906" s="1"/>
      <c r="BS906" s="1"/>
      <c r="BT906" s="1"/>
      <c r="BU906" s="1"/>
      <c r="BV906" s="1"/>
      <c r="BW906" s="1"/>
      <c r="BX906" s="1"/>
      <c r="BY906" s="1"/>
      <c r="BZ906" s="1"/>
      <c r="CA906" s="1"/>
      <c r="CB906" s="1"/>
      <c r="CC906" s="1"/>
      <c r="CD906" s="1"/>
      <c r="CE906" s="1"/>
      <c r="CF906" s="1"/>
      <c r="CG906" s="1"/>
      <c r="CH906" s="1"/>
      <c r="CI906" s="1"/>
      <c r="CJ906" s="1"/>
      <c r="CK906" s="1"/>
      <c r="CL906" s="1"/>
      <c r="CM906" s="1"/>
      <c r="CN906" s="1"/>
      <c r="CO906" s="1"/>
      <c r="CP906" s="1"/>
      <c r="CQ906" s="1"/>
      <c r="CR906" s="1"/>
      <c r="CS906" s="1"/>
      <c r="CT906" s="1"/>
      <c r="CU906" s="1"/>
      <c r="CV906" s="1"/>
      <c r="CW906" s="1"/>
      <c r="CX906" s="1"/>
      <c r="CY906" s="1"/>
      <c r="CZ906" s="1"/>
      <c r="DA906" s="1"/>
      <c r="DB906" s="1"/>
      <c r="DC906" s="1"/>
      <c r="DD906" s="1"/>
      <c r="DE906" s="1"/>
      <c r="DF906" s="1"/>
      <c r="DG906" s="1"/>
      <c r="DH906" s="1"/>
      <c r="DI906" s="1"/>
      <c r="DJ906" s="1"/>
      <c r="DK906" s="1"/>
      <c r="DL906" s="1"/>
      <c r="DM906" s="1"/>
      <c r="DN906" s="1"/>
      <c r="DO906" s="1"/>
      <c r="DP906" s="1"/>
      <c r="DQ906" s="1"/>
      <c r="DR906" s="1"/>
      <c r="DS906" s="1"/>
      <c r="DT906" s="1"/>
      <c r="DU906" s="1"/>
      <c r="DV906" s="1"/>
      <c r="DW906" s="1"/>
      <c r="DX906" s="1"/>
      <c r="DY906" s="1"/>
      <c r="DZ906" s="1"/>
      <c r="EA906" s="1"/>
      <c r="EB906" s="1"/>
      <c r="EC906" s="1"/>
      <c r="ED906" s="1"/>
      <c r="EE906" s="1"/>
      <c r="EF906" s="1"/>
      <c r="EG906" s="1"/>
      <c r="EH906" s="1"/>
      <c r="EI906" s="1"/>
      <c r="EJ906" s="1"/>
      <c r="EK906" s="1"/>
      <c r="EL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c r="BR907" s="1"/>
      <c r="BS907" s="1"/>
      <c r="BT907" s="1"/>
      <c r="BU907" s="1"/>
      <c r="BV907" s="1"/>
      <c r="BW907" s="1"/>
      <c r="BX907" s="1"/>
      <c r="BY907" s="1"/>
      <c r="BZ907" s="1"/>
      <c r="CA907" s="1"/>
      <c r="CB907" s="1"/>
      <c r="CC907" s="1"/>
      <c r="CD907" s="1"/>
      <c r="CE907" s="1"/>
      <c r="CF907" s="1"/>
      <c r="CG907" s="1"/>
      <c r="CH907" s="1"/>
      <c r="CI907" s="1"/>
      <c r="CJ907" s="1"/>
      <c r="CK907" s="1"/>
      <c r="CL907" s="1"/>
      <c r="CM907" s="1"/>
      <c r="CN907" s="1"/>
      <c r="CO907" s="1"/>
      <c r="CP907" s="1"/>
      <c r="CQ907" s="1"/>
      <c r="CR907" s="1"/>
      <c r="CS907" s="1"/>
      <c r="CT907" s="1"/>
      <c r="CU907" s="1"/>
      <c r="CV907" s="1"/>
      <c r="CW907" s="1"/>
      <c r="CX907" s="1"/>
      <c r="CY907" s="1"/>
      <c r="CZ907" s="1"/>
      <c r="DA907" s="1"/>
      <c r="DB907" s="1"/>
      <c r="DC907" s="1"/>
      <c r="DD907" s="1"/>
      <c r="DE907" s="1"/>
      <c r="DF907" s="1"/>
      <c r="DG907" s="1"/>
      <c r="DH907" s="1"/>
      <c r="DI907" s="1"/>
      <c r="DJ907" s="1"/>
      <c r="DK907" s="1"/>
      <c r="DL907" s="1"/>
      <c r="DM907" s="1"/>
      <c r="DN907" s="1"/>
      <c r="DO907" s="1"/>
      <c r="DP907" s="1"/>
      <c r="DQ907" s="1"/>
      <c r="DR907" s="1"/>
      <c r="DS907" s="1"/>
      <c r="DT907" s="1"/>
      <c r="DU907" s="1"/>
      <c r="DV907" s="1"/>
      <c r="DW907" s="1"/>
      <c r="DX907" s="1"/>
      <c r="DY907" s="1"/>
      <c r="DZ907" s="1"/>
      <c r="EA907" s="1"/>
      <c r="EB907" s="1"/>
      <c r="EC907" s="1"/>
      <c r="ED907" s="1"/>
      <c r="EE907" s="1"/>
      <c r="EF907" s="1"/>
      <c r="EG907" s="1"/>
      <c r="EH907" s="1"/>
      <c r="EI907" s="1"/>
      <c r="EJ907" s="1"/>
      <c r="EK907" s="1"/>
      <c r="EL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c r="BR908" s="1"/>
      <c r="BS908" s="1"/>
      <c r="BT908" s="1"/>
      <c r="BU908" s="1"/>
      <c r="BV908" s="1"/>
      <c r="BW908" s="1"/>
      <c r="BX908" s="1"/>
      <c r="BY908" s="1"/>
      <c r="BZ908" s="1"/>
      <c r="CA908" s="1"/>
      <c r="CB908" s="1"/>
      <c r="CC908" s="1"/>
      <c r="CD908" s="1"/>
      <c r="CE908" s="1"/>
      <c r="CF908" s="1"/>
      <c r="CG908" s="1"/>
      <c r="CH908" s="1"/>
      <c r="CI908" s="1"/>
      <c r="CJ908" s="1"/>
      <c r="CK908" s="1"/>
      <c r="CL908" s="1"/>
      <c r="CM908" s="1"/>
      <c r="CN908" s="1"/>
      <c r="CO908" s="1"/>
      <c r="CP908" s="1"/>
      <c r="CQ908" s="1"/>
      <c r="CR908" s="1"/>
      <c r="CS908" s="1"/>
      <c r="CT908" s="1"/>
      <c r="CU908" s="1"/>
      <c r="CV908" s="1"/>
      <c r="CW908" s="1"/>
      <c r="CX908" s="1"/>
      <c r="CY908" s="1"/>
      <c r="CZ908" s="1"/>
      <c r="DA908" s="1"/>
      <c r="DB908" s="1"/>
      <c r="DC908" s="1"/>
      <c r="DD908" s="1"/>
      <c r="DE908" s="1"/>
      <c r="DF908" s="1"/>
      <c r="DG908" s="1"/>
      <c r="DH908" s="1"/>
      <c r="DI908" s="1"/>
      <c r="DJ908" s="1"/>
      <c r="DK908" s="1"/>
      <c r="DL908" s="1"/>
      <c r="DM908" s="1"/>
      <c r="DN908" s="1"/>
      <c r="DO908" s="1"/>
      <c r="DP908" s="1"/>
      <c r="DQ908" s="1"/>
      <c r="DR908" s="1"/>
      <c r="DS908" s="1"/>
      <c r="DT908" s="1"/>
      <c r="DU908" s="1"/>
      <c r="DV908" s="1"/>
      <c r="DW908" s="1"/>
      <c r="DX908" s="1"/>
      <c r="DY908" s="1"/>
      <c r="DZ908" s="1"/>
      <c r="EA908" s="1"/>
      <c r="EB908" s="1"/>
      <c r="EC908" s="1"/>
      <c r="ED908" s="1"/>
      <c r="EE908" s="1"/>
      <c r="EF908" s="1"/>
      <c r="EG908" s="1"/>
      <c r="EH908" s="1"/>
      <c r="EI908" s="1"/>
      <c r="EJ908" s="1"/>
      <c r="EK908" s="1"/>
      <c r="EL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c r="BR909" s="1"/>
      <c r="BS909" s="1"/>
      <c r="BT909" s="1"/>
      <c r="BU909" s="1"/>
      <c r="BV909" s="1"/>
      <c r="BW909" s="1"/>
      <c r="BX909" s="1"/>
      <c r="BY909" s="1"/>
      <c r="BZ909" s="1"/>
      <c r="CA909" s="1"/>
      <c r="CB909" s="1"/>
      <c r="CC909" s="1"/>
      <c r="CD909" s="1"/>
      <c r="CE909" s="1"/>
      <c r="CF909" s="1"/>
      <c r="CG909" s="1"/>
      <c r="CH909" s="1"/>
      <c r="CI909" s="1"/>
      <c r="CJ909" s="1"/>
      <c r="CK909" s="1"/>
      <c r="CL909" s="1"/>
      <c r="CM909" s="1"/>
      <c r="CN909" s="1"/>
      <c r="CO909" s="1"/>
      <c r="CP909" s="1"/>
      <c r="CQ909" s="1"/>
      <c r="CR909" s="1"/>
      <c r="CS909" s="1"/>
      <c r="CT909" s="1"/>
      <c r="CU909" s="1"/>
      <c r="CV909" s="1"/>
      <c r="CW909" s="1"/>
      <c r="CX909" s="1"/>
      <c r="CY909" s="1"/>
      <c r="CZ909" s="1"/>
      <c r="DA909" s="1"/>
      <c r="DB909" s="1"/>
      <c r="DC909" s="1"/>
      <c r="DD909" s="1"/>
      <c r="DE909" s="1"/>
      <c r="DF909" s="1"/>
      <c r="DG909" s="1"/>
      <c r="DH909" s="1"/>
      <c r="DI909" s="1"/>
      <c r="DJ909" s="1"/>
      <c r="DK909" s="1"/>
      <c r="DL909" s="1"/>
      <c r="DM909" s="1"/>
      <c r="DN909" s="1"/>
      <c r="DO909" s="1"/>
      <c r="DP909" s="1"/>
      <c r="DQ909" s="1"/>
      <c r="DR909" s="1"/>
      <c r="DS909" s="1"/>
      <c r="DT909" s="1"/>
      <c r="DU909" s="1"/>
      <c r="DV909" s="1"/>
      <c r="DW909" s="1"/>
      <c r="DX909" s="1"/>
      <c r="DY909" s="1"/>
      <c r="DZ909" s="1"/>
      <c r="EA909" s="1"/>
      <c r="EB909" s="1"/>
      <c r="EC909" s="1"/>
      <c r="ED909" s="1"/>
      <c r="EE909" s="1"/>
      <c r="EF909" s="1"/>
      <c r="EG909" s="1"/>
      <c r="EH909" s="1"/>
      <c r="EI909" s="1"/>
      <c r="EJ909" s="1"/>
      <c r="EK909" s="1"/>
      <c r="EL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c r="BR910" s="1"/>
      <c r="BS910" s="1"/>
      <c r="BT910" s="1"/>
      <c r="BU910" s="1"/>
      <c r="BV910" s="1"/>
      <c r="BW910" s="1"/>
      <c r="BX910" s="1"/>
      <c r="BY910" s="1"/>
      <c r="BZ910" s="1"/>
      <c r="CA910" s="1"/>
      <c r="CB910" s="1"/>
      <c r="CC910" s="1"/>
      <c r="CD910" s="1"/>
      <c r="CE910" s="1"/>
      <c r="CF910" s="1"/>
      <c r="CG910" s="1"/>
      <c r="CH910" s="1"/>
      <c r="CI910" s="1"/>
      <c r="CJ910" s="1"/>
      <c r="CK910" s="1"/>
      <c r="CL910" s="1"/>
      <c r="CM910" s="1"/>
      <c r="CN910" s="1"/>
      <c r="CO910" s="1"/>
      <c r="CP910" s="1"/>
      <c r="CQ910" s="1"/>
      <c r="CR910" s="1"/>
      <c r="CS910" s="1"/>
      <c r="CT910" s="1"/>
      <c r="CU910" s="1"/>
      <c r="CV910" s="1"/>
      <c r="CW910" s="1"/>
      <c r="CX910" s="1"/>
      <c r="CY910" s="1"/>
      <c r="CZ910" s="1"/>
      <c r="DA910" s="1"/>
      <c r="DB910" s="1"/>
      <c r="DC910" s="1"/>
      <c r="DD910" s="1"/>
      <c r="DE910" s="1"/>
      <c r="DF910" s="1"/>
      <c r="DG910" s="1"/>
      <c r="DH910" s="1"/>
      <c r="DI910" s="1"/>
      <c r="DJ910" s="1"/>
      <c r="DK910" s="1"/>
      <c r="DL910" s="1"/>
      <c r="DM910" s="1"/>
      <c r="DN910" s="1"/>
      <c r="DO910" s="1"/>
      <c r="DP910" s="1"/>
      <c r="DQ910" s="1"/>
      <c r="DR910" s="1"/>
      <c r="DS910" s="1"/>
      <c r="DT910" s="1"/>
      <c r="DU910" s="1"/>
      <c r="DV910" s="1"/>
      <c r="DW910" s="1"/>
      <c r="DX910" s="1"/>
      <c r="DY910" s="1"/>
      <c r="DZ910" s="1"/>
      <c r="EA910" s="1"/>
      <c r="EB910" s="1"/>
      <c r="EC910" s="1"/>
      <c r="ED910" s="1"/>
      <c r="EE910" s="1"/>
      <c r="EF910" s="1"/>
      <c r="EG910" s="1"/>
      <c r="EH910" s="1"/>
      <c r="EI910" s="1"/>
      <c r="EJ910" s="1"/>
      <c r="EK910" s="1"/>
      <c r="EL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c r="BR911" s="1"/>
      <c r="BS911" s="1"/>
      <c r="BT911" s="1"/>
      <c r="BU911" s="1"/>
      <c r="BV911" s="1"/>
      <c r="BW911" s="1"/>
      <c r="BX911" s="1"/>
      <c r="BY911" s="1"/>
      <c r="BZ911" s="1"/>
      <c r="CA911" s="1"/>
      <c r="CB911" s="1"/>
      <c r="CC911" s="1"/>
      <c r="CD911" s="1"/>
      <c r="CE911" s="1"/>
      <c r="CF911" s="1"/>
      <c r="CG911" s="1"/>
      <c r="CH911" s="1"/>
      <c r="CI911" s="1"/>
      <c r="CJ911" s="1"/>
      <c r="CK911" s="1"/>
      <c r="CL911" s="1"/>
      <c r="CM911" s="1"/>
      <c r="CN911" s="1"/>
      <c r="CO911" s="1"/>
      <c r="CP911" s="1"/>
      <c r="CQ911" s="1"/>
      <c r="CR911" s="1"/>
      <c r="CS911" s="1"/>
      <c r="CT911" s="1"/>
      <c r="CU911" s="1"/>
      <c r="CV911" s="1"/>
      <c r="CW911" s="1"/>
      <c r="CX911" s="1"/>
      <c r="CY911" s="1"/>
      <c r="CZ911" s="1"/>
      <c r="DA911" s="1"/>
      <c r="DB911" s="1"/>
      <c r="DC911" s="1"/>
      <c r="DD911" s="1"/>
      <c r="DE911" s="1"/>
      <c r="DF911" s="1"/>
      <c r="DG911" s="1"/>
      <c r="DH911" s="1"/>
      <c r="DI911" s="1"/>
      <c r="DJ911" s="1"/>
      <c r="DK911" s="1"/>
      <c r="DL911" s="1"/>
      <c r="DM911" s="1"/>
      <c r="DN911" s="1"/>
      <c r="DO911" s="1"/>
      <c r="DP911" s="1"/>
      <c r="DQ911" s="1"/>
      <c r="DR911" s="1"/>
      <c r="DS911" s="1"/>
      <c r="DT911" s="1"/>
      <c r="DU911" s="1"/>
      <c r="DV911" s="1"/>
      <c r="DW911" s="1"/>
      <c r="DX911" s="1"/>
      <c r="DY911" s="1"/>
      <c r="DZ911" s="1"/>
      <c r="EA911" s="1"/>
      <c r="EB911" s="1"/>
      <c r="EC911" s="1"/>
      <c r="ED911" s="1"/>
      <c r="EE911" s="1"/>
      <c r="EF911" s="1"/>
      <c r="EG911" s="1"/>
      <c r="EH911" s="1"/>
      <c r="EI911" s="1"/>
      <c r="EJ911" s="1"/>
      <c r="EK911" s="1"/>
      <c r="EL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c r="BR912" s="1"/>
      <c r="BS912" s="1"/>
      <c r="BT912" s="1"/>
      <c r="BU912" s="1"/>
      <c r="BV912" s="1"/>
      <c r="BW912" s="1"/>
      <c r="BX912" s="1"/>
      <c r="BY912" s="1"/>
      <c r="BZ912" s="1"/>
      <c r="CA912" s="1"/>
      <c r="CB912" s="1"/>
      <c r="CC912" s="1"/>
      <c r="CD912" s="1"/>
      <c r="CE912" s="1"/>
      <c r="CF912" s="1"/>
      <c r="CG912" s="1"/>
      <c r="CH912" s="1"/>
      <c r="CI912" s="1"/>
      <c r="CJ912" s="1"/>
      <c r="CK912" s="1"/>
      <c r="CL912" s="1"/>
      <c r="CM912" s="1"/>
      <c r="CN912" s="1"/>
      <c r="CO912" s="1"/>
      <c r="CP912" s="1"/>
      <c r="CQ912" s="1"/>
      <c r="CR912" s="1"/>
      <c r="CS912" s="1"/>
      <c r="CT912" s="1"/>
      <c r="CU912" s="1"/>
      <c r="CV912" s="1"/>
      <c r="CW912" s="1"/>
      <c r="CX912" s="1"/>
      <c r="CY912" s="1"/>
      <c r="CZ912" s="1"/>
      <c r="DA912" s="1"/>
      <c r="DB912" s="1"/>
      <c r="DC912" s="1"/>
      <c r="DD912" s="1"/>
      <c r="DE912" s="1"/>
      <c r="DF912" s="1"/>
      <c r="DG912" s="1"/>
      <c r="DH912" s="1"/>
      <c r="DI912" s="1"/>
      <c r="DJ912" s="1"/>
      <c r="DK912" s="1"/>
      <c r="DL912" s="1"/>
      <c r="DM912" s="1"/>
      <c r="DN912" s="1"/>
      <c r="DO912" s="1"/>
      <c r="DP912" s="1"/>
      <c r="DQ912" s="1"/>
      <c r="DR912" s="1"/>
      <c r="DS912" s="1"/>
      <c r="DT912" s="1"/>
      <c r="DU912" s="1"/>
      <c r="DV912" s="1"/>
      <c r="DW912" s="1"/>
      <c r="DX912" s="1"/>
      <c r="DY912" s="1"/>
      <c r="DZ912" s="1"/>
      <c r="EA912" s="1"/>
      <c r="EB912" s="1"/>
      <c r="EC912" s="1"/>
      <c r="ED912" s="1"/>
      <c r="EE912" s="1"/>
      <c r="EF912" s="1"/>
      <c r="EG912" s="1"/>
      <c r="EH912" s="1"/>
      <c r="EI912" s="1"/>
      <c r="EJ912" s="1"/>
      <c r="EK912" s="1"/>
      <c r="EL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c r="BR913" s="1"/>
      <c r="BS913" s="1"/>
      <c r="BT913" s="1"/>
      <c r="BU913" s="1"/>
      <c r="BV913" s="1"/>
      <c r="BW913" s="1"/>
      <c r="BX913" s="1"/>
      <c r="BY913" s="1"/>
      <c r="BZ913" s="1"/>
      <c r="CA913" s="1"/>
      <c r="CB913" s="1"/>
      <c r="CC913" s="1"/>
      <c r="CD913" s="1"/>
      <c r="CE913" s="1"/>
      <c r="CF913" s="1"/>
      <c r="CG913" s="1"/>
      <c r="CH913" s="1"/>
      <c r="CI913" s="1"/>
      <c r="CJ913" s="1"/>
      <c r="CK913" s="1"/>
      <c r="CL913" s="1"/>
      <c r="CM913" s="1"/>
      <c r="CN913" s="1"/>
      <c r="CO913" s="1"/>
      <c r="CP913" s="1"/>
      <c r="CQ913" s="1"/>
      <c r="CR913" s="1"/>
      <c r="CS913" s="1"/>
      <c r="CT913" s="1"/>
      <c r="CU913" s="1"/>
      <c r="CV913" s="1"/>
      <c r="CW913" s="1"/>
      <c r="CX913" s="1"/>
      <c r="CY913" s="1"/>
      <c r="CZ913" s="1"/>
      <c r="DA913" s="1"/>
      <c r="DB913" s="1"/>
      <c r="DC913" s="1"/>
      <c r="DD913" s="1"/>
      <c r="DE913" s="1"/>
      <c r="DF913" s="1"/>
      <c r="DG913" s="1"/>
      <c r="DH913" s="1"/>
      <c r="DI913" s="1"/>
      <c r="DJ913" s="1"/>
      <c r="DK913" s="1"/>
      <c r="DL913" s="1"/>
      <c r="DM913" s="1"/>
      <c r="DN913" s="1"/>
      <c r="DO913" s="1"/>
      <c r="DP913" s="1"/>
      <c r="DQ913" s="1"/>
      <c r="DR913" s="1"/>
      <c r="DS913" s="1"/>
      <c r="DT913" s="1"/>
      <c r="DU913" s="1"/>
      <c r="DV913" s="1"/>
      <c r="DW913" s="1"/>
      <c r="DX913" s="1"/>
      <c r="DY913" s="1"/>
      <c r="DZ913" s="1"/>
      <c r="EA913" s="1"/>
      <c r="EB913" s="1"/>
      <c r="EC913" s="1"/>
      <c r="ED913" s="1"/>
      <c r="EE913" s="1"/>
      <c r="EF913" s="1"/>
      <c r="EG913" s="1"/>
      <c r="EH913" s="1"/>
      <c r="EI913" s="1"/>
      <c r="EJ913" s="1"/>
      <c r="EK913" s="1"/>
      <c r="EL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c r="BR914" s="1"/>
      <c r="BS914" s="1"/>
      <c r="BT914" s="1"/>
      <c r="BU914" s="1"/>
      <c r="BV914" s="1"/>
      <c r="BW914" s="1"/>
      <c r="BX914" s="1"/>
      <c r="BY914" s="1"/>
      <c r="BZ914" s="1"/>
      <c r="CA914" s="1"/>
      <c r="CB914" s="1"/>
      <c r="CC914" s="1"/>
      <c r="CD914" s="1"/>
      <c r="CE914" s="1"/>
      <c r="CF914" s="1"/>
      <c r="CG914" s="1"/>
      <c r="CH914" s="1"/>
      <c r="CI914" s="1"/>
      <c r="CJ914" s="1"/>
      <c r="CK914" s="1"/>
      <c r="CL914" s="1"/>
      <c r="CM914" s="1"/>
      <c r="CN914" s="1"/>
      <c r="CO914" s="1"/>
      <c r="CP914" s="1"/>
      <c r="CQ914" s="1"/>
      <c r="CR914" s="1"/>
      <c r="CS914" s="1"/>
      <c r="CT914" s="1"/>
      <c r="CU914" s="1"/>
      <c r="CV914" s="1"/>
      <c r="CW914" s="1"/>
      <c r="CX914" s="1"/>
      <c r="CY914" s="1"/>
      <c r="CZ914" s="1"/>
      <c r="DA914" s="1"/>
      <c r="DB914" s="1"/>
      <c r="DC914" s="1"/>
      <c r="DD914" s="1"/>
      <c r="DE914" s="1"/>
      <c r="DF914" s="1"/>
      <c r="DG914" s="1"/>
      <c r="DH914" s="1"/>
      <c r="DI914" s="1"/>
      <c r="DJ914" s="1"/>
      <c r="DK914" s="1"/>
      <c r="DL914" s="1"/>
      <c r="DM914" s="1"/>
      <c r="DN914" s="1"/>
      <c r="DO914" s="1"/>
      <c r="DP914" s="1"/>
      <c r="DQ914" s="1"/>
      <c r="DR914" s="1"/>
      <c r="DS914" s="1"/>
      <c r="DT914" s="1"/>
      <c r="DU914" s="1"/>
      <c r="DV914" s="1"/>
      <c r="DW914" s="1"/>
      <c r="DX914" s="1"/>
      <c r="DY914" s="1"/>
      <c r="DZ914" s="1"/>
      <c r="EA914" s="1"/>
      <c r="EB914" s="1"/>
      <c r="EC914" s="1"/>
      <c r="ED914" s="1"/>
      <c r="EE914" s="1"/>
      <c r="EF914" s="1"/>
      <c r="EG914" s="1"/>
      <c r="EH914" s="1"/>
      <c r="EI914" s="1"/>
      <c r="EJ914" s="1"/>
      <c r="EK914" s="1"/>
      <c r="EL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c r="BR915" s="1"/>
      <c r="BS915" s="1"/>
      <c r="BT915" s="1"/>
      <c r="BU915" s="1"/>
      <c r="BV915" s="1"/>
      <c r="BW915" s="1"/>
      <c r="BX915" s="1"/>
      <c r="BY915" s="1"/>
      <c r="BZ915" s="1"/>
      <c r="CA915" s="1"/>
      <c r="CB915" s="1"/>
      <c r="CC915" s="1"/>
      <c r="CD915" s="1"/>
      <c r="CE915" s="1"/>
      <c r="CF915" s="1"/>
      <c r="CG915" s="1"/>
      <c r="CH915" s="1"/>
      <c r="CI915" s="1"/>
      <c r="CJ915" s="1"/>
      <c r="CK915" s="1"/>
      <c r="CL915" s="1"/>
      <c r="CM915" s="1"/>
      <c r="CN915" s="1"/>
      <c r="CO915" s="1"/>
      <c r="CP915" s="1"/>
      <c r="CQ915" s="1"/>
      <c r="CR915" s="1"/>
      <c r="CS915" s="1"/>
      <c r="CT915" s="1"/>
      <c r="CU915" s="1"/>
      <c r="CV915" s="1"/>
      <c r="CW915" s="1"/>
      <c r="CX915" s="1"/>
      <c r="CY915" s="1"/>
      <c r="CZ915" s="1"/>
      <c r="DA915" s="1"/>
      <c r="DB915" s="1"/>
      <c r="DC915" s="1"/>
      <c r="DD915" s="1"/>
      <c r="DE915" s="1"/>
      <c r="DF915" s="1"/>
      <c r="DG915" s="1"/>
      <c r="DH915" s="1"/>
      <c r="DI915" s="1"/>
      <c r="DJ915" s="1"/>
      <c r="DK915" s="1"/>
      <c r="DL915" s="1"/>
      <c r="DM915" s="1"/>
      <c r="DN915" s="1"/>
      <c r="DO915" s="1"/>
      <c r="DP915" s="1"/>
      <c r="DQ915" s="1"/>
      <c r="DR915" s="1"/>
      <c r="DS915" s="1"/>
      <c r="DT915" s="1"/>
      <c r="DU915" s="1"/>
      <c r="DV915" s="1"/>
      <c r="DW915" s="1"/>
      <c r="DX915" s="1"/>
      <c r="DY915" s="1"/>
      <c r="DZ915" s="1"/>
      <c r="EA915" s="1"/>
      <c r="EB915" s="1"/>
      <c r="EC915" s="1"/>
      <c r="ED915" s="1"/>
      <c r="EE915" s="1"/>
      <c r="EF915" s="1"/>
      <c r="EG915" s="1"/>
      <c r="EH915" s="1"/>
      <c r="EI915" s="1"/>
      <c r="EJ915" s="1"/>
      <c r="EK915" s="1"/>
      <c r="EL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c r="BR916" s="1"/>
      <c r="BS916" s="1"/>
      <c r="BT916" s="1"/>
      <c r="BU916" s="1"/>
      <c r="BV916" s="1"/>
      <c r="BW916" s="1"/>
      <c r="BX916" s="1"/>
      <c r="BY916" s="1"/>
      <c r="BZ916" s="1"/>
      <c r="CA916" s="1"/>
      <c r="CB916" s="1"/>
      <c r="CC916" s="1"/>
      <c r="CD916" s="1"/>
      <c r="CE916" s="1"/>
      <c r="CF916" s="1"/>
      <c r="CG916" s="1"/>
      <c r="CH916" s="1"/>
      <c r="CI916" s="1"/>
      <c r="CJ916" s="1"/>
      <c r="CK916" s="1"/>
      <c r="CL916" s="1"/>
      <c r="CM916" s="1"/>
      <c r="CN916" s="1"/>
      <c r="CO916" s="1"/>
      <c r="CP916" s="1"/>
      <c r="CQ916" s="1"/>
      <c r="CR916" s="1"/>
      <c r="CS916" s="1"/>
      <c r="CT916" s="1"/>
      <c r="CU916" s="1"/>
      <c r="CV916" s="1"/>
      <c r="CW916" s="1"/>
      <c r="CX916" s="1"/>
      <c r="CY916" s="1"/>
      <c r="CZ916" s="1"/>
      <c r="DA916" s="1"/>
      <c r="DB916" s="1"/>
      <c r="DC916" s="1"/>
      <c r="DD916" s="1"/>
      <c r="DE916" s="1"/>
      <c r="DF916" s="1"/>
      <c r="DG916" s="1"/>
      <c r="DH916" s="1"/>
      <c r="DI916" s="1"/>
      <c r="DJ916" s="1"/>
      <c r="DK916" s="1"/>
      <c r="DL916" s="1"/>
      <c r="DM916" s="1"/>
      <c r="DN916" s="1"/>
      <c r="DO916" s="1"/>
      <c r="DP916" s="1"/>
      <c r="DQ916" s="1"/>
      <c r="DR916" s="1"/>
      <c r="DS916" s="1"/>
      <c r="DT916" s="1"/>
      <c r="DU916" s="1"/>
      <c r="DV916" s="1"/>
      <c r="DW916" s="1"/>
      <c r="DX916" s="1"/>
      <c r="DY916" s="1"/>
      <c r="DZ916" s="1"/>
      <c r="EA916" s="1"/>
      <c r="EB916" s="1"/>
      <c r="EC916" s="1"/>
      <c r="ED916" s="1"/>
      <c r="EE916" s="1"/>
      <c r="EF916" s="1"/>
      <c r="EG916" s="1"/>
      <c r="EH916" s="1"/>
      <c r="EI916" s="1"/>
      <c r="EJ916" s="1"/>
      <c r="EK916" s="1"/>
      <c r="EL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c r="BR917" s="1"/>
      <c r="BS917" s="1"/>
      <c r="BT917" s="1"/>
      <c r="BU917" s="1"/>
      <c r="BV917" s="1"/>
      <c r="BW917" s="1"/>
      <c r="BX917" s="1"/>
      <c r="BY917" s="1"/>
      <c r="BZ917" s="1"/>
      <c r="CA917" s="1"/>
      <c r="CB917" s="1"/>
      <c r="CC917" s="1"/>
      <c r="CD917" s="1"/>
      <c r="CE917" s="1"/>
      <c r="CF917" s="1"/>
      <c r="CG917" s="1"/>
      <c r="CH917" s="1"/>
      <c r="CI917" s="1"/>
      <c r="CJ917" s="1"/>
      <c r="CK917" s="1"/>
      <c r="CL917" s="1"/>
      <c r="CM917" s="1"/>
      <c r="CN917" s="1"/>
      <c r="CO917" s="1"/>
      <c r="CP917" s="1"/>
      <c r="CQ917" s="1"/>
      <c r="CR917" s="1"/>
      <c r="CS917" s="1"/>
      <c r="CT917" s="1"/>
      <c r="CU917" s="1"/>
      <c r="CV917" s="1"/>
      <c r="CW917" s="1"/>
      <c r="CX917" s="1"/>
      <c r="CY917" s="1"/>
      <c r="CZ917" s="1"/>
      <c r="DA917" s="1"/>
      <c r="DB917" s="1"/>
      <c r="DC917" s="1"/>
      <c r="DD917" s="1"/>
      <c r="DE917" s="1"/>
      <c r="DF917" s="1"/>
      <c r="DG917" s="1"/>
      <c r="DH917" s="1"/>
      <c r="DI917" s="1"/>
      <c r="DJ917" s="1"/>
      <c r="DK917" s="1"/>
      <c r="DL917" s="1"/>
      <c r="DM917" s="1"/>
      <c r="DN917" s="1"/>
      <c r="DO917" s="1"/>
      <c r="DP917" s="1"/>
      <c r="DQ917" s="1"/>
      <c r="DR917" s="1"/>
      <c r="DS917" s="1"/>
      <c r="DT917" s="1"/>
      <c r="DU917" s="1"/>
      <c r="DV917" s="1"/>
      <c r="DW917" s="1"/>
      <c r="DX917" s="1"/>
      <c r="DY917" s="1"/>
      <c r="DZ917" s="1"/>
      <c r="EA917" s="1"/>
      <c r="EB917" s="1"/>
      <c r="EC917" s="1"/>
      <c r="ED917" s="1"/>
      <c r="EE917" s="1"/>
      <c r="EF917" s="1"/>
      <c r="EG917" s="1"/>
      <c r="EH917" s="1"/>
      <c r="EI917" s="1"/>
      <c r="EJ917" s="1"/>
      <c r="EK917" s="1"/>
      <c r="EL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c r="BR918" s="1"/>
      <c r="BS918" s="1"/>
      <c r="BT918" s="1"/>
      <c r="BU918" s="1"/>
      <c r="BV918" s="1"/>
      <c r="BW918" s="1"/>
      <c r="BX918" s="1"/>
      <c r="BY918" s="1"/>
      <c r="BZ918" s="1"/>
      <c r="CA918" s="1"/>
      <c r="CB918" s="1"/>
      <c r="CC918" s="1"/>
      <c r="CD918" s="1"/>
      <c r="CE918" s="1"/>
      <c r="CF918" s="1"/>
      <c r="CG918" s="1"/>
      <c r="CH918" s="1"/>
      <c r="CI918" s="1"/>
      <c r="CJ918" s="1"/>
      <c r="CK918" s="1"/>
      <c r="CL918" s="1"/>
      <c r="CM918" s="1"/>
      <c r="CN918" s="1"/>
      <c r="CO918" s="1"/>
      <c r="CP918" s="1"/>
      <c r="CQ918" s="1"/>
      <c r="CR918" s="1"/>
      <c r="CS918" s="1"/>
      <c r="CT918" s="1"/>
      <c r="CU918" s="1"/>
      <c r="CV918" s="1"/>
      <c r="CW918" s="1"/>
      <c r="CX918" s="1"/>
      <c r="CY918" s="1"/>
      <c r="CZ918" s="1"/>
      <c r="DA918" s="1"/>
      <c r="DB918" s="1"/>
      <c r="DC918" s="1"/>
      <c r="DD918" s="1"/>
      <c r="DE918" s="1"/>
      <c r="DF918" s="1"/>
      <c r="DG918" s="1"/>
      <c r="DH918" s="1"/>
      <c r="DI918" s="1"/>
      <c r="DJ918" s="1"/>
      <c r="DK918" s="1"/>
      <c r="DL918" s="1"/>
      <c r="DM918" s="1"/>
      <c r="DN918" s="1"/>
      <c r="DO918" s="1"/>
      <c r="DP918" s="1"/>
      <c r="DQ918" s="1"/>
      <c r="DR918" s="1"/>
      <c r="DS918" s="1"/>
      <c r="DT918" s="1"/>
      <c r="DU918" s="1"/>
      <c r="DV918" s="1"/>
      <c r="DW918" s="1"/>
      <c r="DX918" s="1"/>
      <c r="DY918" s="1"/>
      <c r="DZ918" s="1"/>
      <c r="EA918" s="1"/>
      <c r="EB918" s="1"/>
      <c r="EC918" s="1"/>
      <c r="ED918" s="1"/>
      <c r="EE918" s="1"/>
      <c r="EF918" s="1"/>
      <c r="EG918" s="1"/>
      <c r="EH918" s="1"/>
      <c r="EI918" s="1"/>
      <c r="EJ918" s="1"/>
      <c r="EK918" s="1"/>
      <c r="EL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c r="BR919" s="1"/>
      <c r="BS919" s="1"/>
      <c r="BT919" s="1"/>
      <c r="BU919" s="1"/>
      <c r="BV919" s="1"/>
      <c r="BW919" s="1"/>
      <c r="BX919" s="1"/>
      <c r="BY919" s="1"/>
      <c r="BZ919" s="1"/>
      <c r="CA919" s="1"/>
      <c r="CB919" s="1"/>
      <c r="CC919" s="1"/>
      <c r="CD919" s="1"/>
      <c r="CE919" s="1"/>
      <c r="CF919" s="1"/>
      <c r="CG919" s="1"/>
      <c r="CH919" s="1"/>
      <c r="CI919" s="1"/>
      <c r="CJ919" s="1"/>
      <c r="CK919" s="1"/>
      <c r="CL919" s="1"/>
      <c r="CM919" s="1"/>
      <c r="CN919" s="1"/>
      <c r="CO919" s="1"/>
      <c r="CP919" s="1"/>
      <c r="CQ919" s="1"/>
      <c r="CR919" s="1"/>
      <c r="CS919" s="1"/>
      <c r="CT919" s="1"/>
      <c r="CU919" s="1"/>
      <c r="CV919" s="1"/>
      <c r="CW919" s="1"/>
      <c r="CX919" s="1"/>
      <c r="CY919" s="1"/>
      <c r="CZ919" s="1"/>
      <c r="DA919" s="1"/>
      <c r="DB919" s="1"/>
      <c r="DC919" s="1"/>
      <c r="DD919" s="1"/>
      <c r="DE919" s="1"/>
      <c r="DF919" s="1"/>
      <c r="DG919" s="1"/>
      <c r="DH919" s="1"/>
      <c r="DI919" s="1"/>
      <c r="DJ919" s="1"/>
      <c r="DK919" s="1"/>
      <c r="DL919" s="1"/>
      <c r="DM919" s="1"/>
      <c r="DN919" s="1"/>
      <c r="DO919" s="1"/>
      <c r="DP919" s="1"/>
      <c r="DQ919" s="1"/>
      <c r="DR919" s="1"/>
      <c r="DS919" s="1"/>
      <c r="DT919" s="1"/>
      <c r="DU919" s="1"/>
      <c r="DV919" s="1"/>
      <c r="DW919" s="1"/>
      <c r="DX919" s="1"/>
      <c r="DY919" s="1"/>
      <c r="DZ919" s="1"/>
      <c r="EA919" s="1"/>
      <c r="EB919" s="1"/>
      <c r="EC919" s="1"/>
      <c r="ED919" s="1"/>
      <c r="EE919" s="1"/>
      <c r="EF919" s="1"/>
      <c r="EG919" s="1"/>
      <c r="EH919" s="1"/>
      <c r="EI919" s="1"/>
      <c r="EJ919" s="1"/>
      <c r="EK919" s="1"/>
      <c r="EL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c r="BR920" s="1"/>
      <c r="BS920" s="1"/>
      <c r="BT920" s="1"/>
      <c r="BU920" s="1"/>
      <c r="BV920" s="1"/>
      <c r="BW920" s="1"/>
      <c r="BX920" s="1"/>
      <c r="BY920" s="1"/>
      <c r="BZ920" s="1"/>
      <c r="CA920" s="1"/>
      <c r="CB920" s="1"/>
      <c r="CC920" s="1"/>
      <c r="CD920" s="1"/>
      <c r="CE920" s="1"/>
      <c r="CF920" s="1"/>
      <c r="CG920" s="1"/>
      <c r="CH920" s="1"/>
      <c r="CI920" s="1"/>
      <c r="CJ920" s="1"/>
      <c r="CK920" s="1"/>
      <c r="CL920" s="1"/>
      <c r="CM920" s="1"/>
      <c r="CN920" s="1"/>
      <c r="CO920" s="1"/>
      <c r="CP920" s="1"/>
      <c r="CQ920" s="1"/>
      <c r="CR920" s="1"/>
      <c r="CS920" s="1"/>
      <c r="CT920" s="1"/>
      <c r="CU920" s="1"/>
      <c r="CV920" s="1"/>
      <c r="CW920" s="1"/>
      <c r="CX920" s="1"/>
      <c r="CY920" s="1"/>
      <c r="CZ920" s="1"/>
      <c r="DA920" s="1"/>
      <c r="DB920" s="1"/>
      <c r="DC920" s="1"/>
      <c r="DD920" s="1"/>
      <c r="DE920" s="1"/>
      <c r="DF920" s="1"/>
      <c r="DG920" s="1"/>
      <c r="DH920" s="1"/>
      <c r="DI920" s="1"/>
      <c r="DJ920" s="1"/>
      <c r="DK920" s="1"/>
      <c r="DL920" s="1"/>
      <c r="DM920" s="1"/>
      <c r="DN920" s="1"/>
      <c r="DO920" s="1"/>
      <c r="DP920" s="1"/>
      <c r="DQ920" s="1"/>
      <c r="DR920" s="1"/>
      <c r="DS920" s="1"/>
      <c r="DT920" s="1"/>
      <c r="DU920" s="1"/>
      <c r="DV920" s="1"/>
      <c r="DW920" s="1"/>
      <c r="DX920" s="1"/>
      <c r="DY920" s="1"/>
      <c r="DZ920" s="1"/>
      <c r="EA920" s="1"/>
      <c r="EB920" s="1"/>
      <c r="EC920" s="1"/>
      <c r="ED920" s="1"/>
      <c r="EE920" s="1"/>
      <c r="EF920" s="1"/>
      <c r="EG920" s="1"/>
      <c r="EH920" s="1"/>
      <c r="EI920" s="1"/>
      <c r="EJ920" s="1"/>
      <c r="EK920" s="1"/>
      <c r="EL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c r="BR921" s="1"/>
      <c r="BS921" s="1"/>
      <c r="BT921" s="1"/>
      <c r="BU921" s="1"/>
      <c r="BV921" s="1"/>
      <c r="BW921" s="1"/>
      <c r="BX921" s="1"/>
      <c r="BY921" s="1"/>
      <c r="BZ921" s="1"/>
      <c r="CA921" s="1"/>
      <c r="CB921" s="1"/>
      <c r="CC921" s="1"/>
      <c r="CD921" s="1"/>
      <c r="CE921" s="1"/>
      <c r="CF921" s="1"/>
      <c r="CG921" s="1"/>
      <c r="CH921" s="1"/>
      <c r="CI921" s="1"/>
      <c r="CJ921" s="1"/>
      <c r="CK921" s="1"/>
      <c r="CL921" s="1"/>
      <c r="CM921" s="1"/>
      <c r="CN921" s="1"/>
      <c r="CO921" s="1"/>
      <c r="CP921" s="1"/>
      <c r="CQ921" s="1"/>
      <c r="CR921" s="1"/>
      <c r="CS921" s="1"/>
      <c r="CT921" s="1"/>
      <c r="CU921" s="1"/>
      <c r="CV921" s="1"/>
      <c r="CW921" s="1"/>
      <c r="CX921" s="1"/>
      <c r="CY921" s="1"/>
      <c r="CZ921" s="1"/>
      <c r="DA921" s="1"/>
      <c r="DB921" s="1"/>
      <c r="DC921" s="1"/>
      <c r="DD921" s="1"/>
      <c r="DE921" s="1"/>
      <c r="DF921" s="1"/>
      <c r="DG921" s="1"/>
      <c r="DH921" s="1"/>
      <c r="DI921" s="1"/>
      <c r="DJ921" s="1"/>
      <c r="DK921" s="1"/>
      <c r="DL921" s="1"/>
      <c r="DM921" s="1"/>
      <c r="DN921" s="1"/>
      <c r="DO921" s="1"/>
      <c r="DP921" s="1"/>
      <c r="DQ921" s="1"/>
      <c r="DR921" s="1"/>
      <c r="DS921" s="1"/>
      <c r="DT921" s="1"/>
      <c r="DU921" s="1"/>
      <c r="DV921" s="1"/>
      <c r="DW921" s="1"/>
      <c r="DX921" s="1"/>
      <c r="DY921" s="1"/>
      <c r="DZ921" s="1"/>
      <c r="EA921" s="1"/>
      <c r="EB921" s="1"/>
      <c r="EC921" s="1"/>
      <c r="ED921" s="1"/>
      <c r="EE921" s="1"/>
      <c r="EF921" s="1"/>
      <c r="EG921" s="1"/>
      <c r="EH921" s="1"/>
      <c r="EI921" s="1"/>
      <c r="EJ921" s="1"/>
      <c r="EK921" s="1"/>
      <c r="EL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c r="BR922" s="1"/>
      <c r="BS922" s="1"/>
      <c r="BT922" s="1"/>
      <c r="BU922" s="1"/>
      <c r="BV922" s="1"/>
      <c r="BW922" s="1"/>
      <c r="BX922" s="1"/>
      <c r="BY922" s="1"/>
      <c r="BZ922" s="1"/>
      <c r="CA922" s="1"/>
      <c r="CB922" s="1"/>
      <c r="CC922" s="1"/>
      <c r="CD922" s="1"/>
      <c r="CE922" s="1"/>
      <c r="CF922" s="1"/>
      <c r="CG922" s="1"/>
      <c r="CH922" s="1"/>
      <c r="CI922" s="1"/>
      <c r="CJ922" s="1"/>
      <c r="CK922" s="1"/>
      <c r="CL922" s="1"/>
      <c r="CM922" s="1"/>
      <c r="CN922" s="1"/>
      <c r="CO922" s="1"/>
      <c r="CP922" s="1"/>
      <c r="CQ922" s="1"/>
      <c r="CR922" s="1"/>
      <c r="CS922" s="1"/>
      <c r="CT922" s="1"/>
      <c r="CU922" s="1"/>
      <c r="CV922" s="1"/>
      <c r="CW922" s="1"/>
      <c r="CX922" s="1"/>
      <c r="CY922" s="1"/>
      <c r="CZ922" s="1"/>
      <c r="DA922" s="1"/>
      <c r="DB922" s="1"/>
      <c r="DC922" s="1"/>
      <c r="DD922" s="1"/>
      <c r="DE922" s="1"/>
      <c r="DF922" s="1"/>
      <c r="DG922" s="1"/>
      <c r="DH922" s="1"/>
      <c r="DI922" s="1"/>
      <c r="DJ922" s="1"/>
      <c r="DK922" s="1"/>
      <c r="DL922" s="1"/>
      <c r="DM922" s="1"/>
      <c r="DN922" s="1"/>
      <c r="DO922" s="1"/>
      <c r="DP922" s="1"/>
      <c r="DQ922" s="1"/>
      <c r="DR922" s="1"/>
      <c r="DS922" s="1"/>
      <c r="DT922" s="1"/>
      <c r="DU922" s="1"/>
      <c r="DV922" s="1"/>
      <c r="DW922" s="1"/>
      <c r="DX922" s="1"/>
      <c r="DY922" s="1"/>
      <c r="DZ922" s="1"/>
      <c r="EA922" s="1"/>
      <c r="EB922" s="1"/>
      <c r="EC922" s="1"/>
      <c r="ED922" s="1"/>
      <c r="EE922" s="1"/>
      <c r="EF922" s="1"/>
      <c r="EG922" s="1"/>
      <c r="EH922" s="1"/>
      <c r="EI922" s="1"/>
      <c r="EJ922" s="1"/>
      <c r="EK922" s="1"/>
      <c r="EL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c r="BR923" s="1"/>
      <c r="BS923" s="1"/>
      <c r="BT923" s="1"/>
      <c r="BU923" s="1"/>
      <c r="BV923" s="1"/>
      <c r="BW923" s="1"/>
      <c r="BX923" s="1"/>
      <c r="BY923" s="1"/>
      <c r="BZ923" s="1"/>
      <c r="CA923" s="1"/>
      <c r="CB923" s="1"/>
      <c r="CC923" s="1"/>
      <c r="CD923" s="1"/>
      <c r="CE923" s="1"/>
      <c r="CF923" s="1"/>
      <c r="CG923" s="1"/>
      <c r="CH923" s="1"/>
      <c r="CI923" s="1"/>
      <c r="CJ923" s="1"/>
      <c r="CK923" s="1"/>
      <c r="CL923" s="1"/>
      <c r="CM923" s="1"/>
      <c r="CN923" s="1"/>
      <c r="CO923" s="1"/>
      <c r="CP923" s="1"/>
      <c r="CQ923" s="1"/>
      <c r="CR923" s="1"/>
      <c r="CS923" s="1"/>
      <c r="CT923" s="1"/>
      <c r="CU923" s="1"/>
      <c r="CV923" s="1"/>
      <c r="CW923" s="1"/>
      <c r="CX923" s="1"/>
      <c r="CY923" s="1"/>
      <c r="CZ923" s="1"/>
      <c r="DA923" s="1"/>
      <c r="DB923" s="1"/>
      <c r="DC923" s="1"/>
      <c r="DD923" s="1"/>
      <c r="DE923" s="1"/>
      <c r="DF923" s="1"/>
      <c r="DG923" s="1"/>
      <c r="DH923" s="1"/>
      <c r="DI923" s="1"/>
      <c r="DJ923" s="1"/>
      <c r="DK923" s="1"/>
      <c r="DL923" s="1"/>
      <c r="DM923" s="1"/>
      <c r="DN923" s="1"/>
      <c r="DO923" s="1"/>
      <c r="DP923" s="1"/>
      <c r="DQ923" s="1"/>
      <c r="DR923" s="1"/>
      <c r="DS923" s="1"/>
      <c r="DT923" s="1"/>
      <c r="DU923" s="1"/>
      <c r="DV923" s="1"/>
      <c r="DW923" s="1"/>
      <c r="DX923" s="1"/>
      <c r="DY923" s="1"/>
      <c r="DZ923" s="1"/>
      <c r="EA923" s="1"/>
      <c r="EB923" s="1"/>
      <c r="EC923" s="1"/>
      <c r="ED923" s="1"/>
      <c r="EE923" s="1"/>
      <c r="EF923" s="1"/>
      <c r="EG923" s="1"/>
      <c r="EH923" s="1"/>
      <c r="EI923" s="1"/>
      <c r="EJ923" s="1"/>
      <c r="EK923" s="1"/>
      <c r="EL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c r="BR924" s="1"/>
      <c r="BS924" s="1"/>
      <c r="BT924" s="1"/>
      <c r="BU924" s="1"/>
      <c r="BV924" s="1"/>
      <c r="BW924" s="1"/>
      <c r="BX924" s="1"/>
      <c r="BY924" s="1"/>
      <c r="BZ924" s="1"/>
      <c r="CA924" s="1"/>
      <c r="CB924" s="1"/>
      <c r="CC924" s="1"/>
      <c r="CD924" s="1"/>
      <c r="CE924" s="1"/>
      <c r="CF924" s="1"/>
      <c r="CG924" s="1"/>
      <c r="CH924" s="1"/>
      <c r="CI924" s="1"/>
      <c r="CJ924" s="1"/>
      <c r="CK924" s="1"/>
      <c r="CL924" s="1"/>
      <c r="CM924" s="1"/>
      <c r="CN924" s="1"/>
      <c r="CO924" s="1"/>
      <c r="CP924" s="1"/>
      <c r="CQ924" s="1"/>
      <c r="CR924" s="1"/>
      <c r="CS924" s="1"/>
      <c r="CT924" s="1"/>
      <c r="CU924" s="1"/>
      <c r="CV924" s="1"/>
      <c r="CW924" s="1"/>
      <c r="CX924" s="1"/>
      <c r="CY924" s="1"/>
      <c r="CZ924" s="1"/>
      <c r="DA924" s="1"/>
      <c r="DB924" s="1"/>
      <c r="DC924" s="1"/>
      <c r="DD924" s="1"/>
      <c r="DE924" s="1"/>
      <c r="DF924" s="1"/>
      <c r="DG924" s="1"/>
      <c r="DH924" s="1"/>
      <c r="DI924" s="1"/>
      <c r="DJ924" s="1"/>
      <c r="DK924" s="1"/>
      <c r="DL924" s="1"/>
      <c r="DM924" s="1"/>
      <c r="DN924" s="1"/>
      <c r="DO924" s="1"/>
      <c r="DP924" s="1"/>
      <c r="DQ924" s="1"/>
      <c r="DR924" s="1"/>
      <c r="DS924" s="1"/>
      <c r="DT924" s="1"/>
      <c r="DU924" s="1"/>
      <c r="DV924" s="1"/>
      <c r="DW924" s="1"/>
      <c r="DX924" s="1"/>
      <c r="DY924" s="1"/>
      <c r="DZ924" s="1"/>
      <c r="EA924" s="1"/>
      <c r="EB924" s="1"/>
      <c r="EC924" s="1"/>
      <c r="ED924" s="1"/>
      <c r="EE924" s="1"/>
      <c r="EF924" s="1"/>
      <c r="EG924" s="1"/>
      <c r="EH924" s="1"/>
      <c r="EI924" s="1"/>
      <c r="EJ924" s="1"/>
      <c r="EK924" s="1"/>
      <c r="EL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c r="BR925" s="1"/>
      <c r="BS925" s="1"/>
      <c r="BT925" s="1"/>
      <c r="BU925" s="1"/>
      <c r="BV925" s="1"/>
      <c r="BW925" s="1"/>
      <c r="BX925" s="1"/>
      <c r="BY925" s="1"/>
      <c r="BZ925" s="1"/>
      <c r="CA925" s="1"/>
      <c r="CB925" s="1"/>
      <c r="CC925" s="1"/>
      <c r="CD925" s="1"/>
      <c r="CE925" s="1"/>
      <c r="CF925" s="1"/>
      <c r="CG925" s="1"/>
      <c r="CH925" s="1"/>
      <c r="CI925" s="1"/>
      <c r="CJ925" s="1"/>
      <c r="CK925" s="1"/>
      <c r="CL925" s="1"/>
      <c r="CM925" s="1"/>
      <c r="CN925" s="1"/>
      <c r="CO925" s="1"/>
      <c r="CP925" s="1"/>
      <c r="CQ925" s="1"/>
      <c r="CR925" s="1"/>
      <c r="CS925" s="1"/>
      <c r="CT925" s="1"/>
      <c r="CU925" s="1"/>
      <c r="CV925" s="1"/>
      <c r="CW925" s="1"/>
      <c r="CX925" s="1"/>
      <c r="CY925" s="1"/>
      <c r="CZ925" s="1"/>
      <c r="DA925" s="1"/>
      <c r="DB925" s="1"/>
      <c r="DC925" s="1"/>
      <c r="DD925" s="1"/>
      <c r="DE925" s="1"/>
      <c r="DF925" s="1"/>
      <c r="DG925" s="1"/>
      <c r="DH925" s="1"/>
      <c r="DI925" s="1"/>
      <c r="DJ925" s="1"/>
      <c r="DK925" s="1"/>
      <c r="DL925" s="1"/>
      <c r="DM925" s="1"/>
      <c r="DN925" s="1"/>
      <c r="DO925" s="1"/>
      <c r="DP925" s="1"/>
      <c r="DQ925" s="1"/>
      <c r="DR925" s="1"/>
      <c r="DS925" s="1"/>
      <c r="DT925" s="1"/>
      <c r="DU925" s="1"/>
      <c r="DV925" s="1"/>
      <c r="DW925" s="1"/>
      <c r="DX925" s="1"/>
      <c r="DY925" s="1"/>
      <c r="DZ925" s="1"/>
      <c r="EA925" s="1"/>
      <c r="EB925" s="1"/>
      <c r="EC925" s="1"/>
      <c r="ED925" s="1"/>
      <c r="EE925" s="1"/>
      <c r="EF925" s="1"/>
      <c r="EG925" s="1"/>
      <c r="EH925" s="1"/>
      <c r="EI925" s="1"/>
      <c r="EJ925" s="1"/>
      <c r="EK925" s="1"/>
      <c r="EL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c r="BR926" s="1"/>
      <c r="BS926" s="1"/>
      <c r="BT926" s="1"/>
      <c r="BU926" s="1"/>
      <c r="BV926" s="1"/>
      <c r="BW926" s="1"/>
      <c r="BX926" s="1"/>
      <c r="BY926" s="1"/>
      <c r="BZ926" s="1"/>
      <c r="CA926" s="1"/>
      <c r="CB926" s="1"/>
      <c r="CC926" s="1"/>
      <c r="CD926" s="1"/>
      <c r="CE926" s="1"/>
      <c r="CF926" s="1"/>
      <c r="CG926" s="1"/>
      <c r="CH926" s="1"/>
      <c r="CI926" s="1"/>
      <c r="CJ926" s="1"/>
      <c r="CK926" s="1"/>
      <c r="CL926" s="1"/>
      <c r="CM926" s="1"/>
      <c r="CN926" s="1"/>
      <c r="CO926" s="1"/>
      <c r="CP926" s="1"/>
      <c r="CQ926" s="1"/>
      <c r="CR926" s="1"/>
      <c r="CS926" s="1"/>
      <c r="CT926" s="1"/>
      <c r="CU926" s="1"/>
      <c r="CV926" s="1"/>
      <c r="CW926" s="1"/>
      <c r="CX926" s="1"/>
      <c r="CY926" s="1"/>
      <c r="CZ926" s="1"/>
      <c r="DA926" s="1"/>
      <c r="DB926" s="1"/>
      <c r="DC926" s="1"/>
      <c r="DD926" s="1"/>
      <c r="DE926" s="1"/>
      <c r="DF926" s="1"/>
      <c r="DG926" s="1"/>
      <c r="DH926" s="1"/>
      <c r="DI926" s="1"/>
      <c r="DJ926" s="1"/>
      <c r="DK926" s="1"/>
      <c r="DL926" s="1"/>
      <c r="DM926" s="1"/>
      <c r="DN926" s="1"/>
      <c r="DO926" s="1"/>
      <c r="DP926" s="1"/>
      <c r="DQ926" s="1"/>
      <c r="DR926" s="1"/>
      <c r="DS926" s="1"/>
      <c r="DT926" s="1"/>
      <c r="DU926" s="1"/>
      <c r="DV926" s="1"/>
      <c r="DW926" s="1"/>
      <c r="DX926" s="1"/>
      <c r="DY926" s="1"/>
      <c r="DZ926" s="1"/>
      <c r="EA926" s="1"/>
      <c r="EB926" s="1"/>
      <c r="EC926" s="1"/>
      <c r="ED926" s="1"/>
      <c r="EE926" s="1"/>
      <c r="EF926" s="1"/>
      <c r="EG926" s="1"/>
      <c r="EH926" s="1"/>
      <c r="EI926" s="1"/>
      <c r="EJ926" s="1"/>
      <c r="EK926" s="1"/>
      <c r="EL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c r="BR927" s="1"/>
      <c r="BS927" s="1"/>
      <c r="BT927" s="1"/>
      <c r="BU927" s="1"/>
      <c r="BV927" s="1"/>
      <c r="BW927" s="1"/>
      <c r="BX927" s="1"/>
      <c r="BY927" s="1"/>
      <c r="BZ927" s="1"/>
      <c r="CA927" s="1"/>
      <c r="CB927" s="1"/>
      <c r="CC927" s="1"/>
      <c r="CD927" s="1"/>
      <c r="CE927" s="1"/>
      <c r="CF927" s="1"/>
      <c r="CG927" s="1"/>
      <c r="CH927" s="1"/>
      <c r="CI927" s="1"/>
      <c r="CJ927" s="1"/>
      <c r="CK927" s="1"/>
      <c r="CL927" s="1"/>
      <c r="CM927" s="1"/>
      <c r="CN927" s="1"/>
      <c r="CO927" s="1"/>
      <c r="CP927" s="1"/>
      <c r="CQ927" s="1"/>
      <c r="CR927" s="1"/>
      <c r="CS927" s="1"/>
      <c r="CT927" s="1"/>
      <c r="CU927" s="1"/>
      <c r="CV927" s="1"/>
      <c r="CW927" s="1"/>
      <c r="CX927" s="1"/>
      <c r="CY927" s="1"/>
      <c r="CZ927" s="1"/>
      <c r="DA927" s="1"/>
      <c r="DB927" s="1"/>
      <c r="DC927" s="1"/>
      <c r="DD927" s="1"/>
      <c r="DE927" s="1"/>
      <c r="DF927" s="1"/>
      <c r="DG927" s="1"/>
      <c r="DH927" s="1"/>
      <c r="DI927" s="1"/>
      <c r="DJ927" s="1"/>
      <c r="DK927" s="1"/>
      <c r="DL927" s="1"/>
      <c r="DM927" s="1"/>
      <c r="DN927" s="1"/>
      <c r="DO927" s="1"/>
      <c r="DP927" s="1"/>
      <c r="DQ927" s="1"/>
      <c r="DR927" s="1"/>
      <c r="DS927" s="1"/>
      <c r="DT927" s="1"/>
      <c r="DU927" s="1"/>
      <c r="DV927" s="1"/>
      <c r="DW927" s="1"/>
      <c r="DX927" s="1"/>
      <c r="DY927" s="1"/>
      <c r="DZ927" s="1"/>
      <c r="EA927" s="1"/>
      <c r="EB927" s="1"/>
      <c r="EC927" s="1"/>
      <c r="ED927" s="1"/>
      <c r="EE927" s="1"/>
      <c r="EF927" s="1"/>
      <c r="EG927" s="1"/>
      <c r="EH927" s="1"/>
      <c r="EI927" s="1"/>
      <c r="EJ927" s="1"/>
      <c r="EK927" s="1"/>
      <c r="EL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c r="BR928" s="1"/>
      <c r="BS928" s="1"/>
      <c r="BT928" s="1"/>
      <c r="BU928" s="1"/>
      <c r="BV928" s="1"/>
      <c r="BW928" s="1"/>
      <c r="BX928" s="1"/>
      <c r="BY928" s="1"/>
      <c r="BZ928" s="1"/>
      <c r="CA928" s="1"/>
      <c r="CB928" s="1"/>
      <c r="CC928" s="1"/>
      <c r="CD928" s="1"/>
      <c r="CE928" s="1"/>
      <c r="CF928" s="1"/>
      <c r="CG928" s="1"/>
      <c r="CH928" s="1"/>
      <c r="CI928" s="1"/>
      <c r="CJ928" s="1"/>
      <c r="CK928" s="1"/>
      <c r="CL928" s="1"/>
      <c r="CM928" s="1"/>
      <c r="CN928" s="1"/>
      <c r="CO928" s="1"/>
      <c r="CP928" s="1"/>
      <c r="CQ928" s="1"/>
      <c r="CR928" s="1"/>
      <c r="CS928" s="1"/>
      <c r="CT928" s="1"/>
      <c r="CU928" s="1"/>
      <c r="CV928" s="1"/>
      <c r="CW928" s="1"/>
      <c r="CX928" s="1"/>
      <c r="CY928" s="1"/>
      <c r="CZ928" s="1"/>
      <c r="DA928" s="1"/>
      <c r="DB928" s="1"/>
      <c r="DC928" s="1"/>
      <c r="DD928" s="1"/>
      <c r="DE928" s="1"/>
      <c r="DF928" s="1"/>
      <c r="DG928" s="1"/>
      <c r="DH928" s="1"/>
      <c r="DI928" s="1"/>
      <c r="DJ928" s="1"/>
      <c r="DK928" s="1"/>
      <c r="DL928" s="1"/>
      <c r="DM928" s="1"/>
      <c r="DN928" s="1"/>
      <c r="DO928" s="1"/>
      <c r="DP928" s="1"/>
      <c r="DQ928" s="1"/>
      <c r="DR928" s="1"/>
      <c r="DS928" s="1"/>
      <c r="DT928" s="1"/>
      <c r="DU928" s="1"/>
      <c r="DV928" s="1"/>
      <c r="DW928" s="1"/>
      <c r="DX928" s="1"/>
      <c r="DY928" s="1"/>
      <c r="DZ928" s="1"/>
      <c r="EA928" s="1"/>
      <c r="EB928" s="1"/>
      <c r="EC928" s="1"/>
      <c r="ED928" s="1"/>
      <c r="EE928" s="1"/>
      <c r="EF928" s="1"/>
      <c r="EG928" s="1"/>
      <c r="EH928" s="1"/>
      <c r="EI928" s="1"/>
      <c r="EJ928" s="1"/>
      <c r="EK928" s="1"/>
      <c r="EL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c r="BR929" s="1"/>
      <c r="BS929" s="1"/>
      <c r="BT929" s="1"/>
      <c r="BU929" s="1"/>
      <c r="BV929" s="1"/>
      <c r="BW929" s="1"/>
      <c r="BX929" s="1"/>
      <c r="BY929" s="1"/>
      <c r="BZ929" s="1"/>
      <c r="CA929" s="1"/>
      <c r="CB929" s="1"/>
      <c r="CC929" s="1"/>
      <c r="CD929" s="1"/>
      <c r="CE929" s="1"/>
      <c r="CF929" s="1"/>
      <c r="CG929" s="1"/>
      <c r="CH929" s="1"/>
      <c r="CI929" s="1"/>
      <c r="CJ929" s="1"/>
      <c r="CK929" s="1"/>
      <c r="CL929" s="1"/>
      <c r="CM929" s="1"/>
      <c r="CN929" s="1"/>
      <c r="CO929" s="1"/>
      <c r="CP929" s="1"/>
      <c r="CQ929" s="1"/>
      <c r="CR929" s="1"/>
      <c r="CS929" s="1"/>
      <c r="CT929" s="1"/>
      <c r="CU929" s="1"/>
      <c r="CV929" s="1"/>
      <c r="CW929" s="1"/>
      <c r="CX929" s="1"/>
      <c r="CY929" s="1"/>
      <c r="CZ929" s="1"/>
      <c r="DA929" s="1"/>
      <c r="DB929" s="1"/>
      <c r="DC929" s="1"/>
      <c r="DD929" s="1"/>
      <c r="DE929" s="1"/>
      <c r="DF929" s="1"/>
      <c r="DG929" s="1"/>
      <c r="DH929" s="1"/>
      <c r="DI929" s="1"/>
      <c r="DJ929" s="1"/>
      <c r="DK929" s="1"/>
      <c r="DL929" s="1"/>
      <c r="DM929" s="1"/>
      <c r="DN929" s="1"/>
      <c r="DO929" s="1"/>
      <c r="DP929" s="1"/>
      <c r="DQ929" s="1"/>
      <c r="DR929" s="1"/>
      <c r="DS929" s="1"/>
      <c r="DT929" s="1"/>
      <c r="DU929" s="1"/>
      <c r="DV929" s="1"/>
      <c r="DW929" s="1"/>
      <c r="DX929" s="1"/>
      <c r="DY929" s="1"/>
      <c r="DZ929" s="1"/>
      <c r="EA929" s="1"/>
      <c r="EB929" s="1"/>
      <c r="EC929" s="1"/>
      <c r="ED929" s="1"/>
      <c r="EE929" s="1"/>
      <c r="EF929" s="1"/>
      <c r="EG929" s="1"/>
      <c r="EH929" s="1"/>
      <c r="EI929" s="1"/>
      <c r="EJ929" s="1"/>
      <c r="EK929" s="1"/>
      <c r="EL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c r="BR930" s="1"/>
      <c r="BS930" s="1"/>
      <c r="BT930" s="1"/>
      <c r="BU930" s="1"/>
      <c r="BV930" s="1"/>
      <c r="BW930" s="1"/>
      <c r="BX930" s="1"/>
      <c r="BY930" s="1"/>
      <c r="BZ930" s="1"/>
      <c r="CA930" s="1"/>
      <c r="CB930" s="1"/>
      <c r="CC930" s="1"/>
      <c r="CD930" s="1"/>
      <c r="CE930" s="1"/>
      <c r="CF930" s="1"/>
      <c r="CG930" s="1"/>
      <c r="CH930" s="1"/>
      <c r="CI930" s="1"/>
      <c r="CJ930" s="1"/>
      <c r="CK930" s="1"/>
      <c r="CL930" s="1"/>
      <c r="CM930" s="1"/>
      <c r="CN930" s="1"/>
      <c r="CO930" s="1"/>
      <c r="CP930" s="1"/>
      <c r="CQ930" s="1"/>
      <c r="CR930" s="1"/>
      <c r="CS930" s="1"/>
      <c r="CT930" s="1"/>
      <c r="CU930" s="1"/>
      <c r="CV930" s="1"/>
      <c r="CW930" s="1"/>
      <c r="CX930" s="1"/>
      <c r="CY930" s="1"/>
      <c r="CZ930" s="1"/>
      <c r="DA930" s="1"/>
      <c r="DB930" s="1"/>
      <c r="DC930" s="1"/>
      <c r="DD930" s="1"/>
      <c r="DE930" s="1"/>
      <c r="DF930" s="1"/>
      <c r="DG930" s="1"/>
      <c r="DH930" s="1"/>
      <c r="DI930" s="1"/>
      <c r="DJ930" s="1"/>
      <c r="DK930" s="1"/>
      <c r="DL930" s="1"/>
      <c r="DM930" s="1"/>
      <c r="DN930" s="1"/>
      <c r="DO930" s="1"/>
      <c r="DP930" s="1"/>
      <c r="DQ930" s="1"/>
      <c r="DR930" s="1"/>
      <c r="DS930" s="1"/>
      <c r="DT930" s="1"/>
      <c r="DU930" s="1"/>
      <c r="DV930" s="1"/>
      <c r="DW930" s="1"/>
      <c r="DX930" s="1"/>
      <c r="DY930" s="1"/>
      <c r="DZ930" s="1"/>
      <c r="EA930" s="1"/>
      <c r="EB930" s="1"/>
      <c r="EC930" s="1"/>
      <c r="ED930" s="1"/>
      <c r="EE930" s="1"/>
      <c r="EF930" s="1"/>
      <c r="EG930" s="1"/>
      <c r="EH930" s="1"/>
      <c r="EI930" s="1"/>
      <c r="EJ930" s="1"/>
      <c r="EK930" s="1"/>
      <c r="EL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c r="BR931" s="1"/>
      <c r="BS931" s="1"/>
      <c r="BT931" s="1"/>
      <c r="BU931" s="1"/>
      <c r="BV931" s="1"/>
      <c r="BW931" s="1"/>
      <c r="BX931" s="1"/>
      <c r="BY931" s="1"/>
      <c r="BZ931" s="1"/>
      <c r="CA931" s="1"/>
      <c r="CB931" s="1"/>
      <c r="CC931" s="1"/>
      <c r="CD931" s="1"/>
      <c r="CE931" s="1"/>
      <c r="CF931" s="1"/>
      <c r="CG931" s="1"/>
      <c r="CH931" s="1"/>
      <c r="CI931" s="1"/>
      <c r="CJ931" s="1"/>
      <c r="CK931" s="1"/>
      <c r="CL931" s="1"/>
      <c r="CM931" s="1"/>
      <c r="CN931" s="1"/>
      <c r="CO931" s="1"/>
      <c r="CP931" s="1"/>
      <c r="CQ931" s="1"/>
      <c r="CR931" s="1"/>
      <c r="CS931" s="1"/>
      <c r="CT931" s="1"/>
      <c r="CU931" s="1"/>
      <c r="CV931" s="1"/>
      <c r="CW931" s="1"/>
      <c r="CX931" s="1"/>
      <c r="CY931" s="1"/>
      <c r="CZ931" s="1"/>
      <c r="DA931" s="1"/>
      <c r="DB931" s="1"/>
      <c r="DC931" s="1"/>
      <c r="DD931" s="1"/>
      <c r="DE931" s="1"/>
      <c r="DF931" s="1"/>
      <c r="DG931" s="1"/>
      <c r="DH931" s="1"/>
      <c r="DI931" s="1"/>
      <c r="DJ931" s="1"/>
      <c r="DK931" s="1"/>
      <c r="DL931" s="1"/>
      <c r="DM931" s="1"/>
      <c r="DN931" s="1"/>
      <c r="DO931" s="1"/>
      <c r="DP931" s="1"/>
      <c r="DQ931" s="1"/>
      <c r="DR931" s="1"/>
      <c r="DS931" s="1"/>
      <c r="DT931" s="1"/>
      <c r="DU931" s="1"/>
      <c r="DV931" s="1"/>
      <c r="DW931" s="1"/>
      <c r="DX931" s="1"/>
      <c r="DY931" s="1"/>
      <c r="DZ931" s="1"/>
      <c r="EA931" s="1"/>
      <c r="EB931" s="1"/>
      <c r="EC931" s="1"/>
      <c r="ED931" s="1"/>
      <c r="EE931" s="1"/>
      <c r="EF931" s="1"/>
      <c r="EG931" s="1"/>
      <c r="EH931" s="1"/>
      <c r="EI931" s="1"/>
      <c r="EJ931" s="1"/>
      <c r="EK931" s="1"/>
      <c r="EL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c r="BR932" s="1"/>
      <c r="BS932" s="1"/>
      <c r="BT932" s="1"/>
      <c r="BU932" s="1"/>
      <c r="BV932" s="1"/>
      <c r="BW932" s="1"/>
      <c r="BX932" s="1"/>
      <c r="BY932" s="1"/>
      <c r="BZ932" s="1"/>
      <c r="CA932" s="1"/>
      <c r="CB932" s="1"/>
      <c r="CC932" s="1"/>
      <c r="CD932" s="1"/>
      <c r="CE932" s="1"/>
      <c r="CF932" s="1"/>
      <c r="CG932" s="1"/>
      <c r="CH932" s="1"/>
      <c r="CI932" s="1"/>
      <c r="CJ932" s="1"/>
      <c r="CK932" s="1"/>
      <c r="CL932" s="1"/>
      <c r="CM932" s="1"/>
      <c r="CN932" s="1"/>
      <c r="CO932" s="1"/>
      <c r="CP932" s="1"/>
      <c r="CQ932" s="1"/>
      <c r="CR932" s="1"/>
      <c r="CS932" s="1"/>
      <c r="CT932" s="1"/>
      <c r="CU932" s="1"/>
      <c r="CV932" s="1"/>
      <c r="CW932" s="1"/>
      <c r="CX932" s="1"/>
      <c r="CY932" s="1"/>
      <c r="CZ932" s="1"/>
      <c r="DA932" s="1"/>
      <c r="DB932" s="1"/>
      <c r="DC932" s="1"/>
      <c r="DD932" s="1"/>
      <c r="DE932" s="1"/>
      <c r="DF932" s="1"/>
      <c r="DG932" s="1"/>
      <c r="DH932" s="1"/>
      <c r="DI932" s="1"/>
      <c r="DJ932" s="1"/>
      <c r="DK932" s="1"/>
      <c r="DL932" s="1"/>
      <c r="DM932" s="1"/>
      <c r="DN932" s="1"/>
      <c r="DO932" s="1"/>
      <c r="DP932" s="1"/>
      <c r="DQ932" s="1"/>
      <c r="DR932" s="1"/>
      <c r="DS932" s="1"/>
      <c r="DT932" s="1"/>
      <c r="DU932" s="1"/>
      <c r="DV932" s="1"/>
      <c r="DW932" s="1"/>
      <c r="DX932" s="1"/>
      <c r="DY932" s="1"/>
      <c r="DZ932" s="1"/>
      <c r="EA932" s="1"/>
      <c r="EB932" s="1"/>
      <c r="EC932" s="1"/>
      <c r="ED932" s="1"/>
      <c r="EE932" s="1"/>
      <c r="EF932" s="1"/>
      <c r="EG932" s="1"/>
      <c r="EH932" s="1"/>
      <c r="EI932" s="1"/>
      <c r="EJ932" s="1"/>
      <c r="EK932" s="1"/>
      <c r="EL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c r="BR933" s="1"/>
      <c r="BS933" s="1"/>
      <c r="BT933" s="1"/>
      <c r="BU933" s="1"/>
      <c r="BV933" s="1"/>
      <c r="BW933" s="1"/>
      <c r="BX933" s="1"/>
      <c r="BY933" s="1"/>
      <c r="BZ933" s="1"/>
      <c r="CA933" s="1"/>
      <c r="CB933" s="1"/>
      <c r="CC933" s="1"/>
      <c r="CD933" s="1"/>
      <c r="CE933" s="1"/>
      <c r="CF933" s="1"/>
      <c r="CG933" s="1"/>
      <c r="CH933" s="1"/>
      <c r="CI933" s="1"/>
      <c r="CJ933" s="1"/>
      <c r="CK933" s="1"/>
      <c r="CL933" s="1"/>
      <c r="CM933" s="1"/>
      <c r="CN933" s="1"/>
      <c r="CO933" s="1"/>
      <c r="CP933" s="1"/>
      <c r="CQ933" s="1"/>
      <c r="CR933" s="1"/>
      <c r="CS933" s="1"/>
      <c r="CT933" s="1"/>
      <c r="CU933" s="1"/>
      <c r="CV933" s="1"/>
      <c r="CW933" s="1"/>
      <c r="CX933" s="1"/>
      <c r="CY933" s="1"/>
      <c r="CZ933" s="1"/>
      <c r="DA933" s="1"/>
      <c r="DB933" s="1"/>
      <c r="DC933" s="1"/>
      <c r="DD933" s="1"/>
      <c r="DE933" s="1"/>
      <c r="DF933" s="1"/>
      <c r="DG933" s="1"/>
      <c r="DH933" s="1"/>
      <c r="DI933" s="1"/>
      <c r="DJ933" s="1"/>
      <c r="DK933" s="1"/>
      <c r="DL933" s="1"/>
      <c r="DM933" s="1"/>
      <c r="DN933" s="1"/>
      <c r="DO933" s="1"/>
      <c r="DP933" s="1"/>
      <c r="DQ933" s="1"/>
      <c r="DR933" s="1"/>
      <c r="DS933" s="1"/>
      <c r="DT933" s="1"/>
      <c r="DU933" s="1"/>
      <c r="DV933" s="1"/>
      <c r="DW933" s="1"/>
      <c r="DX933" s="1"/>
      <c r="DY933" s="1"/>
      <c r="DZ933" s="1"/>
      <c r="EA933" s="1"/>
      <c r="EB933" s="1"/>
      <c r="EC933" s="1"/>
      <c r="ED933" s="1"/>
      <c r="EE933" s="1"/>
      <c r="EF933" s="1"/>
      <c r="EG933" s="1"/>
      <c r="EH933" s="1"/>
      <c r="EI933" s="1"/>
      <c r="EJ933" s="1"/>
      <c r="EK933" s="1"/>
      <c r="EL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c r="BR934" s="1"/>
      <c r="BS934" s="1"/>
      <c r="BT934" s="1"/>
      <c r="BU934" s="1"/>
      <c r="BV934" s="1"/>
      <c r="BW934" s="1"/>
      <c r="BX934" s="1"/>
      <c r="BY934" s="1"/>
      <c r="BZ934" s="1"/>
      <c r="CA934" s="1"/>
      <c r="CB934" s="1"/>
      <c r="CC934" s="1"/>
      <c r="CD934" s="1"/>
      <c r="CE934" s="1"/>
      <c r="CF934" s="1"/>
      <c r="CG934" s="1"/>
      <c r="CH934" s="1"/>
      <c r="CI934" s="1"/>
      <c r="CJ934" s="1"/>
      <c r="CK934" s="1"/>
      <c r="CL934" s="1"/>
      <c r="CM934" s="1"/>
      <c r="CN934" s="1"/>
      <c r="CO934" s="1"/>
      <c r="CP934" s="1"/>
      <c r="CQ934" s="1"/>
      <c r="CR934" s="1"/>
      <c r="CS934" s="1"/>
      <c r="CT934" s="1"/>
      <c r="CU934" s="1"/>
      <c r="CV934" s="1"/>
      <c r="CW934" s="1"/>
      <c r="CX934" s="1"/>
      <c r="CY934" s="1"/>
      <c r="CZ934" s="1"/>
      <c r="DA934" s="1"/>
      <c r="DB934" s="1"/>
      <c r="DC934" s="1"/>
      <c r="DD934" s="1"/>
      <c r="DE934" s="1"/>
      <c r="DF934" s="1"/>
      <c r="DG934" s="1"/>
      <c r="DH934" s="1"/>
      <c r="DI934" s="1"/>
      <c r="DJ934" s="1"/>
      <c r="DK934" s="1"/>
      <c r="DL934" s="1"/>
      <c r="DM934" s="1"/>
      <c r="DN934" s="1"/>
      <c r="DO934" s="1"/>
      <c r="DP934" s="1"/>
      <c r="DQ934" s="1"/>
      <c r="DR934" s="1"/>
      <c r="DS934" s="1"/>
      <c r="DT934" s="1"/>
      <c r="DU934" s="1"/>
      <c r="DV934" s="1"/>
      <c r="DW934" s="1"/>
      <c r="DX934" s="1"/>
      <c r="DY934" s="1"/>
      <c r="DZ934" s="1"/>
      <c r="EA934" s="1"/>
      <c r="EB934" s="1"/>
      <c r="EC934" s="1"/>
      <c r="ED934" s="1"/>
      <c r="EE934" s="1"/>
      <c r="EF934" s="1"/>
      <c r="EG934" s="1"/>
      <c r="EH934" s="1"/>
      <c r="EI934" s="1"/>
      <c r="EJ934" s="1"/>
      <c r="EK934" s="1"/>
      <c r="EL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c r="BR935" s="1"/>
      <c r="BS935" s="1"/>
      <c r="BT935" s="1"/>
      <c r="BU935" s="1"/>
      <c r="BV935" s="1"/>
      <c r="BW935" s="1"/>
      <c r="BX935" s="1"/>
      <c r="BY935" s="1"/>
      <c r="BZ935" s="1"/>
      <c r="CA935" s="1"/>
      <c r="CB935" s="1"/>
      <c r="CC935" s="1"/>
      <c r="CD935" s="1"/>
      <c r="CE935" s="1"/>
      <c r="CF935" s="1"/>
      <c r="CG935" s="1"/>
      <c r="CH935" s="1"/>
      <c r="CI935" s="1"/>
      <c r="CJ935" s="1"/>
      <c r="CK935" s="1"/>
      <c r="CL935" s="1"/>
      <c r="CM935" s="1"/>
      <c r="CN935" s="1"/>
      <c r="CO935" s="1"/>
      <c r="CP935" s="1"/>
      <c r="CQ935" s="1"/>
      <c r="CR935" s="1"/>
      <c r="CS935" s="1"/>
      <c r="CT935" s="1"/>
      <c r="CU935" s="1"/>
      <c r="CV935" s="1"/>
      <c r="CW935" s="1"/>
      <c r="CX935" s="1"/>
      <c r="CY935" s="1"/>
      <c r="CZ935" s="1"/>
      <c r="DA935" s="1"/>
      <c r="DB935" s="1"/>
      <c r="DC935" s="1"/>
      <c r="DD935" s="1"/>
      <c r="DE935" s="1"/>
      <c r="DF935" s="1"/>
      <c r="DG935" s="1"/>
      <c r="DH935" s="1"/>
      <c r="DI935" s="1"/>
      <c r="DJ935" s="1"/>
      <c r="DK935" s="1"/>
      <c r="DL935" s="1"/>
      <c r="DM935" s="1"/>
      <c r="DN935" s="1"/>
      <c r="DO935" s="1"/>
      <c r="DP935" s="1"/>
      <c r="DQ935" s="1"/>
      <c r="DR935" s="1"/>
      <c r="DS935" s="1"/>
      <c r="DT935" s="1"/>
      <c r="DU935" s="1"/>
      <c r="DV935" s="1"/>
      <c r="DW935" s="1"/>
      <c r="DX935" s="1"/>
      <c r="DY935" s="1"/>
      <c r="DZ935" s="1"/>
      <c r="EA935" s="1"/>
      <c r="EB935" s="1"/>
      <c r="EC935" s="1"/>
      <c r="ED935" s="1"/>
      <c r="EE935" s="1"/>
      <c r="EF935" s="1"/>
      <c r="EG935" s="1"/>
      <c r="EH935" s="1"/>
      <c r="EI935" s="1"/>
      <c r="EJ935" s="1"/>
      <c r="EK935" s="1"/>
      <c r="EL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c r="BR936" s="1"/>
      <c r="BS936" s="1"/>
      <c r="BT936" s="1"/>
      <c r="BU936" s="1"/>
      <c r="BV936" s="1"/>
      <c r="BW936" s="1"/>
      <c r="BX936" s="1"/>
      <c r="BY936" s="1"/>
      <c r="BZ936" s="1"/>
      <c r="CA936" s="1"/>
      <c r="CB936" s="1"/>
      <c r="CC936" s="1"/>
      <c r="CD936" s="1"/>
      <c r="CE936" s="1"/>
      <c r="CF936" s="1"/>
      <c r="CG936" s="1"/>
      <c r="CH936" s="1"/>
      <c r="CI936" s="1"/>
      <c r="CJ936" s="1"/>
      <c r="CK936" s="1"/>
      <c r="CL936" s="1"/>
      <c r="CM936" s="1"/>
      <c r="CN936" s="1"/>
      <c r="CO936" s="1"/>
      <c r="CP936" s="1"/>
      <c r="CQ936" s="1"/>
      <c r="CR936" s="1"/>
      <c r="CS936" s="1"/>
      <c r="CT936" s="1"/>
      <c r="CU936" s="1"/>
      <c r="CV936" s="1"/>
      <c r="CW936" s="1"/>
      <c r="CX936" s="1"/>
      <c r="CY936" s="1"/>
      <c r="CZ936" s="1"/>
      <c r="DA936" s="1"/>
      <c r="DB936" s="1"/>
      <c r="DC936" s="1"/>
      <c r="DD936" s="1"/>
      <c r="DE936" s="1"/>
      <c r="DF936" s="1"/>
      <c r="DG936" s="1"/>
      <c r="DH936" s="1"/>
      <c r="DI936" s="1"/>
      <c r="DJ936" s="1"/>
      <c r="DK936" s="1"/>
      <c r="DL936" s="1"/>
      <c r="DM936" s="1"/>
      <c r="DN936" s="1"/>
      <c r="DO936" s="1"/>
      <c r="DP936" s="1"/>
      <c r="DQ936" s="1"/>
      <c r="DR936" s="1"/>
      <c r="DS936" s="1"/>
      <c r="DT936" s="1"/>
      <c r="DU936" s="1"/>
      <c r="DV936" s="1"/>
      <c r="DW936" s="1"/>
      <c r="DX936" s="1"/>
      <c r="DY936" s="1"/>
      <c r="DZ936" s="1"/>
      <c r="EA936" s="1"/>
      <c r="EB936" s="1"/>
      <c r="EC936" s="1"/>
      <c r="ED936" s="1"/>
      <c r="EE936" s="1"/>
      <c r="EF936" s="1"/>
      <c r="EG936" s="1"/>
      <c r="EH936" s="1"/>
      <c r="EI936" s="1"/>
      <c r="EJ936" s="1"/>
      <c r="EK936" s="1"/>
      <c r="EL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c r="BR937" s="1"/>
      <c r="BS937" s="1"/>
      <c r="BT937" s="1"/>
      <c r="BU937" s="1"/>
      <c r="BV937" s="1"/>
      <c r="BW937" s="1"/>
      <c r="BX937" s="1"/>
      <c r="BY937" s="1"/>
      <c r="BZ937" s="1"/>
      <c r="CA937" s="1"/>
      <c r="CB937" s="1"/>
      <c r="CC937" s="1"/>
      <c r="CD937" s="1"/>
      <c r="CE937" s="1"/>
      <c r="CF937" s="1"/>
      <c r="CG937" s="1"/>
      <c r="CH937" s="1"/>
      <c r="CI937" s="1"/>
      <c r="CJ937" s="1"/>
      <c r="CK937" s="1"/>
      <c r="CL937" s="1"/>
      <c r="CM937" s="1"/>
      <c r="CN937" s="1"/>
      <c r="CO937" s="1"/>
      <c r="CP937" s="1"/>
      <c r="CQ937" s="1"/>
      <c r="CR937" s="1"/>
      <c r="CS937" s="1"/>
      <c r="CT937" s="1"/>
      <c r="CU937" s="1"/>
      <c r="CV937" s="1"/>
      <c r="CW937" s="1"/>
      <c r="CX937" s="1"/>
      <c r="CY937" s="1"/>
      <c r="CZ937" s="1"/>
      <c r="DA937" s="1"/>
      <c r="DB937" s="1"/>
      <c r="DC937" s="1"/>
      <c r="DD937" s="1"/>
      <c r="DE937" s="1"/>
      <c r="DF937" s="1"/>
      <c r="DG937" s="1"/>
      <c r="DH937" s="1"/>
      <c r="DI937" s="1"/>
      <c r="DJ937" s="1"/>
      <c r="DK937" s="1"/>
      <c r="DL937" s="1"/>
      <c r="DM937" s="1"/>
      <c r="DN937" s="1"/>
      <c r="DO937" s="1"/>
      <c r="DP937" s="1"/>
      <c r="DQ937" s="1"/>
      <c r="DR937" s="1"/>
      <c r="DS937" s="1"/>
      <c r="DT937" s="1"/>
      <c r="DU937" s="1"/>
      <c r="DV937" s="1"/>
      <c r="DW937" s="1"/>
      <c r="DX937" s="1"/>
      <c r="DY937" s="1"/>
      <c r="DZ937" s="1"/>
      <c r="EA937" s="1"/>
      <c r="EB937" s="1"/>
      <c r="EC937" s="1"/>
      <c r="ED937" s="1"/>
      <c r="EE937" s="1"/>
      <c r="EF937" s="1"/>
      <c r="EG937" s="1"/>
      <c r="EH937" s="1"/>
      <c r="EI937" s="1"/>
      <c r="EJ937" s="1"/>
      <c r="EK937" s="1"/>
      <c r="EL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c r="BR938" s="1"/>
      <c r="BS938" s="1"/>
      <c r="BT938" s="1"/>
      <c r="BU938" s="1"/>
      <c r="BV938" s="1"/>
      <c r="BW938" s="1"/>
      <c r="BX938" s="1"/>
      <c r="BY938" s="1"/>
      <c r="BZ938" s="1"/>
      <c r="CA938" s="1"/>
      <c r="CB938" s="1"/>
      <c r="CC938" s="1"/>
      <c r="CD938" s="1"/>
      <c r="CE938" s="1"/>
      <c r="CF938" s="1"/>
      <c r="CG938" s="1"/>
      <c r="CH938" s="1"/>
      <c r="CI938" s="1"/>
      <c r="CJ938" s="1"/>
      <c r="CK938" s="1"/>
      <c r="CL938" s="1"/>
      <c r="CM938" s="1"/>
      <c r="CN938" s="1"/>
      <c r="CO938" s="1"/>
      <c r="CP938" s="1"/>
      <c r="CQ938" s="1"/>
      <c r="CR938" s="1"/>
      <c r="CS938" s="1"/>
      <c r="CT938" s="1"/>
      <c r="CU938" s="1"/>
      <c r="CV938" s="1"/>
      <c r="CW938" s="1"/>
      <c r="CX938" s="1"/>
      <c r="CY938" s="1"/>
      <c r="CZ938" s="1"/>
      <c r="DA938" s="1"/>
      <c r="DB938" s="1"/>
      <c r="DC938" s="1"/>
      <c r="DD938" s="1"/>
      <c r="DE938" s="1"/>
      <c r="DF938" s="1"/>
      <c r="DG938" s="1"/>
      <c r="DH938" s="1"/>
      <c r="DI938" s="1"/>
      <c r="DJ938" s="1"/>
      <c r="DK938" s="1"/>
      <c r="DL938" s="1"/>
      <c r="DM938" s="1"/>
      <c r="DN938" s="1"/>
      <c r="DO938" s="1"/>
      <c r="DP938" s="1"/>
      <c r="DQ938" s="1"/>
      <c r="DR938" s="1"/>
      <c r="DS938" s="1"/>
      <c r="DT938" s="1"/>
      <c r="DU938" s="1"/>
      <c r="DV938" s="1"/>
      <c r="DW938" s="1"/>
      <c r="DX938" s="1"/>
      <c r="DY938" s="1"/>
      <c r="DZ938" s="1"/>
      <c r="EA938" s="1"/>
      <c r="EB938" s="1"/>
      <c r="EC938" s="1"/>
      <c r="ED938" s="1"/>
      <c r="EE938" s="1"/>
      <c r="EF938" s="1"/>
      <c r="EG938" s="1"/>
      <c r="EH938" s="1"/>
      <c r="EI938" s="1"/>
      <c r="EJ938" s="1"/>
      <c r="EK938" s="1"/>
      <c r="EL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c r="BR939" s="1"/>
      <c r="BS939" s="1"/>
      <c r="BT939" s="1"/>
      <c r="BU939" s="1"/>
      <c r="BV939" s="1"/>
      <c r="BW939" s="1"/>
      <c r="BX939" s="1"/>
      <c r="BY939" s="1"/>
      <c r="BZ939" s="1"/>
      <c r="CA939" s="1"/>
      <c r="CB939" s="1"/>
      <c r="CC939" s="1"/>
      <c r="CD939" s="1"/>
      <c r="CE939" s="1"/>
      <c r="CF939" s="1"/>
      <c r="CG939" s="1"/>
      <c r="CH939" s="1"/>
      <c r="CI939" s="1"/>
      <c r="CJ939" s="1"/>
      <c r="CK939" s="1"/>
      <c r="CL939" s="1"/>
      <c r="CM939" s="1"/>
      <c r="CN939" s="1"/>
      <c r="CO939" s="1"/>
      <c r="CP939" s="1"/>
      <c r="CQ939" s="1"/>
      <c r="CR939" s="1"/>
      <c r="CS939" s="1"/>
      <c r="CT939" s="1"/>
      <c r="CU939" s="1"/>
      <c r="CV939" s="1"/>
      <c r="CW939" s="1"/>
      <c r="CX939" s="1"/>
      <c r="CY939" s="1"/>
      <c r="CZ939" s="1"/>
      <c r="DA939" s="1"/>
      <c r="DB939" s="1"/>
      <c r="DC939" s="1"/>
      <c r="DD939" s="1"/>
      <c r="DE939" s="1"/>
      <c r="DF939" s="1"/>
      <c r="DG939" s="1"/>
      <c r="DH939" s="1"/>
      <c r="DI939" s="1"/>
      <c r="DJ939" s="1"/>
      <c r="DK939" s="1"/>
      <c r="DL939" s="1"/>
      <c r="DM939" s="1"/>
      <c r="DN939" s="1"/>
      <c r="DO939" s="1"/>
      <c r="DP939" s="1"/>
      <c r="DQ939" s="1"/>
      <c r="DR939" s="1"/>
      <c r="DS939" s="1"/>
      <c r="DT939" s="1"/>
      <c r="DU939" s="1"/>
      <c r="DV939" s="1"/>
      <c r="DW939" s="1"/>
      <c r="DX939" s="1"/>
      <c r="DY939" s="1"/>
      <c r="DZ939" s="1"/>
      <c r="EA939" s="1"/>
      <c r="EB939" s="1"/>
      <c r="EC939" s="1"/>
      <c r="ED939" s="1"/>
      <c r="EE939" s="1"/>
      <c r="EF939" s="1"/>
      <c r="EG939" s="1"/>
      <c r="EH939" s="1"/>
      <c r="EI939" s="1"/>
      <c r="EJ939" s="1"/>
      <c r="EK939" s="1"/>
      <c r="EL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c r="BR940" s="1"/>
      <c r="BS940" s="1"/>
      <c r="BT940" s="1"/>
      <c r="BU940" s="1"/>
      <c r="BV940" s="1"/>
      <c r="BW940" s="1"/>
      <c r="BX940" s="1"/>
      <c r="BY940" s="1"/>
      <c r="BZ940" s="1"/>
      <c r="CA940" s="1"/>
      <c r="CB940" s="1"/>
      <c r="CC940" s="1"/>
      <c r="CD940" s="1"/>
      <c r="CE940" s="1"/>
      <c r="CF940" s="1"/>
      <c r="CG940" s="1"/>
      <c r="CH940" s="1"/>
      <c r="CI940" s="1"/>
      <c r="CJ940" s="1"/>
      <c r="CK940" s="1"/>
      <c r="CL940" s="1"/>
      <c r="CM940" s="1"/>
      <c r="CN940" s="1"/>
      <c r="CO940" s="1"/>
      <c r="CP940" s="1"/>
      <c r="CQ940" s="1"/>
      <c r="CR940" s="1"/>
      <c r="CS940" s="1"/>
      <c r="CT940" s="1"/>
      <c r="CU940" s="1"/>
      <c r="CV940" s="1"/>
      <c r="CW940" s="1"/>
      <c r="CX940" s="1"/>
      <c r="CY940" s="1"/>
      <c r="CZ940" s="1"/>
      <c r="DA940" s="1"/>
      <c r="DB940" s="1"/>
      <c r="DC940" s="1"/>
      <c r="DD940" s="1"/>
      <c r="DE940" s="1"/>
      <c r="DF940" s="1"/>
      <c r="DG940" s="1"/>
      <c r="DH940" s="1"/>
      <c r="DI940" s="1"/>
      <c r="DJ940" s="1"/>
      <c r="DK940" s="1"/>
      <c r="DL940" s="1"/>
      <c r="DM940" s="1"/>
      <c r="DN940" s="1"/>
      <c r="DO940" s="1"/>
      <c r="DP940" s="1"/>
      <c r="DQ940" s="1"/>
      <c r="DR940" s="1"/>
      <c r="DS940" s="1"/>
      <c r="DT940" s="1"/>
      <c r="DU940" s="1"/>
      <c r="DV940" s="1"/>
      <c r="DW940" s="1"/>
      <c r="DX940" s="1"/>
      <c r="DY940" s="1"/>
      <c r="DZ940" s="1"/>
      <c r="EA940" s="1"/>
      <c r="EB940" s="1"/>
      <c r="EC940" s="1"/>
      <c r="ED940" s="1"/>
      <c r="EE940" s="1"/>
      <c r="EF940" s="1"/>
      <c r="EG940" s="1"/>
      <c r="EH940" s="1"/>
      <c r="EI940" s="1"/>
      <c r="EJ940" s="1"/>
      <c r="EK940" s="1"/>
      <c r="EL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c r="BR941" s="1"/>
      <c r="BS941" s="1"/>
      <c r="BT941" s="1"/>
      <c r="BU941" s="1"/>
      <c r="BV941" s="1"/>
      <c r="BW941" s="1"/>
      <c r="BX941" s="1"/>
      <c r="BY941" s="1"/>
      <c r="BZ941" s="1"/>
      <c r="CA941" s="1"/>
      <c r="CB941" s="1"/>
      <c r="CC941" s="1"/>
      <c r="CD941" s="1"/>
      <c r="CE941" s="1"/>
      <c r="CF941" s="1"/>
      <c r="CG941" s="1"/>
      <c r="CH941" s="1"/>
      <c r="CI941" s="1"/>
      <c r="CJ941" s="1"/>
      <c r="CK941" s="1"/>
      <c r="CL941" s="1"/>
      <c r="CM941" s="1"/>
      <c r="CN941" s="1"/>
      <c r="CO941" s="1"/>
      <c r="CP941" s="1"/>
      <c r="CQ941" s="1"/>
      <c r="CR941" s="1"/>
      <c r="CS941" s="1"/>
      <c r="CT941" s="1"/>
      <c r="CU941" s="1"/>
      <c r="CV941" s="1"/>
      <c r="CW941" s="1"/>
      <c r="CX941" s="1"/>
      <c r="CY941" s="1"/>
      <c r="CZ941" s="1"/>
      <c r="DA941" s="1"/>
      <c r="DB941" s="1"/>
      <c r="DC941" s="1"/>
      <c r="DD941" s="1"/>
      <c r="DE941" s="1"/>
      <c r="DF941" s="1"/>
      <c r="DG941" s="1"/>
      <c r="DH941" s="1"/>
      <c r="DI941" s="1"/>
      <c r="DJ941" s="1"/>
      <c r="DK941" s="1"/>
      <c r="DL941" s="1"/>
      <c r="DM941" s="1"/>
      <c r="DN941" s="1"/>
      <c r="DO941" s="1"/>
      <c r="DP941" s="1"/>
      <c r="DQ941" s="1"/>
      <c r="DR941" s="1"/>
      <c r="DS941" s="1"/>
      <c r="DT941" s="1"/>
      <c r="DU941" s="1"/>
      <c r="DV941" s="1"/>
      <c r="DW941" s="1"/>
      <c r="DX941" s="1"/>
      <c r="DY941" s="1"/>
      <c r="DZ941" s="1"/>
      <c r="EA941" s="1"/>
      <c r="EB941" s="1"/>
      <c r="EC941" s="1"/>
      <c r="ED941" s="1"/>
      <c r="EE941" s="1"/>
      <c r="EF941" s="1"/>
      <c r="EG941" s="1"/>
      <c r="EH941" s="1"/>
      <c r="EI941" s="1"/>
      <c r="EJ941" s="1"/>
      <c r="EK941" s="1"/>
      <c r="EL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c r="BR942" s="1"/>
      <c r="BS942" s="1"/>
      <c r="BT942" s="1"/>
      <c r="BU942" s="1"/>
      <c r="BV942" s="1"/>
      <c r="BW942" s="1"/>
      <c r="BX942" s="1"/>
      <c r="BY942" s="1"/>
      <c r="BZ942" s="1"/>
      <c r="CA942" s="1"/>
      <c r="CB942" s="1"/>
      <c r="CC942" s="1"/>
      <c r="CD942" s="1"/>
      <c r="CE942" s="1"/>
      <c r="CF942" s="1"/>
      <c r="CG942" s="1"/>
      <c r="CH942" s="1"/>
      <c r="CI942" s="1"/>
      <c r="CJ942" s="1"/>
      <c r="CK942" s="1"/>
      <c r="CL942" s="1"/>
      <c r="CM942" s="1"/>
      <c r="CN942" s="1"/>
      <c r="CO942" s="1"/>
      <c r="CP942" s="1"/>
      <c r="CQ942" s="1"/>
      <c r="CR942" s="1"/>
      <c r="CS942" s="1"/>
      <c r="CT942" s="1"/>
      <c r="CU942" s="1"/>
      <c r="CV942" s="1"/>
      <c r="CW942" s="1"/>
      <c r="CX942" s="1"/>
      <c r="CY942" s="1"/>
      <c r="CZ942" s="1"/>
      <c r="DA942" s="1"/>
      <c r="DB942" s="1"/>
      <c r="DC942" s="1"/>
      <c r="DD942" s="1"/>
      <c r="DE942" s="1"/>
      <c r="DF942" s="1"/>
      <c r="DG942" s="1"/>
      <c r="DH942" s="1"/>
      <c r="DI942" s="1"/>
      <c r="DJ942" s="1"/>
      <c r="DK942" s="1"/>
      <c r="DL942" s="1"/>
      <c r="DM942" s="1"/>
      <c r="DN942" s="1"/>
      <c r="DO942" s="1"/>
      <c r="DP942" s="1"/>
      <c r="DQ942" s="1"/>
      <c r="DR942" s="1"/>
      <c r="DS942" s="1"/>
      <c r="DT942" s="1"/>
      <c r="DU942" s="1"/>
      <c r="DV942" s="1"/>
      <c r="DW942" s="1"/>
      <c r="DX942" s="1"/>
      <c r="DY942" s="1"/>
      <c r="DZ942" s="1"/>
      <c r="EA942" s="1"/>
      <c r="EB942" s="1"/>
      <c r="EC942" s="1"/>
      <c r="ED942" s="1"/>
      <c r="EE942" s="1"/>
      <c r="EF942" s="1"/>
      <c r="EG942" s="1"/>
      <c r="EH942" s="1"/>
      <c r="EI942" s="1"/>
      <c r="EJ942" s="1"/>
      <c r="EK942" s="1"/>
      <c r="EL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c r="BR943" s="1"/>
      <c r="BS943" s="1"/>
      <c r="BT943" s="1"/>
      <c r="BU943" s="1"/>
      <c r="BV943" s="1"/>
      <c r="BW943" s="1"/>
      <c r="BX943" s="1"/>
      <c r="BY943" s="1"/>
      <c r="BZ943" s="1"/>
      <c r="CA943" s="1"/>
      <c r="CB943" s="1"/>
      <c r="CC943" s="1"/>
      <c r="CD943" s="1"/>
      <c r="CE943" s="1"/>
      <c r="CF943" s="1"/>
      <c r="CG943" s="1"/>
      <c r="CH943" s="1"/>
      <c r="CI943" s="1"/>
      <c r="CJ943" s="1"/>
      <c r="CK943" s="1"/>
      <c r="CL943" s="1"/>
      <c r="CM943" s="1"/>
      <c r="CN943" s="1"/>
      <c r="CO943" s="1"/>
      <c r="CP943" s="1"/>
      <c r="CQ943" s="1"/>
      <c r="CR943" s="1"/>
      <c r="CS943" s="1"/>
      <c r="CT943" s="1"/>
      <c r="CU943" s="1"/>
      <c r="CV943" s="1"/>
      <c r="CW943" s="1"/>
      <c r="CX943" s="1"/>
      <c r="CY943" s="1"/>
      <c r="CZ943" s="1"/>
      <c r="DA943" s="1"/>
      <c r="DB943" s="1"/>
      <c r="DC943" s="1"/>
      <c r="DD943" s="1"/>
      <c r="DE943" s="1"/>
      <c r="DF943" s="1"/>
      <c r="DG943" s="1"/>
      <c r="DH943" s="1"/>
      <c r="DI943" s="1"/>
      <c r="DJ943" s="1"/>
      <c r="DK943" s="1"/>
      <c r="DL943" s="1"/>
      <c r="DM943" s="1"/>
      <c r="DN943" s="1"/>
      <c r="DO943" s="1"/>
      <c r="DP943" s="1"/>
      <c r="DQ943" s="1"/>
      <c r="DR943" s="1"/>
      <c r="DS943" s="1"/>
      <c r="DT943" s="1"/>
      <c r="DU943" s="1"/>
      <c r="DV943" s="1"/>
      <c r="DW943" s="1"/>
      <c r="DX943" s="1"/>
      <c r="DY943" s="1"/>
      <c r="DZ943" s="1"/>
      <c r="EA943" s="1"/>
      <c r="EB943" s="1"/>
      <c r="EC943" s="1"/>
      <c r="ED943" s="1"/>
      <c r="EE943" s="1"/>
      <c r="EF943" s="1"/>
      <c r="EG943" s="1"/>
      <c r="EH943" s="1"/>
      <c r="EI943" s="1"/>
      <c r="EJ943" s="1"/>
      <c r="EK943" s="1"/>
      <c r="EL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c r="BR944" s="1"/>
      <c r="BS944" s="1"/>
      <c r="BT944" s="1"/>
      <c r="BU944" s="1"/>
      <c r="BV944" s="1"/>
      <c r="BW944" s="1"/>
      <c r="BX944" s="1"/>
      <c r="BY944" s="1"/>
      <c r="BZ944" s="1"/>
      <c r="CA944" s="1"/>
      <c r="CB944" s="1"/>
      <c r="CC944" s="1"/>
      <c r="CD944" s="1"/>
      <c r="CE944" s="1"/>
      <c r="CF944" s="1"/>
      <c r="CG944" s="1"/>
      <c r="CH944" s="1"/>
      <c r="CI944" s="1"/>
      <c r="CJ944" s="1"/>
      <c r="CK944" s="1"/>
      <c r="CL944" s="1"/>
      <c r="CM944" s="1"/>
      <c r="CN944" s="1"/>
      <c r="CO944" s="1"/>
      <c r="CP944" s="1"/>
      <c r="CQ944" s="1"/>
      <c r="CR944" s="1"/>
      <c r="CS944" s="1"/>
      <c r="CT944" s="1"/>
      <c r="CU944" s="1"/>
      <c r="CV944" s="1"/>
      <c r="CW944" s="1"/>
      <c r="CX944" s="1"/>
      <c r="CY944" s="1"/>
      <c r="CZ944" s="1"/>
      <c r="DA944" s="1"/>
      <c r="DB944" s="1"/>
      <c r="DC944" s="1"/>
      <c r="DD944" s="1"/>
      <c r="DE944" s="1"/>
      <c r="DF944" s="1"/>
      <c r="DG944" s="1"/>
      <c r="DH944" s="1"/>
      <c r="DI944" s="1"/>
      <c r="DJ944" s="1"/>
      <c r="DK944" s="1"/>
      <c r="DL944" s="1"/>
      <c r="DM944" s="1"/>
      <c r="DN944" s="1"/>
      <c r="DO944" s="1"/>
      <c r="DP944" s="1"/>
      <c r="DQ944" s="1"/>
      <c r="DR944" s="1"/>
      <c r="DS944" s="1"/>
      <c r="DT944" s="1"/>
      <c r="DU944" s="1"/>
      <c r="DV944" s="1"/>
      <c r="DW944" s="1"/>
      <c r="DX944" s="1"/>
      <c r="DY944" s="1"/>
      <c r="DZ944" s="1"/>
      <c r="EA944" s="1"/>
      <c r="EB944" s="1"/>
      <c r="EC944" s="1"/>
      <c r="ED944" s="1"/>
      <c r="EE944" s="1"/>
      <c r="EF944" s="1"/>
      <c r="EG944" s="1"/>
      <c r="EH944" s="1"/>
      <c r="EI944" s="1"/>
      <c r="EJ944" s="1"/>
      <c r="EK944" s="1"/>
      <c r="EL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c r="BR945" s="1"/>
      <c r="BS945" s="1"/>
      <c r="BT945" s="1"/>
      <c r="BU945" s="1"/>
      <c r="BV945" s="1"/>
      <c r="BW945" s="1"/>
      <c r="BX945" s="1"/>
      <c r="BY945" s="1"/>
      <c r="BZ945" s="1"/>
      <c r="CA945" s="1"/>
      <c r="CB945" s="1"/>
      <c r="CC945" s="1"/>
      <c r="CD945" s="1"/>
      <c r="CE945" s="1"/>
      <c r="CF945" s="1"/>
      <c r="CG945" s="1"/>
      <c r="CH945" s="1"/>
      <c r="CI945" s="1"/>
      <c r="CJ945" s="1"/>
      <c r="CK945" s="1"/>
      <c r="CL945" s="1"/>
      <c r="CM945" s="1"/>
      <c r="CN945" s="1"/>
      <c r="CO945" s="1"/>
      <c r="CP945" s="1"/>
      <c r="CQ945" s="1"/>
      <c r="CR945" s="1"/>
      <c r="CS945" s="1"/>
      <c r="CT945" s="1"/>
      <c r="CU945" s="1"/>
      <c r="CV945" s="1"/>
      <c r="CW945" s="1"/>
      <c r="CX945" s="1"/>
      <c r="CY945" s="1"/>
      <c r="CZ945" s="1"/>
      <c r="DA945" s="1"/>
      <c r="DB945" s="1"/>
      <c r="DC945" s="1"/>
      <c r="DD945" s="1"/>
      <c r="DE945" s="1"/>
      <c r="DF945" s="1"/>
      <c r="DG945" s="1"/>
      <c r="DH945" s="1"/>
      <c r="DI945" s="1"/>
      <c r="DJ945" s="1"/>
      <c r="DK945" s="1"/>
      <c r="DL945" s="1"/>
      <c r="DM945" s="1"/>
      <c r="DN945" s="1"/>
      <c r="DO945" s="1"/>
      <c r="DP945" s="1"/>
      <c r="DQ945" s="1"/>
      <c r="DR945" s="1"/>
      <c r="DS945" s="1"/>
      <c r="DT945" s="1"/>
      <c r="DU945" s="1"/>
      <c r="DV945" s="1"/>
      <c r="DW945" s="1"/>
      <c r="DX945" s="1"/>
      <c r="DY945" s="1"/>
      <c r="DZ945" s="1"/>
      <c r="EA945" s="1"/>
      <c r="EB945" s="1"/>
      <c r="EC945" s="1"/>
      <c r="ED945" s="1"/>
      <c r="EE945" s="1"/>
      <c r="EF945" s="1"/>
      <c r="EG945" s="1"/>
      <c r="EH945" s="1"/>
      <c r="EI945" s="1"/>
      <c r="EJ945" s="1"/>
      <c r="EK945" s="1"/>
      <c r="EL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c r="BR946" s="1"/>
      <c r="BS946" s="1"/>
      <c r="BT946" s="1"/>
      <c r="BU946" s="1"/>
      <c r="BV946" s="1"/>
      <c r="BW946" s="1"/>
      <c r="BX946" s="1"/>
      <c r="BY946" s="1"/>
      <c r="BZ946" s="1"/>
      <c r="CA946" s="1"/>
      <c r="CB946" s="1"/>
      <c r="CC946" s="1"/>
      <c r="CD946" s="1"/>
      <c r="CE946" s="1"/>
      <c r="CF946" s="1"/>
      <c r="CG946" s="1"/>
      <c r="CH946" s="1"/>
      <c r="CI946" s="1"/>
      <c r="CJ946" s="1"/>
      <c r="CK946" s="1"/>
      <c r="CL946" s="1"/>
      <c r="CM946" s="1"/>
      <c r="CN946" s="1"/>
      <c r="CO946" s="1"/>
      <c r="CP946" s="1"/>
      <c r="CQ946" s="1"/>
      <c r="CR946" s="1"/>
      <c r="CS946" s="1"/>
      <c r="CT946" s="1"/>
      <c r="CU946" s="1"/>
      <c r="CV946" s="1"/>
      <c r="CW946" s="1"/>
      <c r="CX946" s="1"/>
      <c r="CY946" s="1"/>
      <c r="CZ946" s="1"/>
      <c r="DA946" s="1"/>
      <c r="DB946" s="1"/>
      <c r="DC946" s="1"/>
      <c r="DD946" s="1"/>
      <c r="DE946" s="1"/>
      <c r="DF946" s="1"/>
      <c r="DG946" s="1"/>
      <c r="DH946" s="1"/>
      <c r="DI946" s="1"/>
      <c r="DJ946" s="1"/>
      <c r="DK946" s="1"/>
      <c r="DL946" s="1"/>
      <c r="DM946" s="1"/>
      <c r="DN946" s="1"/>
      <c r="DO946" s="1"/>
      <c r="DP946" s="1"/>
      <c r="DQ946" s="1"/>
      <c r="DR946" s="1"/>
      <c r="DS946" s="1"/>
      <c r="DT946" s="1"/>
      <c r="DU946" s="1"/>
      <c r="DV946" s="1"/>
      <c r="DW946" s="1"/>
      <c r="DX946" s="1"/>
      <c r="DY946" s="1"/>
      <c r="DZ946" s="1"/>
      <c r="EA946" s="1"/>
      <c r="EB946" s="1"/>
      <c r="EC946" s="1"/>
      <c r="ED946" s="1"/>
      <c r="EE946" s="1"/>
      <c r="EF946" s="1"/>
      <c r="EG946" s="1"/>
      <c r="EH946" s="1"/>
      <c r="EI946" s="1"/>
      <c r="EJ946" s="1"/>
      <c r="EK946" s="1"/>
      <c r="EL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c r="BR947" s="1"/>
      <c r="BS947" s="1"/>
      <c r="BT947" s="1"/>
      <c r="BU947" s="1"/>
      <c r="BV947" s="1"/>
      <c r="BW947" s="1"/>
      <c r="BX947" s="1"/>
      <c r="BY947" s="1"/>
      <c r="BZ947" s="1"/>
      <c r="CA947" s="1"/>
      <c r="CB947" s="1"/>
      <c r="CC947" s="1"/>
      <c r="CD947" s="1"/>
      <c r="CE947" s="1"/>
      <c r="CF947" s="1"/>
      <c r="CG947" s="1"/>
      <c r="CH947" s="1"/>
      <c r="CI947" s="1"/>
      <c r="CJ947" s="1"/>
      <c r="CK947" s="1"/>
      <c r="CL947" s="1"/>
      <c r="CM947" s="1"/>
      <c r="CN947" s="1"/>
      <c r="CO947" s="1"/>
      <c r="CP947" s="1"/>
      <c r="CQ947" s="1"/>
      <c r="CR947" s="1"/>
      <c r="CS947" s="1"/>
      <c r="CT947" s="1"/>
      <c r="CU947" s="1"/>
      <c r="CV947" s="1"/>
      <c r="CW947" s="1"/>
      <c r="CX947" s="1"/>
      <c r="CY947" s="1"/>
      <c r="CZ947" s="1"/>
      <c r="DA947" s="1"/>
      <c r="DB947" s="1"/>
      <c r="DC947" s="1"/>
      <c r="DD947" s="1"/>
      <c r="DE947" s="1"/>
      <c r="DF947" s="1"/>
      <c r="DG947" s="1"/>
      <c r="DH947" s="1"/>
      <c r="DI947" s="1"/>
      <c r="DJ947" s="1"/>
      <c r="DK947" s="1"/>
      <c r="DL947" s="1"/>
      <c r="DM947" s="1"/>
      <c r="DN947" s="1"/>
      <c r="DO947" s="1"/>
      <c r="DP947" s="1"/>
      <c r="DQ947" s="1"/>
      <c r="DR947" s="1"/>
      <c r="DS947" s="1"/>
      <c r="DT947" s="1"/>
      <c r="DU947" s="1"/>
      <c r="DV947" s="1"/>
      <c r="DW947" s="1"/>
      <c r="DX947" s="1"/>
      <c r="DY947" s="1"/>
      <c r="DZ947" s="1"/>
      <c r="EA947" s="1"/>
      <c r="EB947" s="1"/>
      <c r="EC947" s="1"/>
      <c r="ED947" s="1"/>
      <c r="EE947" s="1"/>
      <c r="EF947" s="1"/>
      <c r="EG947" s="1"/>
      <c r="EH947" s="1"/>
      <c r="EI947" s="1"/>
      <c r="EJ947" s="1"/>
      <c r="EK947" s="1"/>
      <c r="EL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c r="BR948" s="1"/>
      <c r="BS948" s="1"/>
      <c r="BT948" s="1"/>
      <c r="BU948" s="1"/>
      <c r="BV948" s="1"/>
      <c r="BW948" s="1"/>
      <c r="BX948" s="1"/>
      <c r="BY948" s="1"/>
      <c r="BZ948" s="1"/>
      <c r="CA948" s="1"/>
      <c r="CB948" s="1"/>
      <c r="CC948" s="1"/>
      <c r="CD948" s="1"/>
      <c r="CE948" s="1"/>
      <c r="CF948" s="1"/>
      <c r="CG948" s="1"/>
      <c r="CH948" s="1"/>
      <c r="CI948" s="1"/>
      <c r="CJ948" s="1"/>
      <c r="CK948" s="1"/>
      <c r="CL948" s="1"/>
      <c r="CM948" s="1"/>
      <c r="CN948" s="1"/>
      <c r="CO948" s="1"/>
      <c r="CP948" s="1"/>
      <c r="CQ948" s="1"/>
      <c r="CR948" s="1"/>
      <c r="CS948" s="1"/>
      <c r="CT948" s="1"/>
      <c r="CU948" s="1"/>
      <c r="CV948" s="1"/>
      <c r="CW948" s="1"/>
      <c r="CX948" s="1"/>
      <c r="CY948" s="1"/>
      <c r="CZ948" s="1"/>
      <c r="DA948" s="1"/>
      <c r="DB948" s="1"/>
      <c r="DC948" s="1"/>
      <c r="DD948" s="1"/>
      <c r="DE948" s="1"/>
      <c r="DF948" s="1"/>
      <c r="DG948" s="1"/>
      <c r="DH948" s="1"/>
      <c r="DI948" s="1"/>
      <c r="DJ948" s="1"/>
      <c r="DK948" s="1"/>
      <c r="DL948" s="1"/>
      <c r="DM948" s="1"/>
      <c r="DN948" s="1"/>
      <c r="DO948" s="1"/>
      <c r="DP948" s="1"/>
      <c r="DQ948" s="1"/>
      <c r="DR948" s="1"/>
      <c r="DS948" s="1"/>
      <c r="DT948" s="1"/>
      <c r="DU948" s="1"/>
      <c r="DV948" s="1"/>
      <c r="DW948" s="1"/>
      <c r="DX948" s="1"/>
      <c r="DY948" s="1"/>
      <c r="DZ948" s="1"/>
      <c r="EA948" s="1"/>
      <c r="EB948" s="1"/>
      <c r="EC948" s="1"/>
      <c r="ED948" s="1"/>
      <c r="EE948" s="1"/>
      <c r="EF948" s="1"/>
      <c r="EG948" s="1"/>
      <c r="EH948" s="1"/>
      <c r="EI948" s="1"/>
      <c r="EJ948" s="1"/>
      <c r="EK948" s="1"/>
      <c r="EL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c r="BR949" s="1"/>
      <c r="BS949" s="1"/>
      <c r="BT949" s="1"/>
      <c r="BU949" s="1"/>
      <c r="BV949" s="1"/>
      <c r="BW949" s="1"/>
      <c r="BX949" s="1"/>
      <c r="BY949" s="1"/>
      <c r="BZ949" s="1"/>
      <c r="CA949" s="1"/>
      <c r="CB949" s="1"/>
      <c r="CC949" s="1"/>
      <c r="CD949" s="1"/>
      <c r="CE949" s="1"/>
      <c r="CF949" s="1"/>
      <c r="CG949" s="1"/>
      <c r="CH949" s="1"/>
      <c r="CI949" s="1"/>
      <c r="CJ949" s="1"/>
      <c r="CK949" s="1"/>
      <c r="CL949" s="1"/>
      <c r="CM949" s="1"/>
      <c r="CN949" s="1"/>
      <c r="CO949" s="1"/>
      <c r="CP949" s="1"/>
      <c r="CQ949" s="1"/>
      <c r="CR949" s="1"/>
      <c r="CS949" s="1"/>
      <c r="CT949" s="1"/>
      <c r="CU949" s="1"/>
      <c r="CV949" s="1"/>
      <c r="CW949" s="1"/>
      <c r="CX949" s="1"/>
      <c r="CY949" s="1"/>
      <c r="CZ949" s="1"/>
      <c r="DA949" s="1"/>
      <c r="DB949" s="1"/>
      <c r="DC949" s="1"/>
      <c r="DD949" s="1"/>
      <c r="DE949" s="1"/>
      <c r="DF949" s="1"/>
      <c r="DG949" s="1"/>
      <c r="DH949" s="1"/>
      <c r="DI949" s="1"/>
      <c r="DJ949" s="1"/>
      <c r="DK949" s="1"/>
      <c r="DL949" s="1"/>
      <c r="DM949" s="1"/>
      <c r="DN949" s="1"/>
      <c r="DO949" s="1"/>
      <c r="DP949" s="1"/>
      <c r="DQ949" s="1"/>
      <c r="DR949" s="1"/>
      <c r="DS949" s="1"/>
      <c r="DT949" s="1"/>
      <c r="DU949" s="1"/>
      <c r="DV949" s="1"/>
      <c r="DW949" s="1"/>
      <c r="DX949" s="1"/>
      <c r="DY949" s="1"/>
      <c r="DZ949" s="1"/>
      <c r="EA949" s="1"/>
      <c r="EB949" s="1"/>
      <c r="EC949" s="1"/>
      <c r="ED949" s="1"/>
      <c r="EE949" s="1"/>
      <c r="EF949" s="1"/>
      <c r="EG949" s="1"/>
      <c r="EH949" s="1"/>
      <c r="EI949" s="1"/>
      <c r="EJ949" s="1"/>
      <c r="EK949" s="1"/>
      <c r="EL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c r="BR950" s="1"/>
      <c r="BS950" s="1"/>
      <c r="BT950" s="1"/>
      <c r="BU950" s="1"/>
      <c r="BV950" s="1"/>
      <c r="BW950" s="1"/>
      <c r="BX950" s="1"/>
      <c r="BY950" s="1"/>
      <c r="BZ950" s="1"/>
      <c r="CA950" s="1"/>
      <c r="CB950" s="1"/>
      <c r="CC950" s="1"/>
      <c r="CD950" s="1"/>
      <c r="CE950" s="1"/>
      <c r="CF950" s="1"/>
      <c r="CG950" s="1"/>
      <c r="CH950" s="1"/>
      <c r="CI950" s="1"/>
      <c r="CJ950" s="1"/>
      <c r="CK950" s="1"/>
      <c r="CL950" s="1"/>
      <c r="CM950" s="1"/>
      <c r="CN950" s="1"/>
      <c r="CO950" s="1"/>
      <c r="CP950" s="1"/>
      <c r="CQ950" s="1"/>
      <c r="CR950" s="1"/>
      <c r="CS950" s="1"/>
      <c r="CT950" s="1"/>
      <c r="CU950" s="1"/>
      <c r="CV950" s="1"/>
      <c r="CW950" s="1"/>
      <c r="CX950" s="1"/>
      <c r="CY950" s="1"/>
      <c r="CZ950" s="1"/>
      <c r="DA950" s="1"/>
      <c r="DB950" s="1"/>
      <c r="DC950" s="1"/>
      <c r="DD950" s="1"/>
      <c r="DE950" s="1"/>
      <c r="DF950" s="1"/>
      <c r="DG950" s="1"/>
      <c r="DH950" s="1"/>
      <c r="DI950" s="1"/>
      <c r="DJ950" s="1"/>
      <c r="DK950" s="1"/>
      <c r="DL950" s="1"/>
      <c r="DM950" s="1"/>
      <c r="DN950" s="1"/>
      <c r="DO950" s="1"/>
      <c r="DP950" s="1"/>
      <c r="DQ950" s="1"/>
      <c r="DR950" s="1"/>
      <c r="DS950" s="1"/>
      <c r="DT950" s="1"/>
      <c r="DU950" s="1"/>
      <c r="DV950" s="1"/>
      <c r="DW950" s="1"/>
      <c r="DX950" s="1"/>
      <c r="DY950" s="1"/>
      <c r="DZ950" s="1"/>
      <c r="EA950" s="1"/>
      <c r="EB950" s="1"/>
      <c r="EC950" s="1"/>
      <c r="ED950" s="1"/>
      <c r="EE950" s="1"/>
      <c r="EF950" s="1"/>
      <c r="EG950" s="1"/>
      <c r="EH950" s="1"/>
      <c r="EI950" s="1"/>
      <c r="EJ950" s="1"/>
      <c r="EK950" s="1"/>
      <c r="EL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c r="BR951" s="1"/>
      <c r="BS951" s="1"/>
      <c r="BT951" s="1"/>
      <c r="BU951" s="1"/>
      <c r="BV951" s="1"/>
      <c r="BW951" s="1"/>
      <c r="BX951" s="1"/>
      <c r="BY951" s="1"/>
      <c r="BZ951" s="1"/>
      <c r="CA951" s="1"/>
      <c r="CB951" s="1"/>
      <c r="CC951" s="1"/>
      <c r="CD951" s="1"/>
      <c r="CE951" s="1"/>
      <c r="CF951" s="1"/>
      <c r="CG951" s="1"/>
      <c r="CH951" s="1"/>
      <c r="CI951" s="1"/>
      <c r="CJ951" s="1"/>
      <c r="CK951" s="1"/>
      <c r="CL951" s="1"/>
      <c r="CM951" s="1"/>
      <c r="CN951" s="1"/>
      <c r="CO951" s="1"/>
      <c r="CP951" s="1"/>
      <c r="CQ951" s="1"/>
      <c r="CR951" s="1"/>
      <c r="CS951" s="1"/>
      <c r="CT951" s="1"/>
      <c r="CU951" s="1"/>
      <c r="CV951" s="1"/>
      <c r="CW951" s="1"/>
      <c r="CX951" s="1"/>
      <c r="CY951" s="1"/>
      <c r="CZ951" s="1"/>
      <c r="DA951" s="1"/>
      <c r="DB951" s="1"/>
      <c r="DC951" s="1"/>
      <c r="DD951" s="1"/>
      <c r="DE951" s="1"/>
      <c r="DF951" s="1"/>
      <c r="DG951" s="1"/>
      <c r="DH951" s="1"/>
      <c r="DI951" s="1"/>
      <c r="DJ951" s="1"/>
      <c r="DK951" s="1"/>
      <c r="DL951" s="1"/>
      <c r="DM951" s="1"/>
      <c r="DN951" s="1"/>
      <c r="DO951" s="1"/>
      <c r="DP951" s="1"/>
      <c r="DQ951" s="1"/>
      <c r="DR951" s="1"/>
      <c r="DS951" s="1"/>
      <c r="DT951" s="1"/>
      <c r="DU951" s="1"/>
      <c r="DV951" s="1"/>
      <c r="DW951" s="1"/>
      <c r="DX951" s="1"/>
      <c r="DY951" s="1"/>
      <c r="DZ951" s="1"/>
      <c r="EA951" s="1"/>
      <c r="EB951" s="1"/>
      <c r="EC951" s="1"/>
      <c r="ED951" s="1"/>
      <c r="EE951" s="1"/>
      <c r="EF951" s="1"/>
      <c r="EG951" s="1"/>
      <c r="EH951" s="1"/>
      <c r="EI951" s="1"/>
      <c r="EJ951" s="1"/>
      <c r="EK951" s="1"/>
      <c r="EL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c r="BR952" s="1"/>
      <c r="BS952" s="1"/>
      <c r="BT952" s="1"/>
      <c r="BU952" s="1"/>
      <c r="BV952" s="1"/>
      <c r="BW952" s="1"/>
      <c r="BX952" s="1"/>
      <c r="BY952" s="1"/>
      <c r="BZ952" s="1"/>
      <c r="CA952" s="1"/>
      <c r="CB952" s="1"/>
      <c r="CC952" s="1"/>
      <c r="CD952" s="1"/>
      <c r="CE952" s="1"/>
      <c r="CF952" s="1"/>
      <c r="CG952" s="1"/>
      <c r="CH952" s="1"/>
      <c r="CI952" s="1"/>
      <c r="CJ952" s="1"/>
      <c r="CK952" s="1"/>
      <c r="CL952" s="1"/>
      <c r="CM952" s="1"/>
      <c r="CN952" s="1"/>
      <c r="CO952" s="1"/>
      <c r="CP952" s="1"/>
      <c r="CQ952" s="1"/>
      <c r="CR952" s="1"/>
      <c r="CS952" s="1"/>
      <c r="CT952" s="1"/>
      <c r="CU952" s="1"/>
      <c r="CV952" s="1"/>
      <c r="CW952" s="1"/>
      <c r="CX952" s="1"/>
      <c r="CY952" s="1"/>
      <c r="CZ952" s="1"/>
      <c r="DA952" s="1"/>
      <c r="DB952" s="1"/>
      <c r="DC952" s="1"/>
      <c r="DD952" s="1"/>
      <c r="DE952" s="1"/>
      <c r="DF952" s="1"/>
      <c r="DG952" s="1"/>
      <c r="DH952" s="1"/>
      <c r="DI952" s="1"/>
      <c r="DJ952" s="1"/>
      <c r="DK952" s="1"/>
      <c r="DL952" s="1"/>
      <c r="DM952" s="1"/>
      <c r="DN952" s="1"/>
      <c r="DO952" s="1"/>
      <c r="DP952" s="1"/>
      <c r="DQ952" s="1"/>
      <c r="DR952" s="1"/>
      <c r="DS952" s="1"/>
      <c r="DT952" s="1"/>
      <c r="DU952" s="1"/>
      <c r="DV952" s="1"/>
      <c r="DW952" s="1"/>
      <c r="DX952" s="1"/>
      <c r="DY952" s="1"/>
      <c r="DZ952" s="1"/>
      <c r="EA952" s="1"/>
      <c r="EB952" s="1"/>
      <c r="EC952" s="1"/>
      <c r="ED952" s="1"/>
      <c r="EE952" s="1"/>
      <c r="EF952" s="1"/>
      <c r="EG952" s="1"/>
      <c r="EH952" s="1"/>
      <c r="EI952" s="1"/>
      <c r="EJ952" s="1"/>
      <c r="EK952" s="1"/>
      <c r="EL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c r="BR953" s="1"/>
      <c r="BS953" s="1"/>
      <c r="BT953" s="1"/>
      <c r="BU953" s="1"/>
      <c r="BV953" s="1"/>
      <c r="BW953" s="1"/>
      <c r="BX953" s="1"/>
      <c r="BY953" s="1"/>
      <c r="BZ953" s="1"/>
      <c r="CA953" s="1"/>
      <c r="CB953" s="1"/>
      <c r="CC953" s="1"/>
      <c r="CD953" s="1"/>
      <c r="CE953" s="1"/>
      <c r="CF953" s="1"/>
      <c r="CG953" s="1"/>
      <c r="CH953" s="1"/>
      <c r="CI953" s="1"/>
      <c r="CJ953" s="1"/>
      <c r="CK953" s="1"/>
      <c r="CL953" s="1"/>
      <c r="CM953" s="1"/>
      <c r="CN953" s="1"/>
      <c r="CO953" s="1"/>
      <c r="CP953" s="1"/>
      <c r="CQ953" s="1"/>
      <c r="CR953" s="1"/>
      <c r="CS953" s="1"/>
      <c r="CT953" s="1"/>
      <c r="CU953" s="1"/>
      <c r="CV953" s="1"/>
      <c r="CW953" s="1"/>
      <c r="CX953" s="1"/>
      <c r="CY953" s="1"/>
      <c r="CZ953" s="1"/>
      <c r="DA953" s="1"/>
      <c r="DB953" s="1"/>
      <c r="DC953" s="1"/>
      <c r="DD953" s="1"/>
      <c r="DE953" s="1"/>
      <c r="DF953" s="1"/>
      <c r="DG953" s="1"/>
      <c r="DH953" s="1"/>
      <c r="DI953" s="1"/>
      <c r="DJ953" s="1"/>
      <c r="DK953" s="1"/>
      <c r="DL953" s="1"/>
      <c r="DM953" s="1"/>
      <c r="DN953" s="1"/>
      <c r="DO953" s="1"/>
      <c r="DP953" s="1"/>
      <c r="DQ953" s="1"/>
      <c r="DR953" s="1"/>
      <c r="DS953" s="1"/>
      <c r="DT953" s="1"/>
      <c r="DU953" s="1"/>
      <c r="DV953" s="1"/>
      <c r="DW953" s="1"/>
      <c r="DX953" s="1"/>
      <c r="DY953" s="1"/>
      <c r="DZ953" s="1"/>
      <c r="EA953" s="1"/>
      <c r="EB953" s="1"/>
      <c r="EC953" s="1"/>
      <c r="ED953" s="1"/>
      <c r="EE953" s="1"/>
      <c r="EF953" s="1"/>
      <c r="EG953" s="1"/>
      <c r="EH953" s="1"/>
      <c r="EI953" s="1"/>
      <c r="EJ953" s="1"/>
      <c r="EK953" s="1"/>
      <c r="EL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c r="BR954" s="1"/>
      <c r="BS954" s="1"/>
      <c r="BT954" s="1"/>
      <c r="BU954" s="1"/>
      <c r="BV954" s="1"/>
      <c r="BW954" s="1"/>
      <c r="BX954" s="1"/>
      <c r="BY954" s="1"/>
      <c r="BZ954" s="1"/>
      <c r="CA954" s="1"/>
      <c r="CB954" s="1"/>
      <c r="CC954" s="1"/>
      <c r="CD954" s="1"/>
      <c r="CE954" s="1"/>
      <c r="CF954" s="1"/>
      <c r="CG954" s="1"/>
      <c r="CH954" s="1"/>
      <c r="CI954" s="1"/>
      <c r="CJ954" s="1"/>
      <c r="CK954" s="1"/>
      <c r="CL954" s="1"/>
      <c r="CM954" s="1"/>
      <c r="CN954" s="1"/>
      <c r="CO954" s="1"/>
      <c r="CP954" s="1"/>
      <c r="CQ954" s="1"/>
      <c r="CR954" s="1"/>
      <c r="CS954" s="1"/>
      <c r="CT954" s="1"/>
      <c r="CU954" s="1"/>
      <c r="CV954" s="1"/>
      <c r="CW954" s="1"/>
      <c r="CX954" s="1"/>
      <c r="CY954" s="1"/>
      <c r="CZ954" s="1"/>
      <c r="DA954" s="1"/>
      <c r="DB954" s="1"/>
      <c r="DC954" s="1"/>
      <c r="DD954" s="1"/>
      <c r="DE954" s="1"/>
      <c r="DF954" s="1"/>
      <c r="DG954" s="1"/>
      <c r="DH954" s="1"/>
      <c r="DI954" s="1"/>
      <c r="DJ954" s="1"/>
      <c r="DK954" s="1"/>
      <c r="DL954" s="1"/>
      <c r="DM954" s="1"/>
      <c r="DN954" s="1"/>
      <c r="DO954" s="1"/>
      <c r="DP954" s="1"/>
      <c r="DQ954" s="1"/>
      <c r="DR954" s="1"/>
      <c r="DS954" s="1"/>
      <c r="DT954" s="1"/>
      <c r="DU954" s="1"/>
      <c r="DV954" s="1"/>
      <c r="DW954" s="1"/>
      <c r="DX954" s="1"/>
      <c r="DY954" s="1"/>
      <c r="DZ954" s="1"/>
      <c r="EA954" s="1"/>
      <c r="EB954" s="1"/>
      <c r="EC954" s="1"/>
      <c r="ED954" s="1"/>
      <c r="EE954" s="1"/>
      <c r="EF954" s="1"/>
      <c r="EG954" s="1"/>
      <c r="EH954" s="1"/>
      <c r="EI954" s="1"/>
      <c r="EJ954" s="1"/>
      <c r="EK954" s="1"/>
      <c r="EL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c r="BR955" s="1"/>
      <c r="BS955" s="1"/>
      <c r="BT955" s="1"/>
      <c r="BU955" s="1"/>
      <c r="BV955" s="1"/>
      <c r="BW955" s="1"/>
      <c r="BX955" s="1"/>
      <c r="BY955" s="1"/>
      <c r="BZ955" s="1"/>
      <c r="CA955" s="1"/>
      <c r="CB955" s="1"/>
      <c r="CC955" s="1"/>
      <c r="CD955" s="1"/>
      <c r="CE955" s="1"/>
      <c r="CF955" s="1"/>
      <c r="CG955" s="1"/>
      <c r="CH955" s="1"/>
      <c r="CI955" s="1"/>
      <c r="CJ955" s="1"/>
      <c r="CK955" s="1"/>
      <c r="CL955" s="1"/>
      <c r="CM955" s="1"/>
      <c r="CN955" s="1"/>
      <c r="CO955" s="1"/>
      <c r="CP955" s="1"/>
      <c r="CQ955" s="1"/>
      <c r="CR955" s="1"/>
      <c r="CS955" s="1"/>
      <c r="CT955" s="1"/>
      <c r="CU955" s="1"/>
      <c r="CV955" s="1"/>
      <c r="CW955" s="1"/>
      <c r="CX955" s="1"/>
      <c r="CY955" s="1"/>
      <c r="CZ955" s="1"/>
      <c r="DA955" s="1"/>
      <c r="DB955" s="1"/>
      <c r="DC955" s="1"/>
      <c r="DD955" s="1"/>
      <c r="DE955" s="1"/>
      <c r="DF955" s="1"/>
      <c r="DG955" s="1"/>
      <c r="DH955" s="1"/>
      <c r="DI955" s="1"/>
      <c r="DJ955" s="1"/>
      <c r="DK955" s="1"/>
      <c r="DL955" s="1"/>
      <c r="DM955" s="1"/>
      <c r="DN955" s="1"/>
      <c r="DO955" s="1"/>
      <c r="DP955" s="1"/>
      <c r="DQ955" s="1"/>
      <c r="DR955" s="1"/>
      <c r="DS955" s="1"/>
      <c r="DT955" s="1"/>
      <c r="DU955" s="1"/>
      <c r="DV955" s="1"/>
      <c r="DW955" s="1"/>
      <c r="DX955" s="1"/>
      <c r="DY955" s="1"/>
      <c r="DZ955" s="1"/>
      <c r="EA955" s="1"/>
      <c r="EB955" s="1"/>
      <c r="EC955" s="1"/>
      <c r="ED955" s="1"/>
      <c r="EE955" s="1"/>
      <c r="EF955" s="1"/>
      <c r="EG955" s="1"/>
      <c r="EH955" s="1"/>
      <c r="EI955" s="1"/>
      <c r="EJ955" s="1"/>
      <c r="EK955" s="1"/>
      <c r="EL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c r="BR956" s="1"/>
      <c r="BS956" s="1"/>
      <c r="BT956" s="1"/>
      <c r="BU956" s="1"/>
      <c r="BV956" s="1"/>
      <c r="BW956" s="1"/>
      <c r="BX956" s="1"/>
      <c r="BY956" s="1"/>
      <c r="BZ956" s="1"/>
      <c r="CA956" s="1"/>
      <c r="CB956" s="1"/>
      <c r="CC956" s="1"/>
      <c r="CD956" s="1"/>
      <c r="CE956" s="1"/>
      <c r="CF956" s="1"/>
      <c r="CG956" s="1"/>
      <c r="CH956" s="1"/>
      <c r="CI956" s="1"/>
      <c r="CJ956" s="1"/>
      <c r="CK956" s="1"/>
      <c r="CL956" s="1"/>
      <c r="CM956" s="1"/>
      <c r="CN956" s="1"/>
      <c r="CO956" s="1"/>
      <c r="CP956" s="1"/>
      <c r="CQ956" s="1"/>
      <c r="CR956" s="1"/>
      <c r="CS956" s="1"/>
      <c r="CT956" s="1"/>
      <c r="CU956" s="1"/>
      <c r="CV956" s="1"/>
      <c r="CW956" s="1"/>
      <c r="CX956" s="1"/>
      <c r="CY956" s="1"/>
      <c r="CZ956" s="1"/>
      <c r="DA956" s="1"/>
      <c r="DB956" s="1"/>
      <c r="DC956" s="1"/>
      <c r="DD956" s="1"/>
      <c r="DE956" s="1"/>
      <c r="DF956" s="1"/>
      <c r="DG956" s="1"/>
      <c r="DH956" s="1"/>
      <c r="DI956" s="1"/>
      <c r="DJ956" s="1"/>
      <c r="DK956" s="1"/>
      <c r="DL956" s="1"/>
      <c r="DM956" s="1"/>
      <c r="DN956" s="1"/>
      <c r="DO956" s="1"/>
      <c r="DP956" s="1"/>
      <c r="DQ956" s="1"/>
      <c r="DR956" s="1"/>
      <c r="DS956" s="1"/>
      <c r="DT956" s="1"/>
      <c r="DU956" s="1"/>
      <c r="DV956" s="1"/>
      <c r="DW956" s="1"/>
      <c r="DX956" s="1"/>
      <c r="DY956" s="1"/>
      <c r="DZ956" s="1"/>
      <c r="EA956" s="1"/>
      <c r="EB956" s="1"/>
      <c r="EC956" s="1"/>
      <c r="ED956" s="1"/>
      <c r="EE956" s="1"/>
      <c r="EF956" s="1"/>
      <c r="EG956" s="1"/>
      <c r="EH956" s="1"/>
      <c r="EI956" s="1"/>
      <c r="EJ956" s="1"/>
      <c r="EK956" s="1"/>
      <c r="EL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c r="BR957" s="1"/>
      <c r="BS957" s="1"/>
      <c r="BT957" s="1"/>
      <c r="BU957" s="1"/>
      <c r="BV957" s="1"/>
      <c r="BW957" s="1"/>
      <c r="BX957" s="1"/>
      <c r="BY957" s="1"/>
      <c r="BZ957" s="1"/>
      <c r="CA957" s="1"/>
      <c r="CB957" s="1"/>
      <c r="CC957" s="1"/>
      <c r="CD957" s="1"/>
      <c r="CE957" s="1"/>
      <c r="CF957" s="1"/>
      <c r="CG957" s="1"/>
      <c r="CH957" s="1"/>
      <c r="CI957" s="1"/>
      <c r="CJ957" s="1"/>
      <c r="CK957" s="1"/>
      <c r="CL957" s="1"/>
      <c r="CM957" s="1"/>
      <c r="CN957" s="1"/>
      <c r="CO957" s="1"/>
      <c r="CP957" s="1"/>
      <c r="CQ957" s="1"/>
      <c r="CR957" s="1"/>
      <c r="CS957" s="1"/>
      <c r="CT957" s="1"/>
      <c r="CU957" s="1"/>
      <c r="CV957" s="1"/>
      <c r="CW957" s="1"/>
      <c r="CX957" s="1"/>
      <c r="CY957" s="1"/>
      <c r="CZ957" s="1"/>
      <c r="DA957" s="1"/>
      <c r="DB957" s="1"/>
      <c r="DC957" s="1"/>
      <c r="DD957" s="1"/>
      <c r="DE957" s="1"/>
      <c r="DF957" s="1"/>
      <c r="DG957" s="1"/>
      <c r="DH957" s="1"/>
      <c r="DI957" s="1"/>
      <c r="DJ957" s="1"/>
      <c r="DK957" s="1"/>
      <c r="DL957" s="1"/>
      <c r="DM957" s="1"/>
      <c r="DN957" s="1"/>
      <c r="DO957" s="1"/>
      <c r="DP957" s="1"/>
      <c r="DQ957" s="1"/>
      <c r="DR957" s="1"/>
      <c r="DS957" s="1"/>
      <c r="DT957" s="1"/>
      <c r="DU957" s="1"/>
      <c r="DV957" s="1"/>
      <c r="DW957" s="1"/>
      <c r="DX957" s="1"/>
      <c r="DY957" s="1"/>
      <c r="DZ957" s="1"/>
      <c r="EA957" s="1"/>
      <c r="EB957" s="1"/>
      <c r="EC957" s="1"/>
      <c r="ED957" s="1"/>
      <c r="EE957" s="1"/>
      <c r="EF957" s="1"/>
      <c r="EG957" s="1"/>
      <c r="EH957" s="1"/>
      <c r="EI957" s="1"/>
      <c r="EJ957" s="1"/>
      <c r="EK957" s="1"/>
      <c r="EL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c r="BR958" s="1"/>
      <c r="BS958" s="1"/>
      <c r="BT958" s="1"/>
      <c r="BU958" s="1"/>
      <c r="BV958" s="1"/>
      <c r="BW958" s="1"/>
      <c r="BX958" s="1"/>
      <c r="BY958" s="1"/>
      <c r="BZ958" s="1"/>
      <c r="CA958" s="1"/>
      <c r="CB958" s="1"/>
      <c r="CC958" s="1"/>
      <c r="CD958" s="1"/>
      <c r="CE958" s="1"/>
      <c r="CF958" s="1"/>
      <c r="CG958" s="1"/>
      <c r="CH958" s="1"/>
      <c r="CI958" s="1"/>
      <c r="CJ958" s="1"/>
      <c r="CK958" s="1"/>
      <c r="CL958" s="1"/>
      <c r="CM958" s="1"/>
      <c r="CN958" s="1"/>
      <c r="CO958" s="1"/>
      <c r="CP958" s="1"/>
      <c r="CQ958" s="1"/>
      <c r="CR958" s="1"/>
      <c r="CS958" s="1"/>
      <c r="CT958" s="1"/>
      <c r="CU958" s="1"/>
      <c r="CV958" s="1"/>
      <c r="CW958" s="1"/>
      <c r="CX958" s="1"/>
      <c r="CY958" s="1"/>
      <c r="CZ958" s="1"/>
      <c r="DA958" s="1"/>
      <c r="DB958" s="1"/>
      <c r="DC958" s="1"/>
      <c r="DD958" s="1"/>
      <c r="DE958" s="1"/>
      <c r="DF958" s="1"/>
      <c r="DG958" s="1"/>
      <c r="DH958" s="1"/>
      <c r="DI958" s="1"/>
      <c r="DJ958" s="1"/>
      <c r="DK958" s="1"/>
      <c r="DL958" s="1"/>
      <c r="DM958" s="1"/>
      <c r="DN958" s="1"/>
      <c r="DO958" s="1"/>
      <c r="DP958" s="1"/>
      <c r="DQ958" s="1"/>
      <c r="DR958" s="1"/>
      <c r="DS958" s="1"/>
      <c r="DT958" s="1"/>
      <c r="DU958" s="1"/>
      <c r="DV958" s="1"/>
      <c r="DW958" s="1"/>
      <c r="DX958" s="1"/>
      <c r="DY958" s="1"/>
      <c r="DZ958" s="1"/>
      <c r="EA958" s="1"/>
      <c r="EB958" s="1"/>
      <c r="EC958" s="1"/>
      <c r="ED958" s="1"/>
      <c r="EE958" s="1"/>
      <c r="EF958" s="1"/>
      <c r="EG958" s="1"/>
      <c r="EH958" s="1"/>
      <c r="EI958" s="1"/>
      <c r="EJ958" s="1"/>
      <c r="EK958" s="1"/>
      <c r="EL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c r="BR959" s="1"/>
      <c r="BS959" s="1"/>
      <c r="BT959" s="1"/>
      <c r="BU959" s="1"/>
      <c r="BV959" s="1"/>
      <c r="BW959" s="1"/>
      <c r="BX959" s="1"/>
      <c r="BY959" s="1"/>
      <c r="BZ959" s="1"/>
      <c r="CA959" s="1"/>
      <c r="CB959" s="1"/>
      <c r="CC959" s="1"/>
      <c r="CD959" s="1"/>
      <c r="CE959" s="1"/>
      <c r="CF959" s="1"/>
      <c r="CG959" s="1"/>
      <c r="CH959" s="1"/>
      <c r="CI959" s="1"/>
      <c r="CJ959" s="1"/>
      <c r="CK959" s="1"/>
      <c r="CL959" s="1"/>
      <c r="CM959" s="1"/>
      <c r="CN959" s="1"/>
      <c r="CO959" s="1"/>
      <c r="CP959" s="1"/>
      <c r="CQ959" s="1"/>
      <c r="CR959" s="1"/>
      <c r="CS959" s="1"/>
      <c r="CT959" s="1"/>
      <c r="CU959" s="1"/>
      <c r="CV959" s="1"/>
      <c r="CW959" s="1"/>
      <c r="CX959" s="1"/>
      <c r="CY959" s="1"/>
      <c r="CZ959" s="1"/>
      <c r="DA959" s="1"/>
      <c r="DB959" s="1"/>
      <c r="DC959" s="1"/>
      <c r="DD959" s="1"/>
      <c r="DE959" s="1"/>
      <c r="DF959" s="1"/>
      <c r="DG959" s="1"/>
      <c r="DH959" s="1"/>
      <c r="DI959" s="1"/>
      <c r="DJ959" s="1"/>
      <c r="DK959" s="1"/>
      <c r="DL959" s="1"/>
      <c r="DM959" s="1"/>
      <c r="DN959" s="1"/>
      <c r="DO959" s="1"/>
      <c r="DP959" s="1"/>
      <c r="DQ959" s="1"/>
      <c r="DR959" s="1"/>
      <c r="DS959" s="1"/>
      <c r="DT959" s="1"/>
      <c r="DU959" s="1"/>
      <c r="DV959" s="1"/>
      <c r="DW959" s="1"/>
      <c r="DX959" s="1"/>
      <c r="DY959" s="1"/>
      <c r="DZ959" s="1"/>
      <c r="EA959" s="1"/>
      <c r="EB959" s="1"/>
      <c r="EC959" s="1"/>
      <c r="ED959" s="1"/>
      <c r="EE959" s="1"/>
      <c r="EF959" s="1"/>
      <c r="EG959" s="1"/>
      <c r="EH959" s="1"/>
      <c r="EI959" s="1"/>
      <c r="EJ959" s="1"/>
      <c r="EK959" s="1"/>
      <c r="EL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c r="BR960" s="1"/>
      <c r="BS960" s="1"/>
      <c r="BT960" s="1"/>
      <c r="BU960" s="1"/>
      <c r="BV960" s="1"/>
      <c r="BW960" s="1"/>
      <c r="BX960" s="1"/>
      <c r="BY960" s="1"/>
      <c r="BZ960" s="1"/>
      <c r="CA960" s="1"/>
      <c r="CB960" s="1"/>
      <c r="CC960" s="1"/>
      <c r="CD960" s="1"/>
      <c r="CE960" s="1"/>
      <c r="CF960" s="1"/>
      <c r="CG960" s="1"/>
      <c r="CH960" s="1"/>
      <c r="CI960" s="1"/>
      <c r="CJ960" s="1"/>
      <c r="CK960" s="1"/>
      <c r="CL960" s="1"/>
      <c r="CM960" s="1"/>
      <c r="CN960" s="1"/>
      <c r="CO960" s="1"/>
      <c r="CP960" s="1"/>
      <c r="CQ960" s="1"/>
      <c r="CR960" s="1"/>
      <c r="CS960" s="1"/>
      <c r="CT960" s="1"/>
      <c r="CU960" s="1"/>
      <c r="CV960" s="1"/>
      <c r="CW960" s="1"/>
      <c r="CX960" s="1"/>
      <c r="CY960" s="1"/>
      <c r="CZ960" s="1"/>
      <c r="DA960" s="1"/>
      <c r="DB960" s="1"/>
      <c r="DC960" s="1"/>
      <c r="DD960" s="1"/>
      <c r="DE960" s="1"/>
      <c r="DF960" s="1"/>
      <c r="DG960" s="1"/>
      <c r="DH960" s="1"/>
      <c r="DI960" s="1"/>
      <c r="DJ960" s="1"/>
      <c r="DK960" s="1"/>
      <c r="DL960" s="1"/>
      <c r="DM960" s="1"/>
      <c r="DN960" s="1"/>
      <c r="DO960" s="1"/>
      <c r="DP960" s="1"/>
      <c r="DQ960" s="1"/>
      <c r="DR960" s="1"/>
      <c r="DS960" s="1"/>
      <c r="DT960" s="1"/>
      <c r="DU960" s="1"/>
      <c r="DV960" s="1"/>
      <c r="DW960" s="1"/>
      <c r="DX960" s="1"/>
      <c r="DY960" s="1"/>
      <c r="DZ960" s="1"/>
      <c r="EA960" s="1"/>
      <c r="EB960" s="1"/>
      <c r="EC960" s="1"/>
      <c r="ED960" s="1"/>
      <c r="EE960" s="1"/>
      <c r="EF960" s="1"/>
      <c r="EG960" s="1"/>
      <c r="EH960" s="1"/>
      <c r="EI960" s="1"/>
      <c r="EJ960" s="1"/>
      <c r="EK960" s="1"/>
      <c r="EL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c r="BR961" s="1"/>
      <c r="BS961" s="1"/>
      <c r="BT961" s="1"/>
      <c r="BU961" s="1"/>
      <c r="BV961" s="1"/>
      <c r="BW961" s="1"/>
      <c r="BX961" s="1"/>
      <c r="BY961" s="1"/>
      <c r="BZ961" s="1"/>
      <c r="CA961" s="1"/>
      <c r="CB961" s="1"/>
      <c r="CC961" s="1"/>
      <c r="CD961" s="1"/>
      <c r="CE961" s="1"/>
      <c r="CF961" s="1"/>
      <c r="CG961" s="1"/>
      <c r="CH961" s="1"/>
      <c r="CI961" s="1"/>
      <c r="CJ961" s="1"/>
      <c r="CK961" s="1"/>
      <c r="CL961" s="1"/>
      <c r="CM961" s="1"/>
      <c r="CN961" s="1"/>
      <c r="CO961" s="1"/>
      <c r="CP961" s="1"/>
      <c r="CQ961" s="1"/>
      <c r="CR961" s="1"/>
      <c r="CS961" s="1"/>
      <c r="CT961" s="1"/>
      <c r="CU961" s="1"/>
      <c r="CV961" s="1"/>
      <c r="CW961" s="1"/>
      <c r="CX961" s="1"/>
      <c r="CY961" s="1"/>
      <c r="CZ961" s="1"/>
      <c r="DA961" s="1"/>
      <c r="DB961" s="1"/>
      <c r="DC961" s="1"/>
      <c r="DD961" s="1"/>
      <c r="DE961" s="1"/>
      <c r="DF961" s="1"/>
      <c r="DG961" s="1"/>
      <c r="DH961" s="1"/>
      <c r="DI961" s="1"/>
      <c r="DJ961" s="1"/>
      <c r="DK961" s="1"/>
      <c r="DL961" s="1"/>
      <c r="DM961" s="1"/>
      <c r="DN961" s="1"/>
      <c r="DO961" s="1"/>
      <c r="DP961" s="1"/>
      <c r="DQ961" s="1"/>
      <c r="DR961" s="1"/>
      <c r="DS961" s="1"/>
      <c r="DT961" s="1"/>
      <c r="DU961" s="1"/>
      <c r="DV961" s="1"/>
      <c r="DW961" s="1"/>
      <c r="DX961" s="1"/>
      <c r="DY961" s="1"/>
      <c r="DZ961" s="1"/>
      <c r="EA961" s="1"/>
      <c r="EB961" s="1"/>
      <c r="EC961" s="1"/>
      <c r="ED961" s="1"/>
      <c r="EE961" s="1"/>
      <c r="EF961" s="1"/>
      <c r="EG961" s="1"/>
      <c r="EH961" s="1"/>
      <c r="EI961" s="1"/>
      <c r="EJ961" s="1"/>
      <c r="EK961" s="1"/>
      <c r="EL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c r="BR962" s="1"/>
      <c r="BS962" s="1"/>
      <c r="BT962" s="1"/>
      <c r="BU962" s="1"/>
      <c r="BV962" s="1"/>
      <c r="BW962" s="1"/>
      <c r="BX962" s="1"/>
      <c r="BY962" s="1"/>
      <c r="BZ962" s="1"/>
      <c r="CA962" s="1"/>
      <c r="CB962" s="1"/>
      <c r="CC962" s="1"/>
      <c r="CD962" s="1"/>
      <c r="CE962" s="1"/>
      <c r="CF962" s="1"/>
      <c r="CG962" s="1"/>
      <c r="CH962" s="1"/>
      <c r="CI962" s="1"/>
      <c r="CJ962" s="1"/>
      <c r="CK962" s="1"/>
      <c r="CL962" s="1"/>
      <c r="CM962" s="1"/>
      <c r="CN962" s="1"/>
      <c r="CO962" s="1"/>
      <c r="CP962" s="1"/>
      <c r="CQ962" s="1"/>
      <c r="CR962" s="1"/>
      <c r="CS962" s="1"/>
      <c r="CT962" s="1"/>
      <c r="CU962" s="1"/>
      <c r="CV962" s="1"/>
      <c r="CW962" s="1"/>
      <c r="CX962" s="1"/>
      <c r="CY962" s="1"/>
      <c r="CZ962" s="1"/>
      <c r="DA962" s="1"/>
      <c r="DB962" s="1"/>
      <c r="DC962" s="1"/>
      <c r="DD962" s="1"/>
      <c r="DE962" s="1"/>
      <c r="DF962" s="1"/>
      <c r="DG962" s="1"/>
      <c r="DH962" s="1"/>
      <c r="DI962" s="1"/>
      <c r="DJ962" s="1"/>
      <c r="DK962" s="1"/>
      <c r="DL962" s="1"/>
      <c r="DM962" s="1"/>
      <c r="DN962" s="1"/>
      <c r="DO962" s="1"/>
      <c r="DP962" s="1"/>
      <c r="DQ962" s="1"/>
      <c r="DR962" s="1"/>
      <c r="DS962" s="1"/>
      <c r="DT962" s="1"/>
      <c r="DU962" s="1"/>
      <c r="DV962" s="1"/>
      <c r="DW962" s="1"/>
      <c r="DX962" s="1"/>
      <c r="DY962" s="1"/>
      <c r="DZ962" s="1"/>
      <c r="EA962" s="1"/>
      <c r="EB962" s="1"/>
      <c r="EC962" s="1"/>
      <c r="ED962" s="1"/>
      <c r="EE962" s="1"/>
      <c r="EF962" s="1"/>
      <c r="EG962" s="1"/>
      <c r="EH962" s="1"/>
      <c r="EI962" s="1"/>
      <c r="EJ962" s="1"/>
      <c r="EK962" s="1"/>
      <c r="EL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c r="BR963" s="1"/>
      <c r="BS963" s="1"/>
      <c r="BT963" s="1"/>
      <c r="BU963" s="1"/>
      <c r="BV963" s="1"/>
      <c r="BW963" s="1"/>
      <c r="BX963" s="1"/>
      <c r="BY963" s="1"/>
      <c r="BZ963" s="1"/>
      <c r="CA963" s="1"/>
      <c r="CB963" s="1"/>
      <c r="CC963" s="1"/>
      <c r="CD963" s="1"/>
      <c r="CE963" s="1"/>
      <c r="CF963" s="1"/>
      <c r="CG963" s="1"/>
      <c r="CH963" s="1"/>
      <c r="CI963" s="1"/>
      <c r="CJ963" s="1"/>
      <c r="CK963" s="1"/>
      <c r="CL963" s="1"/>
      <c r="CM963" s="1"/>
      <c r="CN963" s="1"/>
      <c r="CO963" s="1"/>
      <c r="CP963" s="1"/>
      <c r="CQ963" s="1"/>
      <c r="CR963" s="1"/>
      <c r="CS963" s="1"/>
      <c r="CT963" s="1"/>
      <c r="CU963" s="1"/>
      <c r="CV963" s="1"/>
      <c r="CW963" s="1"/>
      <c r="CX963" s="1"/>
      <c r="CY963" s="1"/>
      <c r="CZ963" s="1"/>
      <c r="DA963" s="1"/>
      <c r="DB963" s="1"/>
      <c r="DC963" s="1"/>
      <c r="DD963" s="1"/>
      <c r="DE963" s="1"/>
      <c r="DF963" s="1"/>
      <c r="DG963" s="1"/>
      <c r="DH963" s="1"/>
      <c r="DI963" s="1"/>
      <c r="DJ963" s="1"/>
      <c r="DK963" s="1"/>
      <c r="DL963" s="1"/>
      <c r="DM963" s="1"/>
      <c r="DN963" s="1"/>
      <c r="DO963" s="1"/>
      <c r="DP963" s="1"/>
      <c r="DQ963" s="1"/>
      <c r="DR963" s="1"/>
      <c r="DS963" s="1"/>
      <c r="DT963" s="1"/>
      <c r="DU963" s="1"/>
      <c r="DV963" s="1"/>
      <c r="DW963" s="1"/>
      <c r="DX963" s="1"/>
      <c r="DY963" s="1"/>
      <c r="DZ963" s="1"/>
      <c r="EA963" s="1"/>
      <c r="EB963" s="1"/>
      <c r="EC963" s="1"/>
      <c r="ED963" s="1"/>
      <c r="EE963" s="1"/>
      <c r="EF963" s="1"/>
      <c r="EG963" s="1"/>
      <c r="EH963" s="1"/>
      <c r="EI963" s="1"/>
      <c r="EJ963" s="1"/>
      <c r="EK963" s="1"/>
      <c r="EL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c r="BR964" s="1"/>
      <c r="BS964" s="1"/>
      <c r="BT964" s="1"/>
      <c r="BU964" s="1"/>
      <c r="BV964" s="1"/>
      <c r="BW964" s="1"/>
      <c r="BX964" s="1"/>
      <c r="BY964" s="1"/>
      <c r="BZ964" s="1"/>
      <c r="CA964" s="1"/>
      <c r="CB964" s="1"/>
      <c r="CC964" s="1"/>
      <c r="CD964" s="1"/>
      <c r="CE964" s="1"/>
      <c r="CF964" s="1"/>
      <c r="CG964" s="1"/>
      <c r="CH964" s="1"/>
      <c r="CI964" s="1"/>
      <c r="CJ964" s="1"/>
      <c r="CK964" s="1"/>
      <c r="CL964" s="1"/>
      <c r="CM964" s="1"/>
      <c r="CN964" s="1"/>
      <c r="CO964" s="1"/>
      <c r="CP964" s="1"/>
      <c r="CQ964" s="1"/>
      <c r="CR964" s="1"/>
      <c r="CS964" s="1"/>
      <c r="CT964" s="1"/>
      <c r="CU964" s="1"/>
      <c r="CV964" s="1"/>
      <c r="CW964" s="1"/>
      <c r="CX964" s="1"/>
      <c r="CY964" s="1"/>
      <c r="CZ964" s="1"/>
      <c r="DA964" s="1"/>
      <c r="DB964" s="1"/>
      <c r="DC964" s="1"/>
      <c r="DD964" s="1"/>
      <c r="DE964" s="1"/>
      <c r="DF964" s="1"/>
      <c r="DG964" s="1"/>
      <c r="DH964" s="1"/>
      <c r="DI964" s="1"/>
      <c r="DJ964" s="1"/>
      <c r="DK964" s="1"/>
      <c r="DL964" s="1"/>
      <c r="DM964" s="1"/>
      <c r="DN964" s="1"/>
      <c r="DO964" s="1"/>
      <c r="DP964" s="1"/>
      <c r="DQ964" s="1"/>
      <c r="DR964" s="1"/>
      <c r="DS964" s="1"/>
      <c r="DT964" s="1"/>
      <c r="DU964" s="1"/>
      <c r="DV964" s="1"/>
      <c r="DW964" s="1"/>
      <c r="DX964" s="1"/>
      <c r="DY964" s="1"/>
      <c r="DZ964" s="1"/>
      <c r="EA964" s="1"/>
      <c r="EB964" s="1"/>
      <c r="EC964" s="1"/>
      <c r="ED964" s="1"/>
      <c r="EE964" s="1"/>
      <c r="EF964" s="1"/>
      <c r="EG964" s="1"/>
      <c r="EH964" s="1"/>
      <c r="EI964" s="1"/>
      <c r="EJ964" s="1"/>
      <c r="EK964" s="1"/>
      <c r="EL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c r="BR965" s="1"/>
      <c r="BS965" s="1"/>
      <c r="BT965" s="1"/>
      <c r="BU965" s="1"/>
      <c r="BV965" s="1"/>
      <c r="BW965" s="1"/>
      <c r="BX965" s="1"/>
      <c r="BY965" s="1"/>
      <c r="BZ965" s="1"/>
      <c r="CA965" s="1"/>
      <c r="CB965" s="1"/>
      <c r="CC965" s="1"/>
      <c r="CD965" s="1"/>
      <c r="CE965" s="1"/>
      <c r="CF965" s="1"/>
      <c r="CG965" s="1"/>
      <c r="CH965" s="1"/>
      <c r="CI965" s="1"/>
      <c r="CJ965" s="1"/>
      <c r="CK965" s="1"/>
      <c r="CL965" s="1"/>
      <c r="CM965" s="1"/>
      <c r="CN965" s="1"/>
      <c r="CO965" s="1"/>
      <c r="CP965" s="1"/>
      <c r="CQ965" s="1"/>
      <c r="CR965" s="1"/>
      <c r="CS965" s="1"/>
      <c r="CT965" s="1"/>
      <c r="CU965" s="1"/>
      <c r="CV965" s="1"/>
      <c r="CW965" s="1"/>
      <c r="CX965" s="1"/>
      <c r="CY965" s="1"/>
      <c r="CZ965" s="1"/>
      <c r="DA965" s="1"/>
      <c r="DB965" s="1"/>
      <c r="DC965" s="1"/>
      <c r="DD965" s="1"/>
      <c r="DE965" s="1"/>
      <c r="DF965" s="1"/>
      <c r="DG965" s="1"/>
      <c r="DH965" s="1"/>
      <c r="DI965" s="1"/>
      <c r="DJ965" s="1"/>
      <c r="DK965" s="1"/>
      <c r="DL965" s="1"/>
      <c r="DM965" s="1"/>
      <c r="DN965" s="1"/>
      <c r="DO965" s="1"/>
      <c r="DP965" s="1"/>
      <c r="DQ965" s="1"/>
      <c r="DR965" s="1"/>
      <c r="DS965" s="1"/>
      <c r="DT965" s="1"/>
      <c r="DU965" s="1"/>
      <c r="DV965" s="1"/>
      <c r="DW965" s="1"/>
      <c r="DX965" s="1"/>
      <c r="DY965" s="1"/>
      <c r="DZ965" s="1"/>
      <c r="EA965" s="1"/>
      <c r="EB965" s="1"/>
      <c r="EC965" s="1"/>
      <c r="ED965" s="1"/>
      <c r="EE965" s="1"/>
      <c r="EF965" s="1"/>
      <c r="EG965" s="1"/>
      <c r="EH965" s="1"/>
      <c r="EI965" s="1"/>
      <c r="EJ965" s="1"/>
      <c r="EK965" s="1"/>
      <c r="EL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c r="BR966" s="1"/>
      <c r="BS966" s="1"/>
      <c r="BT966" s="1"/>
      <c r="BU966" s="1"/>
      <c r="BV966" s="1"/>
      <c r="BW966" s="1"/>
      <c r="BX966" s="1"/>
      <c r="BY966" s="1"/>
      <c r="BZ966" s="1"/>
      <c r="CA966" s="1"/>
      <c r="CB966" s="1"/>
      <c r="CC966" s="1"/>
      <c r="CD966" s="1"/>
      <c r="CE966" s="1"/>
      <c r="CF966" s="1"/>
      <c r="CG966" s="1"/>
      <c r="CH966" s="1"/>
      <c r="CI966" s="1"/>
      <c r="CJ966" s="1"/>
      <c r="CK966" s="1"/>
      <c r="CL966" s="1"/>
      <c r="CM966" s="1"/>
      <c r="CN966" s="1"/>
      <c r="CO966" s="1"/>
      <c r="CP966" s="1"/>
      <c r="CQ966" s="1"/>
      <c r="CR966" s="1"/>
      <c r="CS966" s="1"/>
      <c r="CT966" s="1"/>
      <c r="CU966" s="1"/>
      <c r="CV966" s="1"/>
      <c r="CW966" s="1"/>
      <c r="CX966" s="1"/>
      <c r="CY966" s="1"/>
      <c r="CZ966" s="1"/>
      <c r="DA966" s="1"/>
      <c r="DB966" s="1"/>
      <c r="DC966" s="1"/>
      <c r="DD966" s="1"/>
      <c r="DE966" s="1"/>
      <c r="DF966" s="1"/>
      <c r="DG966" s="1"/>
      <c r="DH966" s="1"/>
      <c r="DI966" s="1"/>
      <c r="DJ966" s="1"/>
      <c r="DK966" s="1"/>
      <c r="DL966" s="1"/>
      <c r="DM966" s="1"/>
      <c r="DN966" s="1"/>
      <c r="DO966" s="1"/>
      <c r="DP966" s="1"/>
      <c r="DQ966" s="1"/>
      <c r="DR966" s="1"/>
      <c r="DS966" s="1"/>
      <c r="DT966" s="1"/>
      <c r="DU966" s="1"/>
      <c r="DV966" s="1"/>
      <c r="DW966" s="1"/>
      <c r="DX966" s="1"/>
      <c r="DY966" s="1"/>
      <c r="DZ966" s="1"/>
      <c r="EA966" s="1"/>
      <c r="EB966" s="1"/>
      <c r="EC966" s="1"/>
      <c r="ED966" s="1"/>
      <c r="EE966" s="1"/>
      <c r="EF966" s="1"/>
      <c r="EG966" s="1"/>
      <c r="EH966" s="1"/>
      <c r="EI966" s="1"/>
      <c r="EJ966" s="1"/>
      <c r="EK966" s="1"/>
      <c r="EL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c r="BR967" s="1"/>
      <c r="BS967" s="1"/>
      <c r="BT967" s="1"/>
      <c r="BU967" s="1"/>
      <c r="BV967" s="1"/>
      <c r="BW967" s="1"/>
      <c r="BX967" s="1"/>
      <c r="BY967" s="1"/>
      <c r="BZ967" s="1"/>
      <c r="CA967" s="1"/>
      <c r="CB967" s="1"/>
      <c r="CC967" s="1"/>
      <c r="CD967" s="1"/>
      <c r="CE967" s="1"/>
      <c r="CF967" s="1"/>
      <c r="CG967" s="1"/>
      <c r="CH967" s="1"/>
      <c r="CI967" s="1"/>
      <c r="CJ967" s="1"/>
      <c r="CK967" s="1"/>
      <c r="CL967" s="1"/>
      <c r="CM967" s="1"/>
      <c r="CN967" s="1"/>
      <c r="CO967" s="1"/>
      <c r="CP967" s="1"/>
      <c r="CQ967" s="1"/>
      <c r="CR967" s="1"/>
      <c r="CS967" s="1"/>
      <c r="CT967" s="1"/>
      <c r="CU967" s="1"/>
      <c r="CV967" s="1"/>
      <c r="CW967" s="1"/>
      <c r="CX967" s="1"/>
      <c r="CY967" s="1"/>
      <c r="CZ967" s="1"/>
      <c r="DA967" s="1"/>
      <c r="DB967" s="1"/>
      <c r="DC967" s="1"/>
      <c r="DD967" s="1"/>
      <c r="DE967" s="1"/>
      <c r="DF967" s="1"/>
      <c r="DG967" s="1"/>
      <c r="DH967" s="1"/>
      <c r="DI967" s="1"/>
      <c r="DJ967" s="1"/>
      <c r="DK967" s="1"/>
      <c r="DL967" s="1"/>
      <c r="DM967" s="1"/>
      <c r="DN967" s="1"/>
      <c r="DO967" s="1"/>
      <c r="DP967" s="1"/>
      <c r="DQ967" s="1"/>
      <c r="DR967" s="1"/>
      <c r="DS967" s="1"/>
      <c r="DT967" s="1"/>
      <c r="DU967" s="1"/>
      <c r="DV967" s="1"/>
      <c r="DW967" s="1"/>
      <c r="DX967" s="1"/>
      <c r="DY967" s="1"/>
      <c r="DZ967" s="1"/>
      <c r="EA967" s="1"/>
      <c r="EB967" s="1"/>
      <c r="EC967" s="1"/>
      <c r="ED967" s="1"/>
      <c r="EE967" s="1"/>
      <c r="EF967" s="1"/>
      <c r="EG967" s="1"/>
      <c r="EH967" s="1"/>
      <c r="EI967" s="1"/>
      <c r="EJ967" s="1"/>
      <c r="EK967" s="1"/>
      <c r="EL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c r="BR968" s="1"/>
      <c r="BS968" s="1"/>
      <c r="BT968" s="1"/>
      <c r="BU968" s="1"/>
      <c r="BV968" s="1"/>
      <c r="BW968" s="1"/>
      <c r="BX968" s="1"/>
      <c r="BY968" s="1"/>
      <c r="BZ968" s="1"/>
      <c r="CA968" s="1"/>
      <c r="CB968" s="1"/>
      <c r="CC968" s="1"/>
      <c r="CD968" s="1"/>
      <c r="CE968" s="1"/>
      <c r="CF968" s="1"/>
      <c r="CG968" s="1"/>
      <c r="CH968" s="1"/>
      <c r="CI968" s="1"/>
      <c r="CJ968" s="1"/>
      <c r="CK968" s="1"/>
      <c r="CL968" s="1"/>
      <c r="CM968" s="1"/>
      <c r="CN968" s="1"/>
      <c r="CO968" s="1"/>
      <c r="CP968" s="1"/>
      <c r="CQ968" s="1"/>
      <c r="CR968" s="1"/>
      <c r="CS968" s="1"/>
      <c r="CT968" s="1"/>
      <c r="CU968" s="1"/>
      <c r="CV968" s="1"/>
      <c r="CW968" s="1"/>
      <c r="CX968" s="1"/>
      <c r="CY968" s="1"/>
      <c r="CZ968" s="1"/>
      <c r="DA968" s="1"/>
      <c r="DB968" s="1"/>
      <c r="DC968" s="1"/>
      <c r="DD968" s="1"/>
      <c r="DE968" s="1"/>
      <c r="DF968" s="1"/>
      <c r="DG968" s="1"/>
      <c r="DH968" s="1"/>
      <c r="DI968" s="1"/>
      <c r="DJ968" s="1"/>
      <c r="DK968" s="1"/>
      <c r="DL968" s="1"/>
      <c r="DM968" s="1"/>
      <c r="DN968" s="1"/>
      <c r="DO968" s="1"/>
      <c r="DP968" s="1"/>
      <c r="DQ968" s="1"/>
      <c r="DR968" s="1"/>
      <c r="DS968" s="1"/>
      <c r="DT968" s="1"/>
      <c r="DU968" s="1"/>
      <c r="DV968" s="1"/>
      <c r="DW968" s="1"/>
      <c r="DX968" s="1"/>
      <c r="DY968" s="1"/>
      <c r="DZ968" s="1"/>
      <c r="EA968" s="1"/>
      <c r="EB968" s="1"/>
      <c r="EC968" s="1"/>
      <c r="ED968" s="1"/>
      <c r="EE968" s="1"/>
      <c r="EF968" s="1"/>
      <c r="EG968" s="1"/>
      <c r="EH968" s="1"/>
      <c r="EI968" s="1"/>
      <c r="EJ968" s="1"/>
      <c r="EK968" s="1"/>
      <c r="EL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c r="BR969" s="1"/>
      <c r="BS969" s="1"/>
      <c r="BT969" s="1"/>
      <c r="BU969" s="1"/>
      <c r="BV969" s="1"/>
      <c r="BW969" s="1"/>
      <c r="BX969" s="1"/>
      <c r="BY969" s="1"/>
      <c r="BZ969" s="1"/>
      <c r="CA969" s="1"/>
      <c r="CB969" s="1"/>
      <c r="CC969" s="1"/>
      <c r="CD969" s="1"/>
      <c r="CE969" s="1"/>
      <c r="CF969" s="1"/>
      <c r="CG969" s="1"/>
      <c r="CH969" s="1"/>
      <c r="CI969" s="1"/>
      <c r="CJ969" s="1"/>
      <c r="CK969" s="1"/>
      <c r="CL969" s="1"/>
      <c r="CM969" s="1"/>
      <c r="CN969" s="1"/>
      <c r="CO969" s="1"/>
      <c r="CP969" s="1"/>
      <c r="CQ969" s="1"/>
      <c r="CR969" s="1"/>
      <c r="CS969" s="1"/>
      <c r="CT969" s="1"/>
      <c r="CU969" s="1"/>
      <c r="CV969" s="1"/>
      <c r="CW969" s="1"/>
      <c r="CX969" s="1"/>
      <c r="CY969" s="1"/>
      <c r="CZ969" s="1"/>
      <c r="DA969" s="1"/>
      <c r="DB969" s="1"/>
      <c r="DC969" s="1"/>
      <c r="DD969" s="1"/>
      <c r="DE969" s="1"/>
      <c r="DF969" s="1"/>
      <c r="DG969" s="1"/>
      <c r="DH969" s="1"/>
      <c r="DI969" s="1"/>
      <c r="DJ969" s="1"/>
      <c r="DK969" s="1"/>
      <c r="DL969" s="1"/>
      <c r="DM969" s="1"/>
      <c r="DN969" s="1"/>
      <c r="DO969" s="1"/>
      <c r="DP969" s="1"/>
      <c r="DQ969" s="1"/>
      <c r="DR969" s="1"/>
      <c r="DS969" s="1"/>
      <c r="DT969" s="1"/>
      <c r="DU969" s="1"/>
      <c r="DV969" s="1"/>
      <c r="DW969" s="1"/>
      <c r="DX969" s="1"/>
      <c r="DY969" s="1"/>
      <c r="DZ969" s="1"/>
      <c r="EA969" s="1"/>
      <c r="EB969" s="1"/>
      <c r="EC969" s="1"/>
      <c r="ED969" s="1"/>
      <c r="EE969" s="1"/>
      <c r="EF969" s="1"/>
      <c r="EG969" s="1"/>
      <c r="EH969" s="1"/>
      <c r="EI969" s="1"/>
      <c r="EJ969" s="1"/>
      <c r="EK969" s="1"/>
      <c r="EL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c r="BR970" s="1"/>
      <c r="BS970" s="1"/>
      <c r="BT970" s="1"/>
      <c r="BU970" s="1"/>
      <c r="BV970" s="1"/>
      <c r="BW970" s="1"/>
      <c r="BX970" s="1"/>
      <c r="BY970" s="1"/>
      <c r="BZ970" s="1"/>
      <c r="CA970" s="1"/>
      <c r="CB970" s="1"/>
      <c r="CC970" s="1"/>
      <c r="CD970" s="1"/>
      <c r="CE970" s="1"/>
      <c r="CF970" s="1"/>
      <c r="CG970" s="1"/>
      <c r="CH970" s="1"/>
      <c r="CI970" s="1"/>
      <c r="CJ970" s="1"/>
      <c r="CK970" s="1"/>
      <c r="CL970" s="1"/>
      <c r="CM970" s="1"/>
      <c r="CN970" s="1"/>
      <c r="CO970" s="1"/>
      <c r="CP970" s="1"/>
      <c r="CQ970" s="1"/>
      <c r="CR970" s="1"/>
      <c r="CS970" s="1"/>
      <c r="CT970" s="1"/>
      <c r="CU970" s="1"/>
      <c r="CV970" s="1"/>
      <c r="CW970" s="1"/>
      <c r="CX970" s="1"/>
      <c r="CY970" s="1"/>
      <c r="CZ970" s="1"/>
      <c r="DA970" s="1"/>
      <c r="DB970" s="1"/>
      <c r="DC970" s="1"/>
      <c r="DD970" s="1"/>
      <c r="DE970" s="1"/>
      <c r="DF970" s="1"/>
      <c r="DG970" s="1"/>
      <c r="DH970" s="1"/>
      <c r="DI970" s="1"/>
      <c r="DJ970" s="1"/>
      <c r="DK970" s="1"/>
      <c r="DL970" s="1"/>
      <c r="DM970" s="1"/>
      <c r="DN970" s="1"/>
      <c r="DO970" s="1"/>
      <c r="DP970" s="1"/>
      <c r="DQ970" s="1"/>
      <c r="DR970" s="1"/>
      <c r="DS970" s="1"/>
      <c r="DT970" s="1"/>
      <c r="DU970" s="1"/>
      <c r="DV970" s="1"/>
      <c r="DW970" s="1"/>
      <c r="DX970" s="1"/>
      <c r="DY970" s="1"/>
      <c r="DZ970" s="1"/>
      <c r="EA970" s="1"/>
      <c r="EB970" s="1"/>
      <c r="EC970" s="1"/>
      <c r="ED970" s="1"/>
      <c r="EE970" s="1"/>
      <c r="EF970" s="1"/>
      <c r="EG970" s="1"/>
      <c r="EH970" s="1"/>
      <c r="EI970" s="1"/>
      <c r="EJ970" s="1"/>
      <c r="EK970" s="1"/>
      <c r="EL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c r="BR971" s="1"/>
      <c r="BS971" s="1"/>
      <c r="BT971" s="1"/>
      <c r="BU971" s="1"/>
      <c r="BV971" s="1"/>
      <c r="BW971" s="1"/>
      <c r="BX971" s="1"/>
      <c r="BY971" s="1"/>
      <c r="BZ971" s="1"/>
      <c r="CA971" s="1"/>
      <c r="CB971" s="1"/>
      <c r="CC971" s="1"/>
      <c r="CD971" s="1"/>
      <c r="CE971" s="1"/>
      <c r="CF971" s="1"/>
      <c r="CG971" s="1"/>
      <c r="CH971" s="1"/>
      <c r="CI971" s="1"/>
      <c r="CJ971" s="1"/>
      <c r="CK971" s="1"/>
      <c r="CL971" s="1"/>
      <c r="CM971" s="1"/>
      <c r="CN971" s="1"/>
      <c r="CO971" s="1"/>
      <c r="CP971" s="1"/>
      <c r="CQ971" s="1"/>
      <c r="CR971" s="1"/>
      <c r="CS971" s="1"/>
      <c r="CT971" s="1"/>
      <c r="CU971" s="1"/>
      <c r="CV971" s="1"/>
      <c r="CW971" s="1"/>
      <c r="CX971" s="1"/>
      <c r="CY971" s="1"/>
      <c r="CZ971" s="1"/>
      <c r="DA971" s="1"/>
      <c r="DB971" s="1"/>
      <c r="DC971" s="1"/>
      <c r="DD971" s="1"/>
      <c r="DE971" s="1"/>
      <c r="DF971" s="1"/>
      <c r="DG971" s="1"/>
      <c r="DH971" s="1"/>
      <c r="DI971" s="1"/>
      <c r="DJ971" s="1"/>
      <c r="DK971" s="1"/>
      <c r="DL971" s="1"/>
      <c r="DM971" s="1"/>
      <c r="DN971" s="1"/>
      <c r="DO971" s="1"/>
      <c r="DP971" s="1"/>
      <c r="DQ971" s="1"/>
      <c r="DR971" s="1"/>
      <c r="DS971" s="1"/>
      <c r="DT971" s="1"/>
      <c r="DU971" s="1"/>
      <c r="DV971" s="1"/>
      <c r="DW971" s="1"/>
      <c r="DX971" s="1"/>
      <c r="DY971" s="1"/>
      <c r="DZ971" s="1"/>
      <c r="EA971" s="1"/>
      <c r="EB971" s="1"/>
      <c r="EC971" s="1"/>
      <c r="ED971" s="1"/>
      <c r="EE971" s="1"/>
      <c r="EF971" s="1"/>
      <c r="EG971" s="1"/>
      <c r="EH971" s="1"/>
      <c r="EI971" s="1"/>
      <c r="EJ971" s="1"/>
      <c r="EK971" s="1"/>
      <c r="EL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c r="BR972" s="1"/>
      <c r="BS972" s="1"/>
      <c r="BT972" s="1"/>
      <c r="BU972" s="1"/>
      <c r="BV972" s="1"/>
      <c r="BW972" s="1"/>
      <c r="BX972" s="1"/>
      <c r="BY972" s="1"/>
      <c r="BZ972" s="1"/>
      <c r="CA972" s="1"/>
      <c r="CB972" s="1"/>
      <c r="CC972" s="1"/>
      <c r="CD972" s="1"/>
      <c r="CE972" s="1"/>
      <c r="CF972" s="1"/>
      <c r="CG972" s="1"/>
      <c r="CH972" s="1"/>
      <c r="CI972" s="1"/>
      <c r="CJ972" s="1"/>
      <c r="CK972" s="1"/>
      <c r="CL972" s="1"/>
      <c r="CM972" s="1"/>
      <c r="CN972" s="1"/>
      <c r="CO972" s="1"/>
      <c r="CP972" s="1"/>
      <c r="CQ972" s="1"/>
      <c r="CR972" s="1"/>
      <c r="CS972" s="1"/>
      <c r="CT972" s="1"/>
      <c r="CU972" s="1"/>
      <c r="CV972" s="1"/>
      <c r="CW972" s="1"/>
      <c r="CX972" s="1"/>
      <c r="CY972" s="1"/>
      <c r="CZ972" s="1"/>
      <c r="DA972" s="1"/>
      <c r="DB972" s="1"/>
      <c r="DC972" s="1"/>
      <c r="DD972" s="1"/>
      <c r="DE972" s="1"/>
      <c r="DF972" s="1"/>
      <c r="DG972" s="1"/>
      <c r="DH972" s="1"/>
      <c r="DI972" s="1"/>
      <c r="DJ972" s="1"/>
      <c r="DK972" s="1"/>
      <c r="DL972" s="1"/>
      <c r="DM972" s="1"/>
      <c r="DN972" s="1"/>
      <c r="DO972" s="1"/>
      <c r="DP972" s="1"/>
      <c r="DQ972" s="1"/>
      <c r="DR972" s="1"/>
      <c r="DS972" s="1"/>
      <c r="DT972" s="1"/>
      <c r="DU972" s="1"/>
      <c r="DV972" s="1"/>
      <c r="DW972" s="1"/>
      <c r="DX972" s="1"/>
      <c r="DY972" s="1"/>
      <c r="DZ972" s="1"/>
      <c r="EA972" s="1"/>
      <c r="EB972" s="1"/>
      <c r="EC972" s="1"/>
      <c r="ED972" s="1"/>
      <c r="EE972" s="1"/>
      <c r="EF972" s="1"/>
      <c r="EG972" s="1"/>
      <c r="EH972" s="1"/>
      <c r="EI972" s="1"/>
      <c r="EJ972" s="1"/>
      <c r="EK972" s="1"/>
      <c r="EL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c r="BR973" s="1"/>
      <c r="BS973" s="1"/>
      <c r="BT973" s="1"/>
      <c r="BU973" s="1"/>
      <c r="BV973" s="1"/>
      <c r="BW973" s="1"/>
      <c r="BX973" s="1"/>
      <c r="BY973" s="1"/>
      <c r="BZ973" s="1"/>
      <c r="CA973" s="1"/>
      <c r="CB973" s="1"/>
      <c r="CC973" s="1"/>
      <c r="CD973" s="1"/>
      <c r="CE973" s="1"/>
      <c r="CF973" s="1"/>
      <c r="CG973" s="1"/>
      <c r="CH973" s="1"/>
      <c r="CI973" s="1"/>
      <c r="CJ973" s="1"/>
      <c r="CK973" s="1"/>
      <c r="CL973" s="1"/>
      <c r="CM973" s="1"/>
      <c r="CN973" s="1"/>
      <c r="CO973" s="1"/>
      <c r="CP973" s="1"/>
      <c r="CQ973" s="1"/>
      <c r="CR973" s="1"/>
      <c r="CS973" s="1"/>
      <c r="CT973" s="1"/>
      <c r="CU973" s="1"/>
      <c r="CV973" s="1"/>
      <c r="CW973" s="1"/>
      <c r="CX973" s="1"/>
      <c r="CY973" s="1"/>
      <c r="CZ973" s="1"/>
      <c r="DA973" s="1"/>
      <c r="DB973" s="1"/>
      <c r="DC973" s="1"/>
      <c r="DD973" s="1"/>
      <c r="DE973" s="1"/>
      <c r="DF973" s="1"/>
      <c r="DG973" s="1"/>
      <c r="DH973" s="1"/>
      <c r="DI973" s="1"/>
      <c r="DJ973" s="1"/>
      <c r="DK973" s="1"/>
      <c r="DL973" s="1"/>
      <c r="DM973" s="1"/>
      <c r="DN973" s="1"/>
      <c r="DO973" s="1"/>
      <c r="DP973" s="1"/>
      <c r="DQ973" s="1"/>
      <c r="DR973" s="1"/>
      <c r="DS973" s="1"/>
      <c r="DT973" s="1"/>
      <c r="DU973" s="1"/>
      <c r="DV973" s="1"/>
      <c r="DW973" s="1"/>
      <c r="DX973" s="1"/>
      <c r="DY973" s="1"/>
      <c r="DZ973" s="1"/>
      <c r="EA973" s="1"/>
      <c r="EB973" s="1"/>
      <c r="EC973" s="1"/>
      <c r="ED973" s="1"/>
      <c r="EE973" s="1"/>
      <c r="EF973" s="1"/>
      <c r="EG973" s="1"/>
      <c r="EH973" s="1"/>
      <c r="EI973" s="1"/>
      <c r="EJ973" s="1"/>
      <c r="EK973" s="1"/>
      <c r="EL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c r="BR974" s="1"/>
      <c r="BS974" s="1"/>
      <c r="BT974" s="1"/>
      <c r="BU974" s="1"/>
      <c r="BV974" s="1"/>
      <c r="BW974" s="1"/>
      <c r="BX974" s="1"/>
      <c r="BY974" s="1"/>
      <c r="BZ974" s="1"/>
      <c r="CA974" s="1"/>
      <c r="CB974" s="1"/>
      <c r="CC974" s="1"/>
      <c r="CD974" s="1"/>
      <c r="CE974" s="1"/>
      <c r="CF974" s="1"/>
      <c r="CG974" s="1"/>
      <c r="CH974" s="1"/>
      <c r="CI974" s="1"/>
      <c r="CJ974" s="1"/>
      <c r="CK974" s="1"/>
      <c r="CL974" s="1"/>
      <c r="CM974" s="1"/>
      <c r="CN974" s="1"/>
      <c r="CO974" s="1"/>
      <c r="CP974" s="1"/>
      <c r="CQ974" s="1"/>
      <c r="CR974" s="1"/>
      <c r="CS974" s="1"/>
      <c r="CT974" s="1"/>
      <c r="CU974" s="1"/>
      <c r="CV974" s="1"/>
      <c r="CW974" s="1"/>
      <c r="CX974" s="1"/>
      <c r="CY974" s="1"/>
      <c r="CZ974" s="1"/>
      <c r="DA974" s="1"/>
      <c r="DB974" s="1"/>
      <c r="DC974" s="1"/>
      <c r="DD974" s="1"/>
      <c r="DE974" s="1"/>
      <c r="DF974" s="1"/>
      <c r="DG974" s="1"/>
      <c r="DH974" s="1"/>
      <c r="DI974" s="1"/>
      <c r="DJ974" s="1"/>
      <c r="DK974" s="1"/>
      <c r="DL974" s="1"/>
      <c r="DM974" s="1"/>
      <c r="DN974" s="1"/>
      <c r="DO974" s="1"/>
      <c r="DP974" s="1"/>
      <c r="DQ974" s="1"/>
      <c r="DR974" s="1"/>
      <c r="DS974" s="1"/>
      <c r="DT974" s="1"/>
      <c r="DU974" s="1"/>
      <c r="DV974" s="1"/>
      <c r="DW974" s="1"/>
      <c r="DX974" s="1"/>
      <c r="DY974" s="1"/>
      <c r="DZ974" s="1"/>
      <c r="EA974" s="1"/>
      <c r="EB974" s="1"/>
      <c r="EC974" s="1"/>
      <c r="ED974" s="1"/>
      <c r="EE974" s="1"/>
      <c r="EF974" s="1"/>
      <c r="EG974" s="1"/>
      <c r="EH974" s="1"/>
      <c r="EI974" s="1"/>
      <c r="EJ974" s="1"/>
      <c r="EK974" s="1"/>
      <c r="EL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c r="BR975" s="1"/>
      <c r="BS975" s="1"/>
      <c r="BT975" s="1"/>
      <c r="BU975" s="1"/>
      <c r="BV975" s="1"/>
      <c r="BW975" s="1"/>
      <c r="BX975" s="1"/>
      <c r="BY975" s="1"/>
      <c r="BZ975" s="1"/>
      <c r="CA975" s="1"/>
      <c r="CB975" s="1"/>
      <c r="CC975" s="1"/>
      <c r="CD975" s="1"/>
      <c r="CE975" s="1"/>
      <c r="CF975" s="1"/>
      <c r="CG975" s="1"/>
      <c r="CH975" s="1"/>
      <c r="CI975" s="1"/>
      <c r="CJ975" s="1"/>
      <c r="CK975" s="1"/>
      <c r="CL975" s="1"/>
      <c r="CM975" s="1"/>
      <c r="CN975" s="1"/>
      <c r="CO975" s="1"/>
      <c r="CP975" s="1"/>
      <c r="CQ975" s="1"/>
      <c r="CR975" s="1"/>
      <c r="CS975" s="1"/>
      <c r="CT975" s="1"/>
      <c r="CU975" s="1"/>
      <c r="CV975" s="1"/>
      <c r="CW975" s="1"/>
      <c r="CX975" s="1"/>
      <c r="CY975" s="1"/>
      <c r="CZ975" s="1"/>
      <c r="DA975" s="1"/>
      <c r="DB975" s="1"/>
      <c r="DC975" s="1"/>
      <c r="DD975" s="1"/>
      <c r="DE975" s="1"/>
      <c r="DF975" s="1"/>
      <c r="DG975" s="1"/>
      <c r="DH975" s="1"/>
      <c r="DI975" s="1"/>
      <c r="DJ975" s="1"/>
      <c r="DK975" s="1"/>
      <c r="DL975" s="1"/>
      <c r="DM975" s="1"/>
      <c r="DN975" s="1"/>
      <c r="DO975" s="1"/>
      <c r="DP975" s="1"/>
      <c r="DQ975" s="1"/>
      <c r="DR975" s="1"/>
      <c r="DS975" s="1"/>
      <c r="DT975" s="1"/>
      <c r="DU975" s="1"/>
      <c r="DV975" s="1"/>
      <c r="DW975" s="1"/>
      <c r="DX975" s="1"/>
      <c r="DY975" s="1"/>
      <c r="DZ975" s="1"/>
      <c r="EA975" s="1"/>
      <c r="EB975" s="1"/>
      <c r="EC975" s="1"/>
      <c r="ED975" s="1"/>
      <c r="EE975" s="1"/>
      <c r="EF975" s="1"/>
      <c r="EG975" s="1"/>
      <c r="EH975" s="1"/>
      <c r="EI975" s="1"/>
      <c r="EJ975" s="1"/>
      <c r="EK975" s="1"/>
      <c r="EL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c r="BR976" s="1"/>
      <c r="BS976" s="1"/>
      <c r="BT976" s="1"/>
      <c r="BU976" s="1"/>
      <c r="BV976" s="1"/>
      <c r="BW976" s="1"/>
      <c r="BX976" s="1"/>
      <c r="BY976" s="1"/>
      <c r="BZ976" s="1"/>
      <c r="CA976" s="1"/>
      <c r="CB976" s="1"/>
      <c r="CC976" s="1"/>
      <c r="CD976" s="1"/>
      <c r="CE976" s="1"/>
      <c r="CF976" s="1"/>
      <c r="CG976" s="1"/>
      <c r="CH976" s="1"/>
      <c r="CI976" s="1"/>
      <c r="CJ976" s="1"/>
      <c r="CK976" s="1"/>
      <c r="CL976" s="1"/>
      <c r="CM976" s="1"/>
      <c r="CN976" s="1"/>
      <c r="CO976" s="1"/>
      <c r="CP976" s="1"/>
      <c r="CQ976" s="1"/>
      <c r="CR976" s="1"/>
      <c r="CS976" s="1"/>
      <c r="CT976" s="1"/>
      <c r="CU976" s="1"/>
      <c r="CV976" s="1"/>
      <c r="CW976" s="1"/>
      <c r="CX976" s="1"/>
      <c r="CY976" s="1"/>
      <c r="CZ976" s="1"/>
      <c r="DA976" s="1"/>
      <c r="DB976" s="1"/>
      <c r="DC976" s="1"/>
      <c r="DD976" s="1"/>
      <c r="DE976" s="1"/>
      <c r="DF976" s="1"/>
      <c r="DG976" s="1"/>
      <c r="DH976" s="1"/>
      <c r="DI976" s="1"/>
      <c r="DJ976" s="1"/>
      <c r="DK976" s="1"/>
      <c r="DL976" s="1"/>
      <c r="DM976" s="1"/>
      <c r="DN976" s="1"/>
      <c r="DO976" s="1"/>
      <c r="DP976" s="1"/>
      <c r="DQ976" s="1"/>
      <c r="DR976" s="1"/>
      <c r="DS976" s="1"/>
      <c r="DT976" s="1"/>
      <c r="DU976" s="1"/>
      <c r="DV976" s="1"/>
      <c r="DW976" s="1"/>
      <c r="DX976" s="1"/>
      <c r="DY976" s="1"/>
      <c r="DZ976" s="1"/>
      <c r="EA976" s="1"/>
      <c r="EB976" s="1"/>
      <c r="EC976" s="1"/>
      <c r="ED976" s="1"/>
      <c r="EE976" s="1"/>
      <c r="EF976" s="1"/>
      <c r="EG976" s="1"/>
      <c r="EH976" s="1"/>
      <c r="EI976" s="1"/>
      <c r="EJ976" s="1"/>
      <c r="EK976" s="1"/>
      <c r="EL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c r="BR977" s="1"/>
      <c r="BS977" s="1"/>
      <c r="BT977" s="1"/>
      <c r="BU977" s="1"/>
      <c r="BV977" s="1"/>
      <c r="BW977" s="1"/>
      <c r="BX977" s="1"/>
      <c r="BY977" s="1"/>
      <c r="BZ977" s="1"/>
      <c r="CA977" s="1"/>
      <c r="CB977" s="1"/>
      <c r="CC977" s="1"/>
      <c r="CD977" s="1"/>
      <c r="CE977" s="1"/>
      <c r="CF977" s="1"/>
      <c r="CG977" s="1"/>
      <c r="CH977" s="1"/>
      <c r="CI977" s="1"/>
      <c r="CJ977" s="1"/>
      <c r="CK977" s="1"/>
      <c r="CL977" s="1"/>
      <c r="CM977" s="1"/>
      <c r="CN977" s="1"/>
      <c r="CO977" s="1"/>
      <c r="CP977" s="1"/>
      <c r="CQ977" s="1"/>
      <c r="CR977" s="1"/>
      <c r="CS977" s="1"/>
      <c r="CT977" s="1"/>
      <c r="CU977" s="1"/>
      <c r="CV977" s="1"/>
      <c r="CW977" s="1"/>
      <c r="CX977" s="1"/>
      <c r="CY977" s="1"/>
      <c r="CZ977" s="1"/>
      <c r="DA977" s="1"/>
      <c r="DB977" s="1"/>
      <c r="DC977" s="1"/>
      <c r="DD977" s="1"/>
      <c r="DE977" s="1"/>
      <c r="DF977" s="1"/>
      <c r="DG977" s="1"/>
      <c r="DH977" s="1"/>
      <c r="DI977" s="1"/>
      <c r="DJ977" s="1"/>
      <c r="DK977" s="1"/>
      <c r="DL977" s="1"/>
      <c r="DM977" s="1"/>
      <c r="DN977" s="1"/>
      <c r="DO977" s="1"/>
      <c r="DP977" s="1"/>
      <c r="DQ977" s="1"/>
      <c r="DR977" s="1"/>
      <c r="DS977" s="1"/>
      <c r="DT977" s="1"/>
      <c r="DU977" s="1"/>
      <c r="DV977" s="1"/>
      <c r="DW977" s="1"/>
      <c r="DX977" s="1"/>
      <c r="DY977" s="1"/>
      <c r="DZ977" s="1"/>
      <c r="EA977" s="1"/>
      <c r="EB977" s="1"/>
      <c r="EC977" s="1"/>
      <c r="ED977" s="1"/>
      <c r="EE977" s="1"/>
      <c r="EF977" s="1"/>
      <c r="EG977" s="1"/>
      <c r="EH977" s="1"/>
      <c r="EI977" s="1"/>
      <c r="EJ977" s="1"/>
      <c r="EK977" s="1"/>
      <c r="EL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c r="BR978" s="1"/>
      <c r="BS978" s="1"/>
      <c r="BT978" s="1"/>
      <c r="BU978" s="1"/>
      <c r="BV978" s="1"/>
      <c r="BW978" s="1"/>
      <c r="BX978" s="1"/>
      <c r="BY978" s="1"/>
      <c r="BZ978" s="1"/>
      <c r="CA978" s="1"/>
      <c r="CB978" s="1"/>
      <c r="CC978" s="1"/>
      <c r="CD978" s="1"/>
      <c r="CE978" s="1"/>
      <c r="CF978" s="1"/>
      <c r="CG978" s="1"/>
      <c r="CH978" s="1"/>
      <c r="CI978" s="1"/>
      <c r="CJ978" s="1"/>
      <c r="CK978" s="1"/>
      <c r="CL978" s="1"/>
      <c r="CM978" s="1"/>
      <c r="CN978" s="1"/>
      <c r="CO978" s="1"/>
      <c r="CP978" s="1"/>
      <c r="CQ978" s="1"/>
      <c r="CR978" s="1"/>
      <c r="CS978" s="1"/>
      <c r="CT978" s="1"/>
      <c r="CU978" s="1"/>
      <c r="CV978" s="1"/>
      <c r="CW978" s="1"/>
      <c r="CX978" s="1"/>
      <c r="CY978" s="1"/>
      <c r="CZ978" s="1"/>
      <c r="DA978" s="1"/>
      <c r="DB978" s="1"/>
      <c r="DC978" s="1"/>
      <c r="DD978" s="1"/>
      <c r="DE978" s="1"/>
      <c r="DF978" s="1"/>
      <c r="DG978" s="1"/>
      <c r="DH978" s="1"/>
      <c r="DI978" s="1"/>
      <c r="DJ978" s="1"/>
      <c r="DK978" s="1"/>
      <c r="DL978" s="1"/>
      <c r="DM978" s="1"/>
      <c r="DN978" s="1"/>
      <c r="DO978" s="1"/>
      <c r="DP978" s="1"/>
      <c r="DQ978" s="1"/>
      <c r="DR978" s="1"/>
      <c r="DS978" s="1"/>
      <c r="DT978" s="1"/>
      <c r="DU978" s="1"/>
      <c r="DV978" s="1"/>
      <c r="DW978" s="1"/>
      <c r="DX978" s="1"/>
      <c r="DY978" s="1"/>
      <c r="DZ978" s="1"/>
      <c r="EA978" s="1"/>
      <c r="EB978" s="1"/>
      <c r="EC978" s="1"/>
      <c r="ED978" s="1"/>
      <c r="EE978" s="1"/>
      <c r="EF978" s="1"/>
      <c r="EG978" s="1"/>
      <c r="EH978" s="1"/>
      <c r="EI978" s="1"/>
      <c r="EJ978" s="1"/>
      <c r="EK978" s="1"/>
      <c r="EL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c r="BR979" s="1"/>
      <c r="BS979" s="1"/>
      <c r="BT979" s="1"/>
      <c r="BU979" s="1"/>
      <c r="BV979" s="1"/>
      <c r="BW979" s="1"/>
      <c r="BX979" s="1"/>
      <c r="BY979" s="1"/>
      <c r="BZ979" s="1"/>
      <c r="CA979" s="1"/>
      <c r="CB979" s="1"/>
      <c r="CC979" s="1"/>
      <c r="CD979" s="1"/>
      <c r="CE979" s="1"/>
      <c r="CF979" s="1"/>
      <c r="CG979" s="1"/>
      <c r="CH979" s="1"/>
      <c r="CI979" s="1"/>
      <c r="CJ979" s="1"/>
      <c r="CK979" s="1"/>
      <c r="CL979" s="1"/>
      <c r="CM979" s="1"/>
      <c r="CN979" s="1"/>
      <c r="CO979" s="1"/>
      <c r="CP979" s="1"/>
      <c r="CQ979" s="1"/>
      <c r="CR979" s="1"/>
      <c r="CS979" s="1"/>
      <c r="CT979" s="1"/>
      <c r="CU979" s="1"/>
      <c r="CV979" s="1"/>
      <c r="CW979" s="1"/>
      <c r="CX979" s="1"/>
      <c r="CY979" s="1"/>
      <c r="CZ979" s="1"/>
      <c r="DA979" s="1"/>
      <c r="DB979" s="1"/>
      <c r="DC979" s="1"/>
      <c r="DD979" s="1"/>
      <c r="DE979" s="1"/>
      <c r="DF979" s="1"/>
      <c r="DG979" s="1"/>
      <c r="DH979" s="1"/>
      <c r="DI979" s="1"/>
      <c r="DJ979" s="1"/>
      <c r="DK979" s="1"/>
      <c r="DL979" s="1"/>
      <c r="DM979" s="1"/>
      <c r="DN979" s="1"/>
      <c r="DO979" s="1"/>
      <c r="DP979" s="1"/>
      <c r="DQ979" s="1"/>
      <c r="DR979" s="1"/>
      <c r="DS979" s="1"/>
      <c r="DT979" s="1"/>
      <c r="DU979" s="1"/>
      <c r="DV979" s="1"/>
      <c r="DW979" s="1"/>
      <c r="DX979" s="1"/>
      <c r="DY979" s="1"/>
      <c r="DZ979" s="1"/>
      <c r="EA979" s="1"/>
      <c r="EB979" s="1"/>
      <c r="EC979" s="1"/>
      <c r="ED979" s="1"/>
      <c r="EE979" s="1"/>
      <c r="EF979" s="1"/>
      <c r="EG979" s="1"/>
      <c r="EH979" s="1"/>
      <c r="EI979" s="1"/>
      <c r="EJ979" s="1"/>
      <c r="EK979" s="1"/>
      <c r="EL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c r="BR980" s="1"/>
      <c r="BS980" s="1"/>
      <c r="BT980" s="1"/>
      <c r="BU980" s="1"/>
      <c r="BV980" s="1"/>
      <c r="BW980" s="1"/>
      <c r="BX980" s="1"/>
      <c r="BY980" s="1"/>
      <c r="BZ980" s="1"/>
      <c r="CA980" s="1"/>
      <c r="CB980" s="1"/>
      <c r="CC980" s="1"/>
      <c r="CD980" s="1"/>
      <c r="CE980" s="1"/>
      <c r="CF980" s="1"/>
      <c r="CG980" s="1"/>
      <c r="CH980" s="1"/>
      <c r="CI980" s="1"/>
      <c r="CJ980" s="1"/>
      <c r="CK980" s="1"/>
      <c r="CL980" s="1"/>
      <c r="CM980" s="1"/>
      <c r="CN980" s="1"/>
      <c r="CO980" s="1"/>
      <c r="CP980" s="1"/>
      <c r="CQ980" s="1"/>
      <c r="CR980" s="1"/>
      <c r="CS980" s="1"/>
      <c r="CT980" s="1"/>
      <c r="CU980" s="1"/>
      <c r="CV980" s="1"/>
      <c r="CW980" s="1"/>
      <c r="CX980" s="1"/>
      <c r="CY980" s="1"/>
      <c r="CZ980" s="1"/>
      <c r="DA980" s="1"/>
      <c r="DB980" s="1"/>
      <c r="DC980" s="1"/>
      <c r="DD980" s="1"/>
      <c r="DE980" s="1"/>
      <c r="DF980" s="1"/>
      <c r="DG980" s="1"/>
      <c r="DH980" s="1"/>
      <c r="DI980" s="1"/>
      <c r="DJ980" s="1"/>
      <c r="DK980" s="1"/>
      <c r="DL980" s="1"/>
      <c r="DM980" s="1"/>
      <c r="DN980" s="1"/>
      <c r="DO980" s="1"/>
      <c r="DP980" s="1"/>
      <c r="DQ980" s="1"/>
      <c r="DR980" s="1"/>
      <c r="DS980" s="1"/>
      <c r="DT980" s="1"/>
      <c r="DU980" s="1"/>
      <c r="DV980" s="1"/>
      <c r="DW980" s="1"/>
      <c r="DX980" s="1"/>
      <c r="DY980" s="1"/>
      <c r="DZ980" s="1"/>
      <c r="EA980" s="1"/>
      <c r="EB980" s="1"/>
      <c r="EC980" s="1"/>
      <c r="ED980" s="1"/>
      <c r="EE980" s="1"/>
      <c r="EF980" s="1"/>
      <c r="EG980" s="1"/>
      <c r="EH980" s="1"/>
      <c r="EI980" s="1"/>
      <c r="EJ980" s="1"/>
      <c r="EK980" s="1"/>
      <c r="EL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c r="BR981" s="1"/>
      <c r="BS981" s="1"/>
      <c r="BT981" s="1"/>
      <c r="BU981" s="1"/>
      <c r="BV981" s="1"/>
      <c r="BW981" s="1"/>
      <c r="BX981" s="1"/>
      <c r="BY981" s="1"/>
      <c r="BZ981" s="1"/>
      <c r="CA981" s="1"/>
      <c r="CB981" s="1"/>
      <c r="CC981" s="1"/>
      <c r="CD981" s="1"/>
      <c r="CE981" s="1"/>
      <c r="CF981" s="1"/>
      <c r="CG981" s="1"/>
      <c r="CH981" s="1"/>
      <c r="CI981" s="1"/>
      <c r="CJ981" s="1"/>
      <c r="CK981" s="1"/>
      <c r="CL981" s="1"/>
      <c r="CM981" s="1"/>
      <c r="CN981" s="1"/>
      <c r="CO981" s="1"/>
      <c r="CP981" s="1"/>
      <c r="CQ981" s="1"/>
      <c r="CR981" s="1"/>
      <c r="CS981" s="1"/>
      <c r="CT981" s="1"/>
      <c r="CU981" s="1"/>
      <c r="CV981" s="1"/>
      <c r="CW981" s="1"/>
      <c r="CX981" s="1"/>
      <c r="CY981" s="1"/>
      <c r="CZ981" s="1"/>
      <c r="DA981" s="1"/>
      <c r="DB981" s="1"/>
      <c r="DC981" s="1"/>
      <c r="DD981" s="1"/>
      <c r="DE981" s="1"/>
      <c r="DF981" s="1"/>
      <c r="DG981" s="1"/>
      <c r="DH981" s="1"/>
      <c r="DI981" s="1"/>
      <c r="DJ981" s="1"/>
      <c r="DK981" s="1"/>
      <c r="DL981" s="1"/>
      <c r="DM981" s="1"/>
      <c r="DN981" s="1"/>
      <c r="DO981" s="1"/>
      <c r="DP981" s="1"/>
      <c r="DQ981" s="1"/>
      <c r="DR981" s="1"/>
      <c r="DS981" s="1"/>
      <c r="DT981" s="1"/>
      <c r="DU981" s="1"/>
      <c r="DV981" s="1"/>
      <c r="DW981" s="1"/>
      <c r="DX981" s="1"/>
      <c r="DY981" s="1"/>
      <c r="DZ981" s="1"/>
      <c r="EA981" s="1"/>
      <c r="EB981" s="1"/>
      <c r="EC981" s="1"/>
      <c r="ED981" s="1"/>
      <c r="EE981" s="1"/>
      <c r="EF981" s="1"/>
      <c r="EG981" s="1"/>
      <c r="EH981" s="1"/>
      <c r="EI981" s="1"/>
      <c r="EJ981" s="1"/>
      <c r="EK981" s="1"/>
      <c r="EL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c r="BR982" s="1"/>
      <c r="BS982" s="1"/>
      <c r="BT982" s="1"/>
      <c r="BU982" s="1"/>
      <c r="BV982" s="1"/>
      <c r="BW982" s="1"/>
      <c r="BX982" s="1"/>
      <c r="BY982" s="1"/>
      <c r="BZ982" s="1"/>
      <c r="CA982" s="1"/>
      <c r="CB982" s="1"/>
      <c r="CC982" s="1"/>
      <c r="CD982" s="1"/>
      <c r="CE982" s="1"/>
      <c r="CF982" s="1"/>
      <c r="CG982" s="1"/>
      <c r="CH982" s="1"/>
      <c r="CI982" s="1"/>
      <c r="CJ982" s="1"/>
      <c r="CK982" s="1"/>
      <c r="CL982" s="1"/>
      <c r="CM982" s="1"/>
      <c r="CN982" s="1"/>
      <c r="CO982" s="1"/>
      <c r="CP982" s="1"/>
      <c r="CQ982" s="1"/>
      <c r="CR982" s="1"/>
      <c r="CS982" s="1"/>
      <c r="CT982" s="1"/>
      <c r="CU982" s="1"/>
      <c r="CV982" s="1"/>
      <c r="CW982" s="1"/>
      <c r="CX982" s="1"/>
      <c r="CY982" s="1"/>
      <c r="CZ982" s="1"/>
      <c r="DA982" s="1"/>
      <c r="DB982" s="1"/>
      <c r="DC982" s="1"/>
      <c r="DD982" s="1"/>
      <c r="DE982" s="1"/>
      <c r="DF982" s="1"/>
      <c r="DG982" s="1"/>
      <c r="DH982" s="1"/>
      <c r="DI982" s="1"/>
      <c r="DJ982" s="1"/>
      <c r="DK982" s="1"/>
      <c r="DL982" s="1"/>
      <c r="DM982" s="1"/>
      <c r="DN982" s="1"/>
      <c r="DO982" s="1"/>
      <c r="DP982" s="1"/>
      <c r="DQ982" s="1"/>
      <c r="DR982" s="1"/>
      <c r="DS982" s="1"/>
      <c r="DT982" s="1"/>
      <c r="DU982" s="1"/>
      <c r="DV982" s="1"/>
      <c r="DW982" s="1"/>
      <c r="DX982" s="1"/>
      <c r="DY982" s="1"/>
      <c r="DZ982" s="1"/>
      <c r="EA982" s="1"/>
      <c r="EB982" s="1"/>
      <c r="EC982" s="1"/>
      <c r="ED982" s="1"/>
      <c r="EE982" s="1"/>
      <c r="EF982" s="1"/>
      <c r="EG982" s="1"/>
      <c r="EH982" s="1"/>
      <c r="EI982" s="1"/>
      <c r="EJ982" s="1"/>
      <c r="EK982" s="1"/>
      <c r="EL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c r="BR983" s="1"/>
      <c r="BS983" s="1"/>
      <c r="BT983" s="1"/>
      <c r="BU983" s="1"/>
      <c r="BV983" s="1"/>
      <c r="BW983" s="1"/>
      <c r="BX983" s="1"/>
      <c r="BY983" s="1"/>
      <c r="BZ983" s="1"/>
      <c r="CA983" s="1"/>
      <c r="CB983" s="1"/>
      <c r="CC983" s="1"/>
      <c r="CD983" s="1"/>
      <c r="CE983" s="1"/>
      <c r="CF983" s="1"/>
      <c r="CG983" s="1"/>
      <c r="CH983" s="1"/>
      <c r="CI983" s="1"/>
      <c r="CJ983" s="1"/>
      <c r="CK983" s="1"/>
      <c r="CL983" s="1"/>
      <c r="CM983" s="1"/>
      <c r="CN983" s="1"/>
      <c r="CO983" s="1"/>
      <c r="CP983" s="1"/>
      <c r="CQ983" s="1"/>
      <c r="CR983" s="1"/>
      <c r="CS983" s="1"/>
      <c r="CT983" s="1"/>
      <c r="CU983" s="1"/>
      <c r="CV983" s="1"/>
      <c r="CW983" s="1"/>
      <c r="CX983" s="1"/>
      <c r="CY983" s="1"/>
      <c r="CZ983" s="1"/>
      <c r="DA983" s="1"/>
      <c r="DB983" s="1"/>
      <c r="DC983" s="1"/>
      <c r="DD983" s="1"/>
      <c r="DE983" s="1"/>
      <c r="DF983" s="1"/>
      <c r="DG983" s="1"/>
      <c r="DH983" s="1"/>
      <c r="DI983" s="1"/>
      <c r="DJ983" s="1"/>
      <c r="DK983" s="1"/>
      <c r="DL983" s="1"/>
      <c r="DM983" s="1"/>
      <c r="DN983" s="1"/>
      <c r="DO983" s="1"/>
      <c r="DP983" s="1"/>
      <c r="DQ983" s="1"/>
      <c r="DR983" s="1"/>
      <c r="DS983" s="1"/>
      <c r="DT983" s="1"/>
      <c r="DU983" s="1"/>
      <c r="DV983" s="1"/>
      <c r="DW983" s="1"/>
      <c r="DX983" s="1"/>
      <c r="DY983" s="1"/>
      <c r="DZ983" s="1"/>
      <c r="EA983" s="1"/>
      <c r="EB983" s="1"/>
      <c r="EC983" s="1"/>
      <c r="ED983" s="1"/>
      <c r="EE983" s="1"/>
      <c r="EF983" s="1"/>
      <c r="EG983" s="1"/>
      <c r="EH983" s="1"/>
      <c r="EI983" s="1"/>
      <c r="EJ983" s="1"/>
      <c r="EK983" s="1"/>
      <c r="EL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c r="BR984" s="1"/>
      <c r="BS984" s="1"/>
      <c r="BT984" s="1"/>
      <c r="BU984" s="1"/>
      <c r="BV984" s="1"/>
      <c r="BW984" s="1"/>
      <c r="BX984" s="1"/>
      <c r="BY984" s="1"/>
      <c r="BZ984" s="1"/>
      <c r="CA984" s="1"/>
      <c r="CB984" s="1"/>
      <c r="CC984" s="1"/>
      <c r="CD984" s="1"/>
      <c r="CE984" s="1"/>
      <c r="CF984" s="1"/>
      <c r="CG984" s="1"/>
      <c r="CH984" s="1"/>
      <c r="CI984" s="1"/>
      <c r="CJ984" s="1"/>
      <c r="CK984" s="1"/>
      <c r="CL984" s="1"/>
      <c r="CM984" s="1"/>
      <c r="CN984" s="1"/>
      <c r="CO984" s="1"/>
      <c r="CP984" s="1"/>
      <c r="CQ984" s="1"/>
      <c r="CR984" s="1"/>
      <c r="CS984" s="1"/>
      <c r="CT984" s="1"/>
      <c r="CU984" s="1"/>
      <c r="CV984" s="1"/>
      <c r="CW984" s="1"/>
      <c r="CX984" s="1"/>
      <c r="CY984" s="1"/>
      <c r="CZ984" s="1"/>
      <c r="DA984" s="1"/>
      <c r="DB984" s="1"/>
      <c r="DC984" s="1"/>
      <c r="DD984" s="1"/>
      <c r="DE984" s="1"/>
      <c r="DF984" s="1"/>
      <c r="DG984" s="1"/>
      <c r="DH984" s="1"/>
      <c r="DI984" s="1"/>
      <c r="DJ984" s="1"/>
      <c r="DK984" s="1"/>
      <c r="DL984" s="1"/>
      <c r="DM984" s="1"/>
      <c r="DN984" s="1"/>
      <c r="DO984" s="1"/>
      <c r="DP984" s="1"/>
      <c r="DQ984" s="1"/>
      <c r="DR984" s="1"/>
      <c r="DS984" s="1"/>
      <c r="DT984" s="1"/>
      <c r="DU984" s="1"/>
      <c r="DV984" s="1"/>
      <c r="DW984" s="1"/>
      <c r="DX984" s="1"/>
      <c r="DY984" s="1"/>
      <c r="DZ984" s="1"/>
      <c r="EA984" s="1"/>
      <c r="EB984" s="1"/>
      <c r="EC984" s="1"/>
      <c r="ED984" s="1"/>
      <c r="EE984" s="1"/>
      <c r="EF984" s="1"/>
      <c r="EG984" s="1"/>
      <c r="EH984" s="1"/>
      <c r="EI984" s="1"/>
      <c r="EJ984" s="1"/>
      <c r="EK984" s="1"/>
      <c r="EL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c r="BR985" s="1"/>
      <c r="BS985" s="1"/>
      <c r="BT985" s="1"/>
      <c r="BU985" s="1"/>
      <c r="BV985" s="1"/>
      <c r="BW985" s="1"/>
      <c r="BX985" s="1"/>
      <c r="BY985" s="1"/>
      <c r="BZ985" s="1"/>
      <c r="CA985" s="1"/>
      <c r="CB985" s="1"/>
      <c r="CC985" s="1"/>
      <c r="CD985" s="1"/>
      <c r="CE985" s="1"/>
      <c r="CF985" s="1"/>
      <c r="CG985" s="1"/>
      <c r="CH985" s="1"/>
      <c r="CI985" s="1"/>
      <c r="CJ985" s="1"/>
      <c r="CK985" s="1"/>
      <c r="CL985" s="1"/>
      <c r="CM985" s="1"/>
      <c r="CN985" s="1"/>
      <c r="CO985" s="1"/>
      <c r="CP985" s="1"/>
      <c r="CQ985" s="1"/>
      <c r="CR985" s="1"/>
      <c r="CS985" s="1"/>
      <c r="CT985" s="1"/>
      <c r="CU985" s="1"/>
      <c r="CV985" s="1"/>
      <c r="CW985" s="1"/>
      <c r="CX985" s="1"/>
      <c r="CY985" s="1"/>
      <c r="CZ985" s="1"/>
      <c r="DA985" s="1"/>
      <c r="DB985" s="1"/>
      <c r="DC985" s="1"/>
      <c r="DD985" s="1"/>
      <c r="DE985" s="1"/>
      <c r="DF985" s="1"/>
      <c r="DG985" s="1"/>
      <c r="DH985" s="1"/>
      <c r="DI985" s="1"/>
      <c r="DJ985" s="1"/>
      <c r="DK985" s="1"/>
      <c r="DL985" s="1"/>
      <c r="DM985" s="1"/>
      <c r="DN985" s="1"/>
      <c r="DO985" s="1"/>
      <c r="DP985" s="1"/>
      <c r="DQ985" s="1"/>
      <c r="DR985" s="1"/>
      <c r="DS985" s="1"/>
      <c r="DT985" s="1"/>
      <c r="DU985" s="1"/>
      <c r="DV985" s="1"/>
      <c r="DW985" s="1"/>
      <c r="DX985" s="1"/>
      <c r="DY985" s="1"/>
      <c r="DZ985" s="1"/>
      <c r="EA985" s="1"/>
      <c r="EB985" s="1"/>
      <c r="EC985" s="1"/>
      <c r="ED985" s="1"/>
      <c r="EE985" s="1"/>
      <c r="EF985" s="1"/>
      <c r="EG985" s="1"/>
      <c r="EH985" s="1"/>
      <c r="EI985" s="1"/>
      <c r="EJ985" s="1"/>
      <c r="EK985" s="1"/>
      <c r="EL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c r="BR986" s="1"/>
      <c r="BS986" s="1"/>
      <c r="BT986" s="1"/>
      <c r="BU986" s="1"/>
      <c r="BV986" s="1"/>
      <c r="BW986" s="1"/>
      <c r="BX986" s="1"/>
      <c r="BY986" s="1"/>
      <c r="BZ986" s="1"/>
      <c r="CA986" s="1"/>
      <c r="CB986" s="1"/>
      <c r="CC986" s="1"/>
      <c r="CD986" s="1"/>
      <c r="CE986" s="1"/>
      <c r="CF986" s="1"/>
      <c r="CG986" s="1"/>
      <c r="CH986" s="1"/>
      <c r="CI986" s="1"/>
      <c r="CJ986" s="1"/>
      <c r="CK986" s="1"/>
      <c r="CL986" s="1"/>
      <c r="CM986" s="1"/>
      <c r="CN986" s="1"/>
      <c r="CO986" s="1"/>
      <c r="CP986" s="1"/>
      <c r="CQ986" s="1"/>
      <c r="CR986" s="1"/>
      <c r="CS986" s="1"/>
      <c r="CT986" s="1"/>
      <c r="CU986" s="1"/>
      <c r="CV986" s="1"/>
      <c r="CW986" s="1"/>
      <c r="CX986" s="1"/>
      <c r="CY986" s="1"/>
      <c r="CZ986" s="1"/>
      <c r="DA986" s="1"/>
      <c r="DB986" s="1"/>
      <c r="DC986" s="1"/>
      <c r="DD986" s="1"/>
      <c r="DE986" s="1"/>
      <c r="DF986" s="1"/>
      <c r="DG986" s="1"/>
      <c r="DH986" s="1"/>
      <c r="DI986" s="1"/>
      <c r="DJ986" s="1"/>
      <c r="DK986" s="1"/>
      <c r="DL986" s="1"/>
      <c r="DM986" s="1"/>
      <c r="DN986" s="1"/>
      <c r="DO986" s="1"/>
      <c r="DP986" s="1"/>
      <c r="DQ986" s="1"/>
      <c r="DR986" s="1"/>
      <c r="DS986" s="1"/>
      <c r="DT986" s="1"/>
      <c r="DU986" s="1"/>
      <c r="DV986" s="1"/>
      <c r="DW986" s="1"/>
      <c r="DX986" s="1"/>
      <c r="DY986" s="1"/>
      <c r="DZ986" s="1"/>
      <c r="EA986" s="1"/>
      <c r="EB986" s="1"/>
      <c r="EC986" s="1"/>
      <c r="ED986" s="1"/>
      <c r="EE986" s="1"/>
      <c r="EF986" s="1"/>
      <c r="EG986" s="1"/>
      <c r="EH986" s="1"/>
      <c r="EI986" s="1"/>
      <c r="EJ986" s="1"/>
      <c r="EK986" s="1"/>
      <c r="EL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c r="BR987" s="1"/>
      <c r="BS987" s="1"/>
      <c r="BT987" s="1"/>
      <c r="BU987" s="1"/>
      <c r="BV987" s="1"/>
      <c r="BW987" s="1"/>
      <c r="BX987" s="1"/>
      <c r="BY987" s="1"/>
      <c r="BZ987" s="1"/>
      <c r="CA987" s="1"/>
      <c r="CB987" s="1"/>
      <c r="CC987" s="1"/>
      <c r="CD987" s="1"/>
      <c r="CE987" s="1"/>
      <c r="CF987" s="1"/>
      <c r="CG987" s="1"/>
      <c r="CH987" s="1"/>
      <c r="CI987" s="1"/>
      <c r="CJ987" s="1"/>
      <c r="CK987" s="1"/>
      <c r="CL987" s="1"/>
      <c r="CM987" s="1"/>
      <c r="CN987" s="1"/>
      <c r="CO987" s="1"/>
      <c r="CP987" s="1"/>
      <c r="CQ987" s="1"/>
      <c r="CR987" s="1"/>
      <c r="CS987" s="1"/>
      <c r="CT987" s="1"/>
      <c r="CU987" s="1"/>
      <c r="CV987" s="1"/>
      <c r="CW987" s="1"/>
      <c r="CX987" s="1"/>
      <c r="CY987" s="1"/>
      <c r="CZ987" s="1"/>
      <c r="DA987" s="1"/>
      <c r="DB987" s="1"/>
      <c r="DC987" s="1"/>
      <c r="DD987" s="1"/>
      <c r="DE987" s="1"/>
      <c r="DF987" s="1"/>
      <c r="DG987" s="1"/>
      <c r="DH987" s="1"/>
      <c r="DI987" s="1"/>
      <c r="DJ987" s="1"/>
      <c r="DK987" s="1"/>
      <c r="DL987" s="1"/>
      <c r="DM987" s="1"/>
      <c r="DN987" s="1"/>
      <c r="DO987" s="1"/>
      <c r="DP987" s="1"/>
      <c r="DQ987" s="1"/>
      <c r="DR987" s="1"/>
      <c r="DS987" s="1"/>
      <c r="DT987" s="1"/>
      <c r="DU987" s="1"/>
      <c r="DV987" s="1"/>
      <c r="DW987" s="1"/>
      <c r="DX987" s="1"/>
      <c r="DY987" s="1"/>
      <c r="DZ987" s="1"/>
      <c r="EA987" s="1"/>
      <c r="EB987" s="1"/>
      <c r="EC987" s="1"/>
      <c r="ED987" s="1"/>
      <c r="EE987" s="1"/>
      <c r="EF987" s="1"/>
      <c r="EG987" s="1"/>
      <c r="EH987" s="1"/>
      <c r="EI987" s="1"/>
      <c r="EJ987" s="1"/>
      <c r="EK987" s="1"/>
      <c r="EL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c r="BR988" s="1"/>
      <c r="BS988" s="1"/>
      <c r="BT988" s="1"/>
      <c r="BU988" s="1"/>
      <c r="BV988" s="1"/>
      <c r="BW988" s="1"/>
      <c r="BX988" s="1"/>
      <c r="BY988" s="1"/>
      <c r="BZ988" s="1"/>
      <c r="CA988" s="1"/>
      <c r="CB988" s="1"/>
      <c r="CC988" s="1"/>
      <c r="CD988" s="1"/>
      <c r="CE988" s="1"/>
      <c r="CF988" s="1"/>
      <c r="CG988" s="1"/>
      <c r="CH988" s="1"/>
      <c r="CI988" s="1"/>
      <c r="CJ988" s="1"/>
      <c r="CK988" s="1"/>
      <c r="CL988" s="1"/>
      <c r="CM988" s="1"/>
      <c r="CN988" s="1"/>
      <c r="CO988" s="1"/>
      <c r="CP988" s="1"/>
      <c r="CQ988" s="1"/>
      <c r="CR988" s="1"/>
      <c r="CS988" s="1"/>
      <c r="CT988" s="1"/>
      <c r="CU988" s="1"/>
      <c r="CV988" s="1"/>
      <c r="CW988" s="1"/>
      <c r="CX988" s="1"/>
      <c r="CY988" s="1"/>
      <c r="CZ988" s="1"/>
      <c r="DA988" s="1"/>
      <c r="DB988" s="1"/>
      <c r="DC988" s="1"/>
      <c r="DD988" s="1"/>
      <c r="DE988" s="1"/>
      <c r="DF988" s="1"/>
      <c r="DG988" s="1"/>
      <c r="DH988" s="1"/>
      <c r="DI988" s="1"/>
      <c r="DJ988" s="1"/>
      <c r="DK988" s="1"/>
      <c r="DL988" s="1"/>
      <c r="DM988" s="1"/>
      <c r="DN988" s="1"/>
      <c r="DO988" s="1"/>
      <c r="DP988" s="1"/>
      <c r="DQ988" s="1"/>
      <c r="DR988" s="1"/>
      <c r="DS988" s="1"/>
      <c r="DT988" s="1"/>
      <c r="DU988" s="1"/>
      <c r="DV988" s="1"/>
      <c r="DW988" s="1"/>
      <c r="DX988" s="1"/>
      <c r="DY988" s="1"/>
      <c r="DZ988" s="1"/>
      <c r="EA988" s="1"/>
      <c r="EB988" s="1"/>
      <c r="EC988" s="1"/>
      <c r="ED988" s="1"/>
      <c r="EE988" s="1"/>
      <c r="EF988" s="1"/>
      <c r="EG988" s="1"/>
      <c r="EH988" s="1"/>
      <c r="EI988" s="1"/>
      <c r="EJ988" s="1"/>
      <c r="EK988" s="1"/>
      <c r="EL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c r="BR989" s="1"/>
      <c r="BS989" s="1"/>
      <c r="BT989" s="1"/>
      <c r="BU989" s="1"/>
      <c r="BV989" s="1"/>
      <c r="BW989" s="1"/>
      <c r="BX989" s="1"/>
      <c r="BY989" s="1"/>
      <c r="BZ989" s="1"/>
      <c r="CA989" s="1"/>
      <c r="CB989" s="1"/>
      <c r="CC989" s="1"/>
      <c r="CD989" s="1"/>
      <c r="CE989" s="1"/>
      <c r="CF989" s="1"/>
      <c r="CG989" s="1"/>
      <c r="CH989" s="1"/>
      <c r="CI989" s="1"/>
      <c r="CJ989" s="1"/>
      <c r="CK989" s="1"/>
      <c r="CL989" s="1"/>
      <c r="CM989" s="1"/>
      <c r="CN989" s="1"/>
      <c r="CO989" s="1"/>
      <c r="CP989" s="1"/>
      <c r="CQ989" s="1"/>
      <c r="CR989" s="1"/>
      <c r="CS989" s="1"/>
      <c r="CT989" s="1"/>
      <c r="CU989" s="1"/>
      <c r="CV989" s="1"/>
      <c r="CW989" s="1"/>
      <c r="CX989" s="1"/>
      <c r="CY989" s="1"/>
      <c r="CZ989" s="1"/>
      <c r="DA989" s="1"/>
      <c r="DB989" s="1"/>
      <c r="DC989" s="1"/>
      <c r="DD989" s="1"/>
      <c r="DE989" s="1"/>
      <c r="DF989" s="1"/>
      <c r="DG989" s="1"/>
      <c r="DH989" s="1"/>
      <c r="DI989" s="1"/>
      <c r="DJ989" s="1"/>
      <c r="DK989" s="1"/>
      <c r="DL989" s="1"/>
      <c r="DM989" s="1"/>
      <c r="DN989" s="1"/>
      <c r="DO989" s="1"/>
      <c r="DP989" s="1"/>
      <c r="DQ989" s="1"/>
      <c r="DR989" s="1"/>
      <c r="DS989" s="1"/>
      <c r="DT989" s="1"/>
      <c r="DU989" s="1"/>
      <c r="DV989" s="1"/>
      <c r="DW989" s="1"/>
      <c r="DX989" s="1"/>
      <c r="DY989" s="1"/>
      <c r="DZ989" s="1"/>
      <c r="EA989" s="1"/>
      <c r="EB989" s="1"/>
      <c r="EC989" s="1"/>
      <c r="ED989" s="1"/>
      <c r="EE989" s="1"/>
      <c r="EF989" s="1"/>
      <c r="EG989" s="1"/>
      <c r="EH989" s="1"/>
      <c r="EI989" s="1"/>
      <c r="EJ989" s="1"/>
      <c r="EK989" s="1"/>
      <c r="EL989" s="1"/>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15.88"/>
  </cols>
  <sheetData>
    <row r="1">
      <c r="A1" s="197" t="s">
        <v>90</v>
      </c>
      <c r="F1" s="1"/>
      <c r="G1" s="197" t="s">
        <v>183</v>
      </c>
      <c r="L1" s="1"/>
      <c r="M1" s="197" t="s">
        <v>184</v>
      </c>
      <c r="R1" s="1"/>
      <c r="S1" s="1"/>
      <c r="T1" s="1"/>
      <c r="U1" s="1"/>
      <c r="V1" s="1"/>
      <c r="W1" s="1"/>
      <c r="X1" s="1"/>
      <c r="Y1" s="1"/>
      <c r="Z1" s="1"/>
      <c r="AA1" s="1"/>
    </row>
    <row r="2">
      <c r="A2" s="198" t="s">
        <v>185</v>
      </c>
      <c r="B2" s="198" t="s">
        <v>109</v>
      </c>
      <c r="C2" s="198" t="s">
        <v>186</v>
      </c>
      <c r="D2" s="198" t="s">
        <v>187</v>
      </c>
      <c r="E2" s="198" t="s">
        <v>188</v>
      </c>
      <c r="F2" s="1"/>
      <c r="G2" s="198" t="s">
        <v>185</v>
      </c>
      <c r="H2" s="198" t="s">
        <v>109</v>
      </c>
      <c r="I2" s="198" t="s">
        <v>186</v>
      </c>
      <c r="J2" s="198" t="s">
        <v>187</v>
      </c>
      <c r="K2" s="198" t="s">
        <v>188</v>
      </c>
      <c r="L2" s="1"/>
      <c r="M2" s="198" t="s">
        <v>185</v>
      </c>
      <c r="N2" s="198" t="s">
        <v>109</v>
      </c>
      <c r="O2" s="198" t="s">
        <v>186</v>
      </c>
      <c r="P2" s="198" t="s">
        <v>187</v>
      </c>
      <c r="Q2" s="198" t="s">
        <v>188</v>
      </c>
      <c r="R2" s="1"/>
      <c r="S2" s="1"/>
      <c r="T2" s="1"/>
      <c r="U2" s="1"/>
      <c r="V2" s="1"/>
      <c r="W2" s="1"/>
      <c r="X2" s="1"/>
      <c r="Y2" s="1"/>
      <c r="Z2" s="1"/>
      <c r="AA2" s="1"/>
    </row>
    <row r="3">
      <c r="A3" s="199">
        <v>0.0</v>
      </c>
      <c r="B3" s="8"/>
      <c r="C3" s="8"/>
      <c r="D3" s="8"/>
      <c r="E3" s="200">
        <f>if('Deal Analysis'!D22="Yes",'Deal Analysis'!D23,0)</f>
        <v>360000</v>
      </c>
      <c r="F3" s="1"/>
      <c r="G3" s="199">
        <v>0.0</v>
      </c>
      <c r="H3" s="8"/>
      <c r="I3" s="8"/>
      <c r="J3" s="8"/>
      <c r="K3" s="200">
        <f>if('Deal Analysis'!D33="Yes",'Deal Analysis'!D34,0)</f>
        <v>50000</v>
      </c>
      <c r="L3" s="1"/>
      <c r="M3" s="199">
        <v>0.0</v>
      </c>
      <c r="N3" s="8"/>
      <c r="O3" s="8"/>
      <c r="P3" s="8"/>
      <c r="Q3" s="200">
        <f>if('Deal Analysis'!D42="Yes",'Deal Analysis'!D43,0)</f>
        <v>0</v>
      </c>
      <c r="R3" s="1"/>
      <c r="S3" s="1"/>
      <c r="T3" s="1"/>
      <c r="U3" s="1"/>
      <c r="V3" s="1"/>
      <c r="W3" s="1"/>
      <c r="X3" s="1"/>
      <c r="Y3" s="1"/>
      <c r="Z3" s="1"/>
      <c r="AA3" s="1"/>
    </row>
    <row r="4">
      <c r="A4" s="199">
        <v>1.0</v>
      </c>
      <c r="B4" s="200">
        <f>if('Deal Analysis'!D22="Yes",'Deal Analysis'!D30,0)</f>
        <v>3046.641421</v>
      </c>
      <c r="C4" s="200">
        <f>'Deal Analysis'!$D$24/12*E3</f>
        <v>2700</v>
      </c>
      <c r="D4" s="200">
        <f t="shared" ref="D4:D363" si="1">B4-C4</f>
        <v>346.641421</v>
      </c>
      <c r="E4" s="200">
        <f t="shared" ref="E4:E363" si="2">E3-D4</f>
        <v>359653.3586</v>
      </c>
      <c r="F4" s="1"/>
      <c r="G4" s="199">
        <v>1.0</v>
      </c>
      <c r="H4" s="200">
        <f>if('Deal Analysis'!D33="Yes",'Deal Analysis'!D39,0)</f>
        <v>333.3333333</v>
      </c>
      <c r="I4" s="200">
        <f>if(H4&gt;0,'Deal Analysis'!$D$35/12*K3,0)</f>
        <v>333.3333333</v>
      </c>
      <c r="J4" s="200">
        <f t="shared" ref="J4:J363" si="3">H4-I4</f>
        <v>0</v>
      </c>
      <c r="K4" s="200">
        <f>if(AND('Deal Analysis'!$D$37*12&lt;G4,'Deal Analysis'!$D$37&gt;0),0,K3-J4)</f>
        <v>50000</v>
      </c>
      <c r="L4" s="1"/>
      <c r="M4" s="199">
        <v>1.0</v>
      </c>
      <c r="N4" s="200">
        <f>if('Deal Analysis'!D42="Yes",'Deal Analysis'!D49,0)</f>
        <v>0</v>
      </c>
      <c r="O4" s="200">
        <f t="shared" ref="O4:O363" si="4">if(N4&gt;0,'HOST CAMP DEAL ANALYSIS'!$D$44/12*Q3,0)</f>
        <v>0</v>
      </c>
      <c r="P4" s="200">
        <f t="shared" ref="P4:P363" si="5">N4-O4</f>
        <v>0</v>
      </c>
      <c r="Q4" s="200">
        <f>if(AND('Deal Analysis'!$D$47*12&lt;M4,'Deal Analysis'!$D$47&gt;0),0,Q3-P4)</f>
        <v>0</v>
      </c>
      <c r="R4" s="1"/>
      <c r="S4" s="1"/>
      <c r="T4" s="1"/>
      <c r="U4" s="1"/>
      <c r="V4" s="1"/>
      <c r="W4" s="1"/>
      <c r="X4" s="1"/>
      <c r="Y4" s="1"/>
      <c r="Z4" s="1"/>
      <c r="AA4" s="1"/>
    </row>
    <row r="5">
      <c r="A5" s="199">
        <v>2.0</v>
      </c>
      <c r="B5" s="200">
        <f t="shared" ref="B5:B363" si="6">B4</f>
        <v>3046.641421</v>
      </c>
      <c r="C5" s="200">
        <f>'Deal Analysis'!$D$24/12*E4</f>
        <v>2697.400189</v>
      </c>
      <c r="D5" s="200">
        <f t="shared" si="1"/>
        <v>349.2412317</v>
      </c>
      <c r="E5" s="200">
        <f t="shared" si="2"/>
        <v>359304.1173</v>
      </c>
      <c r="F5" s="1"/>
      <c r="G5" s="199">
        <v>2.0</v>
      </c>
      <c r="H5" s="200">
        <f>if(AND('Deal Analysis'!$D$37*12&lt;G5,'Deal Analysis'!$D$37&gt;0),0,H4)</f>
        <v>333.3333333</v>
      </c>
      <c r="I5" s="200">
        <f>if(H5&gt;0,'Deal Analysis'!$D$35/12*K4,0)</f>
        <v>333.3333333</v>
      </c>
      <c r="J5" s="200">
        <f t="shared" si="3"/>
        <v>0</v>
      </c>
      <c r="K5" s="200">
        <f>if(AND('Deal Analysis'!$D$37*12&lt;G5,'Deal Analysis'!$D$37&gt;0),0,K4-J5)</f>
        <v>50000</v>
      </c>
      <c r="L5" s="1"/>
      <c r="M5" s="199">
        <v>2.0</v>
      </c>
      <c r="N5" s="200">
        <f>if('Deal Analysis'!D43="Yes",'Deal Analysis'!D50,0)</f>
        <v>0</v>
      </c>
      <c r="O5" s="200">
        <f t="shared" si="4"/>
        <v>0</v>
      </c>
      <c r="P5" s="200">
        <f t="shared" si="5"/>
        <v>0</v>
      </c>
      <c r="Q5" s="200">
        <f>if(AND('Deal Analysis'!$D$47*12&lt;M5,'Deal Analysis'!$D$47&gt;0),0,Q4-P5)</f>
        <v>0</v>
      </c>
      <c r="R5" s="1"/>
      <c r="S5" s="1"/>
      <c r="T5" s="1"/>
      <c r="U5" s="1"/>
      <c r="V5" s="1"/>
      <c r="W5" s="1"/>
      <c r="X5" s="1"/>
      <c r="Y5" s="1"/>
      <c r="Z5" s="1"/>
      <c r="AA5" s="1"/>
    </row>
    <row r="6">
      <c r="A6" s="199">
        <v>3.0</v>
      </c>
      <c r="B6" s="200">
        <f t="shared" si="6"/>
        <v>3046.641421</v>
      </c>
      <c r="C6" s="200">
        <f>'Deal Analysis'!$D$24/12*E5</f>
        <v>2694.78088</v>
      </c>
      <c r="D6" s="200">
        <f t="shared" si="1"/>
        <v>351.8605409</v>
      </c>
      <c r="E6" s="200">
        <f t="shared" si="2"/>
        <v>358952.2568</v>
      </c>
      <c r="F6" s="1"/>
      <c r="G6" s="199">
        <v>3.0</v>
      </c>
      <c r="H6" s="200">
        <f>if(AND('Deal Analysis'!$D$37*12&lt;G6,'Deal Analysis'!$D$37&gt;0),0,H5)</f>
        <v>333.3333333</v>
      </c>
      <c r="I6" s="200">
        <f>if(H6&gt;0,'Deal Analysis'!$D$35/12*K5,0)</f>
        <v>333.3333333</v>
      </c>
      <c r="J6" s="200">
        <f t="shared" si="3"/>
        <v>0</v>
      </c>
      <c r="K6" s="200">
        <f>if(AND('Deal Analysis'!$D$37*12&lt;G6,'Deal Analysis'!$D$37&gt;0),0,K5-J6)</f>
        <v>50000</v>
      </c>
      <c r="L6" s="1"/>
      <c r="M6" s="199">
        <v>3.0</v>
      </c>
      <c r="N6" s="200">
        <f>if('Deal Analysis'!D44="Yes",'Deal Analysis'!D51,0)</f>
        <v>0</v>
      </c>
      <c r="O6" s="200">
        <f t="shared" si="4"/>
        <v>0</v>
      </c>
      <c r="P6" s="200">
        <f t="shared" si="5"/>
        <v>0</v>
      </c>
      <c r="Q6" s="200">
        <f>if(AND('Deal Analysis'!$D$47*12&lt;M6,'Deal Analysis'!$D$47&gt;0),0,Q5-P6)</f>
        <v>0</v>
      </c>
      <c r="R6" s="1"/>
      <c r="S6" s="1"/>
      <c r="T6" s="1"/>
      <c r="U6" s="1"/>
      <c r="V6" s="1"/>
      <c r="W6" s="1"/>
      <c r="X6" s="1"/>
      <c r="Y6" s="1"/>
      <c r="Z6" s="1"/>
      <c r="AA6" s="1"/>
    </row>
    <row r="7">
      <c r="A7" s="199">
        <v>4.0</v>
      </c>
      <c r="B7" s="200">
        <f t="shared" si="6"/>
        <v>3046.641421</v>
      </c>
      <c r="C7" s="200">
        <f>'Deal Analysis'!$D$24/12*E6</f>
        <v>2692.141926</v>
      </c>
      <c r="D7" s="200">
        <f t="shared" si="1"/>
        <v>354.499495</v>
      </c>
      <c r="E7" s="200">
        <f t="shared" si="2"/>
        <v>358597.7573</v>
      </c>
      <c r="F7" s="1"/>
      <c r="G7" s="199">
        <v>4.0</v>
      </c>
      <c r="H7" s="200">
        <f>if(AND('Deal Analysis'!$D$37*12&lt;G7,'Deal Analysis'!$D$37&gt;0),0,H6)</f>
        <v>333.3333333</v>
      </c>
      <c r="I7" s="200">
        <f>if(H7&gt;0,'Deal Analysis'!$D$35/12*K6,0)</f>
        <v>333.3333333</v>
      </c>
      <c r="J7" s="200">
        <f t="shared" si="3"/>
        <v>0</v>
      </c>
      <c r="K7" s="200">
        <f>if(AND('Deal Analysis'!$D$37*12&lt;G7,'Deal Analysis'!$D$37&gt;0),0,K6-J7)</f>
        <v>50000</v>
      </c>
      <c r="L7" s="1"/>
      <c r="M7" s="199">
        <v>4.0</v>
      </c>
      <c r="N7" s="200">
        <f>if('Deal Analysis'!D45="Yes",'Deal Analysis'!D52,0)</f>
        <v>0</v>
      </c>
      <c r="O7" s="200">
        <f t="shared" si="4"/>
        <v>0</v>
      </c>
      <c r="P7" s="200">
        <f t="shared" si="5"/>
        <v>0</v>
      </c>
      <c r="Q7" s="200">
        <f>if(AND('Deal Analysis'!$D$47*12&lt;M7,'Deal Analysis'!$D$47&gt;0),0,Q6-P7)</f>
        <v>0</v>
      </c>
      <c r="R7" s="1"/>
      <c r="S7" s="1"/>
      <c r="T7" s="1"/>
      <c r="U7" s="1"/>
      <c r="V7" s="1"/>
      <c r="W7" s="1"/>
      <c r="X7" s="1"/>
      <c r="Y7" s="1"/>
      <c r="Z7" s="1"/>
      <c r="AA7" s="1"/>
    </row>
    <row r="8">
      <c r="A8" s="199">
        <v>5.0</v>
      </c>
      <c r="B8" s="200">
        <f t="shared" si="6"/>
        <v>3046.641421</v>
      </c>
      <c r="C8" s="200">
        <f>'Deal Analysis'!$D$24/12*E7</f>
        <v>2689.48318</v>
      </c>
      <c r="D8" s="200">
        <f t="shared" si="1"/>
        <v>357.1582412</v>
      </c>
      <c r="E8" s="200">
        <f t="shared" si="2"/>
        <v>358240.5991</v>
      </c>
      <c r="F8" s="1"/>
      <c r="G8" s="199">
        <v>5.0</v>
      </c>
      <c r="H8" s="200">
        <f>if(AND('Deal Analysis'!$D$37*12&lt;G8,'Deal Analysis'!$D$37&gt;0),0,H7)</f>
        <v>333.3333333</v>
      </c>
      <c r="I8" s="200">
        <f>if(H8&gt;0,'Deal Analysis'!$D$35/12*K7,0)</f>
        <v>333.3333333</v>
      </c>
      <c r="J8" s="200">
        <f t="shared" si="3"/>
        <v>0</v>
      </c>
      <c r="K8" s="200">
        <f>if(AND('Deal Analysis'!$D$37*12&lt;G8,'Deal Analysis'!$D$37&gt;0),0,K7-J8)</f>
        <v>50000</v>
      </c>
      <c r="L8" s="1"/>
      <c r="M8" s="199">
        <v>5.0</v>
      </c>
      <c r="N8" s="200">
        <f>if('Deal Analysis'!D46="Yes",'Deal Analysis'!D53,0)</f>
        <v>0</v>
      </c>
      <c r="O8" s="200">
        <f t="shared" si="4"/>
        <v>0</v>
      </c>
      <c r="P8" s="200">
        <f t="shared" si="5"/>
        <v>0</v>
      </c>
      <c r="Q8" s="200">
        <f>if(AND('Deal Analysis'!$D$47*12&lt;M8,'Deal Analysis'!$D$47&gt;0),0,Q7-P8)</f>
        <v>0</v>
      </c>
      <c r="R8" s="1"/>
      <c r="S8" s="1"/>
      <c r="T8" s="1"/>
      <c r="U8" s="1"/>
      <c r="V8" s="1"/>
      <c r="W8" s="1"/>
      <c r="X8" s="1"/>
      <c r="Y8" s="1"/>
      <c r="Z8" s="1"/>
      <c r="AA8" s="1"/>
    </row>
    <row r="9">
      <c r="A9" s="199">
        <v>6.0</v>
      </c>
      <c r="B9" s="200">
        <f t="shared" si="6"/>
        <v>3046.641421</v>
      </c>
      <c r="C9" s="200">
        <f>'Deal Analysis'!$D$24/12*E8</f>
        <v>2686.804493</v>
      </c>
      <c r="D9" s="200">
        <f t="shared" si="1"/>
        <v>359.836928</v>
      </c>
      <c r="E9" s="200">
        <f t="shared" si="2"/>
        <v>357880.7621</v>
      </c>
      <c r="F9" s="1"/>
      <c r="G9" s="199">
        <v>6.0</v>
      </c>
      <c r="H9" s="200">
        <f>if(AND('Deal Analysis'!$D$37*12&lt;G9,'Deal Analysis'!$D$37&gt;0),0,H8)</f>
        <v>333.3333333</v>
      </c>
      <c r="I9" s="200">
        <f>if(H9&gt;0,'Deal Analysis'!$D$35/12*K8,0)</f>
        <v>333.3333333</v>
      </c>
      <c r="J9" s="200">
        <f t="shared" si="3"/>
        <v>0</v>
      </c>
      <c r="K9" s="200">
        <f>if(AND('Deal Analysis'!$D$37*12&lt;G9,'Deal Analysis'!$D$37&gt;0),0,K8-J9)</f>
        <v>50000</v>
      </c>
      <c r="L9" s="1"/>
      <c r="M9" s="199">
        <v>6.0</v>
      </c>
      <c r="N9" s="200">
        <f>if('Deal Analysis'!D47="Yes",'Deal Analysis'!D54,0)</f>
        <v>0</v>
      </c>
      <c r="O9" s="200">
        <f t="shared" si="4"/>
        <v>0</v>
      </c>
      <c r="P9" s="200">
        <f t="shared" si="5"/>
        <v>0</v>
      </c>
      <c r="Q9" s="200">
        <f>if(AND('Deal Analysis'!$D$47*12&lt;M9,'Deal Analysis'!$D$47&gt;0),0,Q8-P9)</f>
        <v>0</v>
      </c>
      <c r="R9" s="1"/>
      <c r="S9" s="1"/>
      <c r="T9" s="1"/>
      <c r="U9" s="1"/>
      <c r="V9" s="1"/>
      <c r="W9" s="1"/>
      <c r="X9" s="1"/>
      <c r="Y9" s="1"/>
      <c r="Z9" s="1"/>
      <c r="AA9" s="1"/>
    </row>
    <row r="10">
      <c r="A10" s="199">
        <v>7.0</v>
      </c>
      <c r="B10" s="200">
        <f t="shared" si="6"/>
        <v>3046.641421</v>
      </c>
      <c r="C10" s="200">
        <f>'Deal Analysis'!$D$24/12*E9</f>
        <v>2684.105716</v>
      </c>
      <c r="D10" s="200">
        <f t="shared" si="1"/>
        <v>362.5357049</v>
      </c>
      <c r="E10" s="200">
        <f t="shared" si="2"/>
        <v>357518.2264</v>
      </c>
      <c r="F10" s="1"/>
      <c r="G10" s="199">
        <v>7.0</v>
      </c>
      <c r="H10" s="200">
        <f>if(AND('Deal Analysis'!$D$37*12&lt;G10,'Deal Analysis'!$D$37&gt;0),0,H9)</f>
        <v>333.3333333</v>
      </c>
      <c r="I10" s="200">
        <f>if(H10&gt;0,'Deal Analysis'!$D$35/12*K9,0)</f>
        <v>333.3333333</v>
      </c>
      <c r="J10" s="200">
        <f t="shared" si="3"/>
        <v>0</v>
      </c>
      <c r="K10" s="200">
        <f>if(AND('Deal Analysis'!$D$37*12&lt;G10,'Deal Analysis'!$D$37&gt;0),0,K9-J10)</f>
        <v>50000</v>
      </c>
      <c r="L10" s="1"/>
      <c r="M10" s="199">
        <v>7.0</v>
      </c>
      <c r="N10" s="200">
        <f>if('Deal Analysis'!D48="Yes",'Deal Analysis'!D55,0)</f>
        <v>0</v>
      </c>
      <c r="O10" s="200">
        <f t="shared" si="4"/>
        <v>0</v>
      </c>
      <c r="P10" s="200">
        <f t="shared" si="5"/>
        <v>0</v>
      </c>
      <c r="Q10" s="200">
        <f>if(AND('Deal Analysis'!$D$47*12&lt;M10,'Deal Analysis'!$D$47&gt;0),0,Q9-P10)</f>
        <v>0</v>
      </c>
      <c r="R10" s="1"/>
      <c r="S10" s="1"/>
      <c r="T10" s="1"/>
      <c r="U10" s="1"/>
      <c r="V10" s="1"/>
      <c r="W10" s="1"/>
      <c r="X10" s="1"/>
      <c r="Y10" s="1"/>
      <c r="Z10" s="1"/>
      <c r="AA10" s="1"/>
    </row>
    <row r="11">
      <c r="A11" s="199">
        <v>8.0</v>
      </c>
      <c r="B11" s="200">
        <f t="shared" si="6"/>
        <v>3046.641421</v>
      </c>
      <c r="C11" s="200">
        <f>'Deal Analysis'!$D$24/12*E10</f>
        <v>2681.386698</v>
      </c>
      <c r="D11" s="200">
        <f t="shared" si="1"/>
        <v>365.2547227</v>
      </c>
      <c r="E11" s="200">
        <f t="shared" si="2"/>
        <v>357152.9717</v>
      </c>
      <c r="F11" s="1"/>
      <c r="G11" s="199">
        <v>8.0</v>
      </c>
      <c r="H11" s="200">
        <f>if(AND('Deal Analysis'!$D$37*12&lt;G11,'Deal Analysis'!$D$37&gt;0),0,H10)</f>
        <v>333.3333333</v>
      </c>
      <c r="I11" s="200">
        <f>if(H11&gt;0,'Deal Analysis'!$D$35/12*K10,0)</f>
        <v>333.3333333</v>
      </c>
      <c r="J11" s="200">
        <f t="shared" si="3"/>
        <v>0</v>
      </c>
      <c r="K11" s="200">
        <f>if(AND('Deal Analysis'!$D$37*12&lt;G11,'Deal Analysis'!$D$37&gt;0),0,K10-J11)</f>
        <v>50000</v>
      </c>
      <c r="L11" s="1"/>
      <c r="M11" s="199">
        <v>8.0</v>
      </c>
      <c r="N11" s="200">
        <f>if('Deal Analysis'!D49="Yes",'Deal Analysis'!D56,0)</f>
        <v>0</v>
      </c>
      <c r="O11" s="200">
        <f t="shared" si="4"/>
        <v>0</v>
      </c>
      <c r="P11" s="200">
        <f t="shared" si="5"/>
        <v>0</v>
      </c>
      <c r="Q11" s="200">
        <f>if(AND('Deal Analysis'!$D$47*12&lt;M11,'Deal Analysis'!$D$47&gt;0),0,Q10-P11)</f>
        <v>0</v>
      </c>
      <c r="R11" s="1"/>
      <c r="S11" s="1"/>
      <c r="T11" s="1"/>
      <c r="U11" s="1"/>
      <c r="V11" s="1"/>
      <c r="W11" s="1"/>
      <c r="X11" s="1"/>
      <c r="Y11" s="1"/>
      <c r="Z11" s="1"/>
      <c r="AA11" s="1"/>
    </row>
    <row r="12">
      <c r="A12" s="199">
        <v>9.0</v>
      </c>
      <c r="B12" s="200">
        <f t="shared" si="6"/>
        <v>3046.641421</v>
      </c>
      <c r="C12" s="200">
        <f>'Deal Analysis'!$D$24/12*E11</f>
        <v>2678.647288</v>
      </c>
      <c r="D12" s="200">
        <f t="shared" si="1"/>
        <v>367.9941331</v>
      </c>
      <c r="E12" s="200">
        <f t="shared" si="2"/>
        <v>356784.9776</v>
      </c>
      <c r="F12" s="1"/>
      <c r="G12" s="199">
        <v>9.0</v>
      </c>
      <c r="H12" s="200">
        <f>if(AND('Deal Analysis'!$D$37*12&lt;G12,'Deal Analysis'!$D$37&gt;0),0,H11)</f>
        <v>333.3333333</v>
      </c>
      <c r="I12" s="200">
        <f>if(H12&gt;0,'Deal Analysis'!$D$35/12*K11,0)</f>
        <v>333.3333333</v>
      </c>
      <c r="J12" s="200">
        <f t="shared" si="3"/>
        <v>0</v>
      </c>
      <c r="K12" s="200">
        <f>if(AND('Deal Analysis'!$D$37*12&lt;G12,'Deal Analysis'!$D$37&gt;0),0,K11-J12)</f>
        <v>50000</v>
      </c>
      <c r="L12" s="1"/>
      <c r="M12" s="199">
        <v>9.0</v>
      </c>
      <c r="N12" s="200">
        <f>if('Deal Analysis'!D50="Yes",'Deal Analysis'!D57,0)</f>
        <v>0</v>
      </c>
      <c r="O12" s="200">
        <f t="shared" si="4"/>
        <v>0</v>
      </c>
      <c r="P12" s="200">
        <f t="shared" si="5"/>
        <v>0</v>
      </c>
      <c r="Q12" s="200">
        <f>if(AND('Deal Analysis'!$D$47*12&lt;M12,'Deal Analysis'!$D$47&gt;0),0,Q11-P12)</f>
        <v>0</v>
      </c>
      <c r="R12" s="1"/>
      <c r="S12" s="1"/>
      <c r="T12" s="1"/>
      <c r="U12" s="1"/>
      <c r="V12" s="1"/>
      <c r="W12" s="1"/>
      <c r="X12" s="1"/>
      <c r="Y12" s="1"/>
      <c r="Z12" s="1"/>
      <c r="AA12" s="1"/>
    </row>
    <row r="13">
      <c r="A13" s="199">
        <v>10.0</v>
      </c>
      <c r="B13" s="200">
        <f t="shared" si="6"/>
        <v>3046.641421</v>
      </c>
      <c r="C13" s="200">
        <f>'Deal Analysis'!$D$24/12*E12</f>
        <v>2675.887332</v>
      </c>
      <c r="D13" s="200">
        <f t="shared" si="1"/>
        <v>370.7540891</v>
      </c>
      <c r="E13" s="200">
        <f t="shared" si="2"/>
        <v>356414.2235</v>
      </c>
      <c r="F13" s="1"/>
      <c r="G13" s="199">
        <v>10.0</v>
      </c>
      <c r="H13" s="200">
        <f>if(AND('Deal Analysis'!$D$37*12&lt;G13,'Deal Analysis'!$D$37&gt;0),0,H12)</f>
        <v>333.3333333</v>
      </c>
      <c r="I13" s="200">
        <f>if(H13&gt;0,'Deal Analysis'!$D$35/12*K12,0)</f>
        <v>333.3333333</v>
      </c>
      <c r="J13" s="200">
        <f t="shared" si="3"/>
        <v>0</v>
      </c>
      <c r="K13" s="200">
        <f>if(AND('Deal Analysis'!$D$37*12&lt;G13,'Deal Analysis'!$D$37&gt;0),0,K12-J13)</f>
        <v>50000</v>
      </c>
      <c r="L13" s="1"/>
      <c r="M13" s="199">
        <v>10.0</v>
      </c>
      <c r="N13" s="200">
        <f>if('Deal Analysis'!D51="Yes",'Deal Analysis'!D58,0)</f>
        <v>0</v>
      </c>
      <c r="O13" s="200">
        <f t="shared" si="4"/>
        <v>0</v>
      </c>
      <c r="P13" s="200">
        <f t="shared" si="5"/>
        <v>0</v>
      </c>
      <c r="Q13" s="200">
        <f>if(AND('Deal Analysis'!$D$47*12&lt;M13,'Deal Analysis'!$D$47&gt;0),0,Q12-P13)</f>
        <v>0</v>
      </c>
      <c r="R13" s="1"/>
      <c r="S13" s="1"/>
      <c r="T13" s="1"/>
      <c r="U13" s="1"/>
      <c r="V13" s="1"/>
      <c r="W13" s="1"/>
      <c r="X13" s="1"/>
      <c r="Y13" s="1"/>
      <c r="Z13" s="1"/>
      <c r="AA13" s="1"/>
    </row>
    <row r="14">
      <c r="A14" s="199">
        <v>11.0</v>
      </c>
      <c r="B14" s="200">
        <f t="shared" si="6"/>
        <v>3046.641421</v>
      </c>
      <c r="C14" s="200">
        <f>'Deal Analysis'!$D$24/12*E13</f>
        <v>2673.106676</v>
      </c>
      <c r="D14" s="200">
        <f t="shared" si="1"/>
        <v>373.5347448</v>
      </c>
      <c r="E14" s="200">
        <f t="shared" si="2"/>
        <v>356040.6887</v>
      </c>
      <c r="F14" s="1"/>
      <c r="G14" s="199">
        <v>11.0</v>
      </c>
      <c r="H14" s="200">
        <f>if(AND('Deal Analysis'!$D$37*12&lt;G14,'Deal Analysis'!$D$37&gt;0),0,H13)</f>
        <v>333.3333333</v>
      </c>
      <c r="I14" s="200">
        <f>if(H14&gt;0,'Deal Analysis'!$D$35/12*K13,0)</f>
        <v>333.3333333</v>
      </c>
      <c r="J14" s="200">
        <f t="shared" si="3"/>
        <v>0</v>
      </c>
      <c r="K14" s="200">
        <f>if(AND('Deal Analysis'!$D$37*12&lt;G14,'Deal Analysis'!$D$37&gt;0),0,K13-J14)</f>
        <v>50000</v>
      </c>
      <c r="L14" s="1"/>
      <c r="M14" s="199">
        <v>11.0</v>
      </c>
      <c r="N14" s="200">
        <f>if('Deal Analysis'!D52="Yes",'Deal Analysis'!D59,0)</f>
        <v>0</v>
      </c>
      <c r="O14" s="200">
        <f t="shared" si="4"/>
        <v>0</v>
      </c>
      <c r="P14" s="200">
        <f t="shared" si="5"/>
        <v>0</v>
      </c>
      <c r="Q14" s="200">
        <f>if(AND('Deal Analysis'!$D$47*12&lt;M14,'Deal Analysis'!$D$47&gt;0),0,Q13-P14)</f>
        <v>0</v>
      </c>
      <c r="R14" s="1"/>
      <c r="S14" s="1"/>
      <c r="T14" s="1"/>
      <c r="U14" s="1"/>
      <c r="V14" s="1"/>
      <c r="W14" s="1"/>
      <c r="X14" s="1"/>
      <c r="Y14" s="1"/>
      <c r="Z14" s="1"/>
      <c r="AA14" s="1"/>
    </row>
    <row r="15">
      <c r="A15" s="199">
        <v>12.0</v>
      </c>
      <c r="B15" s="200">
        <f t="shared" si="6"/>
        <v>3046.641421</v>
      </c>
      <c r="C15" s="200">
        <f>'Deal Analysis'!$D$24/12*E14</f>
        <v>2670.305166</v>
      </c>
      <c r="D15" s="200">
        <f t="shared" si="1"/>
        <v>376.3362554</v>
      </c>
      <c r="E15" s="200">
        <f t="shared" si="2"/>
        <v>355664.3525</v>
      </c>
      <c r="F15" s="1"/>
      <c r="G15" s="199">
        <v>12.0</v>
      </c>
      <c r="H15" s="200">
        <f>if(AND('Deal Analysis'!$D$37*12&lt;G15,'Deal Analysis'!$D$37&gt;0),0,H14)</f>
        <v>333.3333333</v>
      </c>
      <c r="I15" s="200">
        <f>if(H15&gt;0,'Deal Analysis'!$D$35/12*K14,0)</f>
        <v>333.3333333</v>
      </c>
      <c r="J15" s="200">
        <f t="shared" si="3"/>
        <v>0</v>
      </c>
      <c r="K15" s="200">
        <f>if(AND('Deal Analysis'!$D$37*12&lt;G15,'Deal Analysis'!$D$37&gt;0),0,K14-J15)</f>
        <v>50000</v>
      </c>
      <c r="L15" s="1"/>
      <c r="M15" s="199">
        <v>12.0</v>
      </c>
      <c r="N15" s="200">
        <f>if('Deal Analysis'!D53="Yes",'Deal Analysis'!D60,0)</f>
        <v>0</v>
      </c>
      <c r="O15" s="200">
        <f t="shared" si="4"/>
        <v>0</v>
      </c>
      <c r="P15" s="200">
        <f t="shared" si="5"/>
        <v>0</v>
      </c>
      <c r="Q15" s="200">
        <f>if(AND('Deal Analysis'!$D$47*12&lt;M15,'Deal Analysis'!$D$47&gt;0),0,Q14-P15)</f>
        <v>0</v>
      </c>
      <c r="R15" s="1"/>
      <c r="S15" s="1"/>
      <c r="T15" s="1"/>
      <c r="U15" s="1"/>
      <c r="V15" s="1"/>
      <c r="W15" s="1"/>
      <c r="X15" s="1"/>
      <c r="Y15" s="1"/>
      <c r="Z15" s="1"/>
      <c r="AA15" s="1"/>
    </row>
    <row r="16">
      <c r="A16" s="199">
        <v>13.0</v>
      </c>
      <c r="B16" s="200">
        <f t="shared" si="6"/>
        <v>3046.641421</v>
      </c>
      <c r="C16" s="200">
        <f>'Deal Analysis'!$D$24/12*E15</f>
        <v>2667.482644</v>
      </c>
      <c r="D16" s="200">
        <f t="shared" si="1"/>
        <v>379.1587773</v>
      </c>
      <c r="E16" s="200">
        <f t="shared" si="2"/>
        <v>355285.1937</v>
      </c>
      <c r="F16" s="1"/>
      <c r="G16" s="199">
        <v>13.0</v>
      </c>
      <c r="H16" s="200">
        <f>if(AND('Deal Analysis'!$D$37*12&lt;G16,'Deal Analysis'!$D$37&gt;0),0,H15)</f>
        <v>333.3333333</v>
      </c>
      <c r="I16" s="200">
        <f>if(H16&gt;0,'Deal Analysis'!$D$35/12*K15,0)</f>
        <v>333.3333333</v>
      </c>
      <c r="J16" s="200">
        <f t="shared" si="3"/>
        <v>0</v>
      </c>
      <c r="K16" s="200">
        <f>if(AND('Deal Analysis'!$D$37*12&lt;G16,'Deal Analysis'!$D$37&gt;0),0,K15-J16)</f>
        <v>50000</v>
      </c>
      <c r="L16" s="1"/>
      <c r="M16" s="199">
        <v>13.0</v>
      </c>
      <c r="N16" s="200">
        <f>if('Deal Analysis'!D54="Yes",'Deal Analysis'!D61,0)</f>
        <v>0</v>
      </c>
      <c r="O16" s="200">
        <f t="shared" si="4"/>
        <v>0</v>
      </c>
      <c r="P16" s="200">
        <f t="shared" si="5"/>
        <v>0</v>
      </c>
      <c r="Q16" s="200">
        <f>if(AND('Deal Analysis'!$D$47*12&lt;M16,'Deal Analysis'!$D$47&gt;0),0,Q15-P16)</f>
        <v>0</v>
      </c>
      <c r="R16" s="1"/>
      <c r="S16" s="1"/>
      <c r="T16" s="1"/>
      <c r="U16" s="1"/>
      <c r="V16" s="1"/>
      <c r="W16" s="1"/>
      <c r="X16" s="1"/>
      <c r="Y16" s="1"/>
      <c r="Z16" s="1"/>
      <c r="AA16" s="1"/>
    </row>
    <row r="17">
      <c r="A17" s="199">
        <v>14.0</v>
      </c>
      <c r="B17" s="200">
        <f t="shared" si="6"/>
        <v>3046.641421</v>
      </c>
      <c r="C17" s="200">
        <f>'Deal Analysis'!$D$24/12*E16</f>
        <v>2664.638953</v>
      </c>
      <c r="D17" s="200">
        <f t="shared" si="1"/>
        <v>382.0024681</v>
      </c>
      <c r="E17" s="200">
        <f t="shared" si="2"/>
        <v>354903.1912</v>
      </c>
      <c r="F17" s="1"/>
      <c r="G17" s="199">
        <v>14.0</v>
      </c>
      <c r="H17" s="200">
        <f>if(AND('Deal Analysis'!$D$37*12&lt;G17,'Deal Analysis'!$D$37&gt;0),0,H16)</f>
        <v>333.3333333</v>
      </c>
      <c r="I17" s="200">
        <f>if(H17&gt;0,'Deal Analysis'!$D$35/12*K16,0)</f>
        <v>333.3333333</v>
      </c>
      <c r="J17" s="200">
        <f t="shared" si="3"/>
        <v>0</v>
      </c>
      <c r="K17" s="200">
        <f>if(AND('Deal Analysis'!$D$37*12&lt;G17,'Deal Analysis'!$D$37&gt;0),0,K16-J17)</f>
        <v>50000</v>
      </c>
      <c r="L17" s="1"/>
      <c r="M17" s="199">
        <v>14.0</v>
      </c>
      <c r="N17" s="200">
        <f>if('Deal Analysis'!D55="Yes",'Deal Analysis'!D62,0)</f>
        <v>0</v>
      </c>
      <c r="O17" s="200">
        <f t="shared" si="4"/>
        <v>0</v>
      </c>
      <c r="P17" s="200">
        <f t="shared" si="5"/>
        <v>0</v>
      </c>
      <c r="Q17" s="200">
        <f>if(AND('Deal Analysis'!$D$47*12&lt;M17,'Deal Analysis'!$D$47&gt;0),0,Q16-P17)</f>
        <v>0</v>
      </c>
      <c r="R17" s="1"/>
      <c r="S17" s="1"/>
      <c r="T17" s="1"/>
      <c r="U17" s="1"/>
      <c r="V17" s="1"/>
      <c r="W17" s="1"/>
      <c r="X17" s="1"/>
      <c r="Y17" s="1"/>
      <c r="Z17" s="1"/>
      <c r="AA17" s="1"/>
    </row>
    <row r="18">
      <c r="A18" s="199">
        <v>15.0</v>
      </c>
      <c r="B18" s="200">
        <f t="shared" si="6"/>
        <v>3046.641421</v>
      </c>
      <c r="C18" s="200">
        <f>'Deal Analysis'!$D$24/12*E17</f>
        <v>2661.773934</v>
      </c>
      <c r="D18" s="200">
        <f t="shared" si="1"/>
        <v>384.8674867</v>
      </c>
      <c r="E18" s="200">
        <f t="shared" si="2"/>
        <v>354518.3238</v>
      </c>
      <c r="F18" s="1"/>
      <c r="G18" s="199">
        <v>15.0</v>
      </c>
      <c r="H18" s="200">
        <f>if(AND('Deal Analysis'!$D$37*12&lt;G18,'Deal Analysis'!$D$37&gt;0),0,H17)</f>
        <v>333.3333333</v>
      </c>
      <c r="I18" s="200">
        <f>if(H18&gt;0,'Deal Analysis'!$D$35/12*K17,0)</f>
        <v>333.3333333</v>
      </c>
      <c r="J18" s="200">
        <f t="shared" si="3"/>
        <v>0</v>
      </c>
      <c r="K18" s="200">
        <f>if(AND('Deal Analysis'!$D$37*12&lt;G18,'Deal Analysis'!$D$37&gt;0),0,K17-J18)</f>
        <v>50000</v>
      </c>
      <c r="L18" s="1"/>
      <c r="M18" s="199">
        <v>15.0</v>
      </c>
      <c r="N18" s="200">
        <f>if('Deal Analysis'!D56="Yes",'Deal Analysis'!D63,0)</f>
        <v>0</v>
      </c>
      <c r="O18" s="200">
        <f t="shared" si="4"/>
        <v>0</v>
      </c>
      <c r="P18" s="200">
        <f t="shared" si="5"/>
        <v>0</v>
      </c>
      <c r="Q18" s="200">
        <f>if(AND('Deal Analysis'!$D$47*12&lt;M18,'Deal Analysis'!$D$47&gt;0),0,Q17-P18)</f>
        <v>0</v>
      </c>
      <c r="R18" s="1"/>
      <c r="S18" s="1"/>
      <c r="T18" s="1"/>
      <c r="U18" s="1"/>
      <c r="V18" s="1"/>
      <c r="W18" s="1"/>
      <c r="X18" s="1"/>
      <c r="Y18" s="1"/>
      <c r="Z18" s="1"/>
      <c r="AA18" s="1"/>
    </row>
    <row r="19">
      <c r="A19" s="199">
        <v>16.0</v>
      </c>
      <c r="B19" s="200">
        <f t="shared" si="6"/>
        <v>3046.641421</v>
      </c>
      <c r="C19" s="200">
        <f>'Deal Analysis'!$D$24/12*E18</f>
        <v>2658.887428</v>
      </c>
      <c r="D19" s="200">
        <f t="shared" si="1"/>
        <v>387.7539928</v>
      </c>
      <c r="E19" s="200">
        <f t="shared" si="2"/>
        <v>354130.5698</v>
      </c>
      <c r="F19" s="1"/>
      <c r="G19" s="199">
        <v>16.0</v>
      </c>
      <c r="H19" s="200">
        <f>if(AND('Deal Analysis'!$D$37*12&lt;G19,'Deal Analysis'!$D$37&gt;0),0,H18)</f>
        <v>333.3333333</v>
      </c>
      <c r="I19" s="200">
        <f>if(H19&gt;0,'Deal Analysis'!$D$35/12*K18,0)</f>
        <v>333.3333333</v>
      </c>
      <c r="J19" s="200">
        <f t="shared" si="3"/>
        <v>0</v>
      </c>
      <c r="K19" s="200">
        <f>if(AND('Deal Analysis'!$D$37*12&lt;G19,'Deal Analysis'!$D$37&gt;0),0,K18-J19)</f>
        <v>50000</v>
      </c>
      <c r="L19" s="1"/>
      <c r="M19" s="199">
        <v>16.0</v>
      </c>
      <c r="N19" s="200">
        <f>if('Deal Analysis'!D57="Yes",'Deal Analysis'!D64,0)</f>
        <v>0</v>
      </c>
      <c r="O19" s="200">
        <f t="shared" si="4"/>
        <v>0</v>
      </c>
      <c r="P19" s="200">
        <f t="shared" si="5"/>
        <v>0</v>
      </c>
      <c r="Q19" s="200">
        <f>if(AND('Deal Analysis'!$D$47*12&lt;M19,'Deal Analysis'!$D$47&gt;0),0,Q18-P19)</f>
        <v>0</v>
      </c>
      <c r="R19" s="1"/>
      <c r="S19" s="1"/>
      <c r="T19" s="1"/>
      <c r="U19" s="1"/>
      <c r="V19" s="1"/>
      <c r="W19" s="1"/>
      <c r="X19" s="1"/>
      <c r="Y19" s="1"/>
      <c r="Z19" s="1"/>
      <c r="AA19" s="1"/>
    </row>
    <row r="20">
      <c r="A20" s="199">
        <v>17.0</v>
      </c>
      <c r="B20" s="200">
        <f t="shared" si="6"/>
        <v>3046.641421</v>
      </c>
      <c r="C20" s="200">
        <f>'Deal Analysis'!$D$24/12*E19</f>
        <v>2655.979273</v>
      </c>
      <c r="D20" s="200">
        <f t="shared" si="1"/>
        <v>390.6621477</v>
      </c>
      <c r="E20" s="200">
        <f t="shared" si="2"/>
        <v>353739.9076</v>
      </c>
      <c r="F20" s="1"/>
      <c r="G20" s="199">
        <v>17.0</v>
      </c>
      <c r="H20" s="200">
        <f>if(AND('Deal Analysis'!$D$37*12&lt;G20,'Deal Analysis'!$D$37&gt;0),0,H19)</f>
        <v>333.3333333</v>
      </c>
      <c r="I20" s="200">
        <f>if(H20&gt;0,'Deal Analysis'!$D$35/12*K19,0)</f>
        <v>333.3333333</v>
      </c>
      <c r="J20" s="200">
        <f t="shared" si="3"/>
        <v>0</v>
      </c>
      <c r="K20" s="200">
        <f>if(AND('Deal Analysis'!$D$37*12&lt;G20,'Deal Analysis'!$D$37&gt;0),0,K19-J20)</f>
        <v>50000</v>
      </c>
      <c r="L20" s="1"/>
      <c r="M20" s="199">
        <v>17.0</v>
      </c>
      <c r="N20" s="200">
        <f>if('Deal Analysis'!D58="Yes",'Deal Analysis'!D65,0)</f>
        <v>0</v>
      </c>
      <c r="O20" s="200">
        <f t="shared" si="4"/>
        <v>0</v>
      </c>
      <c r="P20" s="200">
        <f t="shared" si="5"/>
        <v>0</v>
      </c>
      <c r="Q20" s="200">
        <f>if(AND('Deal Analysis'!$D$47*12&lt;M20,'Deal Analysis'!$D$47&gt;0),0,Q19-P20)</f>
        <v>0</v>
      </c>
      <c r="R20" s="1"/>
      <c r="S20" s="1"/>
      <c r="T20" s="1"/>
      <c r="U20" s="1"/>
      <c r="V20" s="1"/>
      <c r="W20" s="1"/>
      <c r="X20" s="1"/>
      <c r="Y20" s="1"/>
      <c r="Z20" s="1"/>
      <c r="AA20" s="1"/>
    </row>
    <row r="21">
      <c r="A21" s="199">
        <v>18.0</v>
      </c>
      <c r="B21" s="200">
        <f t="shared" si="6"/>
        <v>3046.641421</v>
      </c>
      <c r="C21" s="200">
        <f>'Deal Analysis'!$D$24/12*E20</f>
        <v>2653.049307</v>
      </c>
      <c r="D21" s="200">
        <f t="shared" si="1"/>
        <v>393.5921139</v>
      </c>
      <c r="E21" s="200">
        <f t="shared" si="2"/>
        <v>353346.3155</v>
      </c>
      <c r="F21" s="1"/>
      <c r="G21" s="199">
        <v>18.0</v>
      </c>
      <c r="H21" s="200">
        <f>if(AND('Deal Analysis'!$D$37*12&lt;G21,'Deal Analysis'!$D$37&gt;0),0,H20)</f>
        <v>333.3333333</v>
      </c>
      <c r="I21" s="200">
        <f>if(H21&gt;0,'Deal Analysis'!$D$35/12*K20,0)</f>
        <v>333.3333333</v>
      </c>
      <c r="J21" s="200">
        <f t="shared" si="3"/>
        <v>0</v>
      </c>
      <c r="K21" s="200">
        <f>if(AND('Deal Analysis'!$D$37*12&lt;G21,'Deal Analysis'!$D$37&gt;0),0,K20-J21)</f>
        <v>50000</v>
      </c>
      <c r="L21" s="1"/>
      <c r="M21" s="199">
        <v>18.0</v>
      </c>
      <c r="N21" s="200">
        <f>if('Deal Analysis'!D59="Yes",'Deal Analysis'!D66,0)</f>
        <v>0</v>
      </c>
      <c r="O21" s="200">
        <f t="shared" si="4"/>
        <v>0</v>
      </c>
      <c r="P21" s="200">
        <f t="shared" si="5"/>
        <v>0</v>
      </c>
      <c r="Q21" s="200">
        <f>if(AND('Deal Analysis'!$D$47*12&lt;M21,'Deal Analysis'!$D$47&gt;0),0,Q20-P21)</f>
        <v>0</v>
      </c>
      <c r="R21" s="1"/>
      <c r="S21" s="1"/>
      <c r="T21" s="1"/>
      <c r="U21" s="1"/>
      <c r="V21" s="1"/>
      <c r="W21" s="1"/>
      <c r="X21" s="1"/>
      <c r="Y21" s="1"/>
      <c r="Z21" s="1"/>
      <c r="AA21" s="1"/>
    </row>
    <row r="22">
      <c r="A22" s="199">
        <v>19.0</v>
      </c>
      <c r="B22" s="200">
        <f t="shared" si="6"/>
        <v>3046.641421</v>
      </c>
      <c r="C22" s="200">
        <f>'Deal Analysis'!$D$24/12*E21</f>
        <v>2650.097366</v>
      </c>
      <c r="D22" s="200">
        <f t="shared" si="1"/>
        <v>396.5440547</v>
      </c>
      <c r="E22" s="200">
        <f t="shared" si="2"/>
        <v>352949.7715</v>
      </c>
      <c r="F22" s="1"/>
      <c r="G22" s="199">
        <v>19.0</v>
      </c>
      <c r="H22" s="200">
        <f>if(AND('Deal Analysis'!$D$37*12&lt;G22,'Deal Analysis'!$D$37&gt;0),0,H21)</f>
        <v>333.3333333</v>
      </c>
      <c r="I22" s="200">
        <f>if(H22&gt;0,'Deal Analysis'!$D$35/12*K21,0)</f>
        <v>333.3333333</v>
      </c>
      <c r="J22" s="200">
        <f t="shared" si="3"/>
        <v>0</v>
      </c>
      <c r="K22" s="200">
        <f>if(AND('Deal Analysis'!$D$37*12&lt;G22,'Deal Analysis'!$D$37&gt;0),0,K21-J22)</f>
        <v>50000</v>
      </c>
      <c r="L22" s="1"/>
      <c r="M22" s="199">
        <v>19.0</v>
      </c>
      <c r="N22" s="200">
        <f>if('Deal Analysis'!D60="Yes",'Deal Analysis'!D67,0)</f>
        <v>0</v>
      </c>
      <c r="O22" s="200">
        <f t="shared" si="4"/>
        <v>0</v>
      </c>
      <c r="P22" s="200">
        <f t="shared" si="5"/>
        <v>0</v>
      </c>
      <c r="Q22" s="200">
        <f>if(AND('Deal Analysis'!$D$47*12&lt;M22,'Deal Analysis'!$D$47&gt;0),0,Q21-P22)</f>
        <v>0</v>
      </c>
      <c r="R22" s="1"/>
      <c r="S22" s="1"/>
      <c r="T22" s="1"/>
      <c r="U22" s="1"/>
      <c r="V22" s="1"/>
      <c r="W22" s="1"/>
      <c r="X22" s="1"/>
      <c r="Y22" s="1"/>
      <c r="Z22" s="1"/>
      <c r="AA22" s="1"/>
    </row>
    <row r="23">
      <c r="A23" s="199">
        <v>20.0</v>
      </c>
      <c r="B23" s="200">
        <f t="shared" si="6"/>
        <v>3046.641421</v>
      </c>
      <c r="C23" s="200">
        <f>'Deal Analysis'!$D$24/12*E22</f>
        <v>2647.123286</v>
      </c>
      <c r="D23" s="200">
        <f t="shared" si="1"/>
        <v>399.5181351</v>
      </c>
      <c r="E23" s="200">
        <f t="shared" si="2"/>
        <v>352550.2533</v>
      </c>
      <c r="F23" s="1"/>
      <c r="G23" s="199">
        <v>20.0</v>
      </c>
      <c r="H23" s="200">
        <f>if(AND('Deal Analysis'!$D$37*12&lt;G23,'Deal Analysis'!$D$37&gt;0),0,H22)</f>
        <v>333.3333333</v>
      </c>
      <c r="I23" s="200">
        <f>if(H23&gt;0,'Deal Analysis'!$D$35/12*K22,0)</f>
        <v>333.3333333</v>
      </c>
      <c r="J23" s="200">
        <f t="shared" si="3"/>
        <v>0</v>
      </c>
      <c r="K23" s="200">
        <f>if(AND('Deal Analysis'!$D$37*12&lt;G23,'Deal Analysis'!$D$37&gt;0),0,K22-J23)</f>
        <v>50000</v>
      </c>
      <c r="L23" s="1"/>
      <c r="M23" s="199">
        <v>20.0</v>
      </c>
      <c r="N23" s="200">
        <f>if('Deal Analysis'!D61="Yes",'Deal Analysis'!D68,0)</f>
        <v>0</v>
      </c>
      <c r="O23" s="200">
        <f t="shared" si="4"/>
        <v>0</v>
      </c>
      <c r="P23" s="200">
        <f t="shared" si="5"/>
        <v>0</v>
      </c>
      <c r="Q23" s="200">
        <f>if(AND('Deal Analysis'!$D$47*12&lt;M23,'Deal Analysis'!$D$47&gt;0),0,Q22-P23)</f>
        <v>0</v>
      </c>
      <c r="R23" s="1"/>
      <c r="S23" s="1"/>
      <c r="T23" s="1"/>
      <c r="U23" s="1"/>
      <c r="V23" s="1"/>
      <c r="W23" s="1"/>
      <c r="X23" s="1"/>
      <c r="Y23" s="1"/>
      <c r="Z23" s="1"/>
      <c r="AA23" s="1"/>
    </row>
    <row r="24">
      <c r="A24" s="199">
        <v>21.0</v>
      </c>
      <c r="B24" s="200">
        <f t="shared" si="6"/>
        <v>3046.641421</v>
      </c>
      <c r="C24" s="200">
        <f>'Deal Analysis'!$D$24/12*E23</f>
        <v>2644.1269</v>
      </c>
      <c r="D24" s="200">
        <f t="shared" si="1"/>
        <v>402.5145211</v>
      </c>
      <c r="E24" s="200">
        <f t="shared" si="2"/>
        <v>352147.7388</v>
      </c>
      <c r="F24" s="1"/>
      <c r="G24" s="199">
        <v>21.0</v>
      </c>
      <c r="H24" s="200">
        <f>if(AND('Deal Analysis'!$D$37*12&lt;G24,'Deal Analysis'!$D$37&gt;0),0,H23)</f>
        <v>333.3333333</v>
      </c>
      <c r="I24" s="200">
        <f>if(H24&gt;0,'Deal Analysis'!$D$35/12*K23,0)</f>
        <v>333.3333333</v>
      </c>
      <c r="J24" s="200">
        <f t="shared" si="3"/>
        <v>0</v>
      </c>
      <c r="K24" s="200">
        <f>if(AND('Deal Analysis'!$D$37*12&lt;G24,'Deal Analysis'!$D$37&gt;0),0,K23-J24)</f>
        <v>50000</v>
      </c>
      <c r="L24" s="1"/>
      <c r="M24" s="199">
        <v>21.0</v>
      </c>
      <c r="N24" s="200">
        <f>if('Deal Analysis'!D62="Yes",'Deal Analysis'!D69,0)</f>
        <v>0</v>
      </c>
      <c r="O24" s="200">
        <f t="shared" si="4"/>
        <v>0</v>
      </c>
      <c r="P24" s="200">
        <f t="shared" si="5"/>
        <v>0</v>
      </c>
      <c r="Q24" s="200">
        <f>if(AND('Deal Analysis'!$D$47*12&lt;M24,'Deal Analysis'!$D$47&gt;0),0,Q23-P24)</f>
        <v>0</v>
      </c>
      <c r="R24" s="1"/>
      <c r="S24" s="1"/>
      <c r="T24" s="1"/>
      <c r="U24" s="1"/>
      <c r="V24" s="1"/>
      <c r="W24" s="1"/>
      <c r="X24" s="1"/>
      <c r="Y24" s="1"/>
      <c r="Z24" s="1"/>
      <c r="AA24" s="1"/>
    </row>
    <row r="25">
      <c r="A25" s="199">
        <v>22.0</v>
      </c>
      <c r="B25" s="200">
        <f t="shared" si="6"/>
        <v>3046.641421</v>
      </c>
      <c r="C25" s="200">
        <f>'Deal Analysis'!$D$24/12*E24</f>
        <v>2641.108041</v>
      </c>
      <c r="D25" s="200">
        <f t="shared" si="1"/>
        <v>405.53338</v>
      </c>
      <c r="E25" s="200">
        <f t="shared" si="2"/>
        <v>351742.2054</v>
      </c>
      <c r="F25" s="1"/>
      <c r="G25" s="199">
        <v>22.0</v>
      </c>
      <c r="H25" s="200">
        <f>if(AND('Deal Analysis'!$D$37*12&lt;G25,'Deal Analysis'!$D$37&gt;0),0,H24)</f>
        <v>333.3333333</v>
      </c>
      <c r="I25" s="200">
        <f>if(H25&gt;0,'Deal Analysis'!$D$35/12*K24,0)</f>
        <v>333.3333333</v>
      </c>
      <c r="J25" s="200">
        <f t="shared" si="3"/>
        <v>0</v>
      </c>
      <c r="K25" s="200">
        <f>if(AND('Deal Analysis'!$D$37*12&lt;G25,'Deal Analysis'!$D$37&gt;0),0,K24-J25)</f>
        <v>50000</v>
      </c>
      <c r="L25" s="1"/>
      <c r="M25" s="199">
        <v>22.0</v>
      </c>
      <c r="N25" s="200">
        <f>if('Deal Analysis'!D63="Yes",'Deal Analysis'!D70,0)</f>
        <v>0</v>
      </c>
      <c r="O25" s="200">
        <f t="shared" si="4"/>
        <v>0</v>
      </c>
      <c r="P25" s="200">
        <f t="shared" si="5"/>
        <v>0</v>
      </c>
      <c r="Q25" s="200">
        <f>if(AND('Deal Analysis'!$D$47*12&lt;M25,'Deal Analysis'!$D$47&gt;0),0,Q24-P25)</f>
        <v>0</v>
      </c>
      <c r="R25" s="1"/>
      <c r="S25" s="1"/>
      <c r="T25" s="1"/>
      <c r="U25" s="1"/>
      <c r="V25" s="1"/>
      <c r="W25" s="1"/>
      <c r="X25" s="1"/>
      <c r="Y25" s="1"/>
      <c r="Z25" s="1"/>
      <c r="AA25" s="1"/>
    </row>
    <row r="26">
      <c r="A26" s="199">
        <v>23.0</v>
      </c>
      <c r="B26" s="200">
        <f t="shared" si="6"/>
        <v>3046.641421</v>
      </c>
      <c r="C26" s="200">
        <f>'Deal Analysis'!$D$24/12*E25</f>
        <v>2638.066541</v>
      </c>
      <c r="D26" s="200">
        <f t="shared" si="1"/>
        <v>408.5748804</v>
      </c>
      <c r="E26" s="200">
        <f t="shared" si="2"/>
        <v>351333.6305</v>
      </c>
      <c r="F26" s="1"/>
      <c r="G26" s="199">
        <v>23.0</v>
      </c>
      <c r="H26" s="200">
        <f>if(AND('Deal Analysis'!$D$37*12&lt;G26,'Deal Analysis'!$D$37&gt;0),0,H25)</f>
        <v>333.3333333</v>
      </c>
      <c r="I26" s="200">
        <f>if(H26&gt;0,'Deal Analysis'!$D$35/12*K25,0)</f>
        <v>333.3333333</v>
      </c>
      <c r="J26" s="200">
        <f t="shared" si="3"/>
        <v>0</v>
      </c>
      <c r="K26" s="200">
        <f>if(AND('Deal Analysis'!$D$37*12&lt;G26,'Deal Analysis'!$D$37&gt;0),0,K25-J26)</f>
        <v>50000</v>
      </c>
      <c r="L26" s="1"/>
      <c r="M26" s="199">
        <v>23.0</v>
      </c>
      <c r="N26" s="200">
        <f>if('Deal Analysis'!D64="Yes",'Deal Analysis'!D71,0)</f>
        <v>0</v>
      </c>
      <c r="O26" s="200">
        <f t="shared" si="4"/>
        <v>0</v>
      </c>
      <c r="P26" s="200">
        <f t="shared" si="5"/>
        <v>0</v>
      </c>
      <c r="Q26" s="200">
        <f>if(AND('Deal Analysis'!$D$47*12&lt;M26,'Deal Analysis'!$D$47&gt;0),0,Q25-P26)</f>
        <v>0</v>
      </c>
      <c r="R26" s="1"/>
      <c r="S26" s="1"/>
      <c r="T26" s="1"/>
      <c r="U26" s="1"/>
      <c r="V26" s="1"/>
      <c r="W26" s="1"/>
      <c r="X26" s="1"/>
      <c r="Y26" s="1"/>
      <c r="Z26" s="1"/>
      <c r="AA26" s="1"/>
    </row>
    <row r="27">
      <c r="A27" s="199">
        <v>24.0</v>
      </c>
      <c r="B27" s="200">
        <f t="shared" si="6"/>
        <v>3046.641421</v>
      </c>
      <c r="C27" s="200">
        <f>'Deal Analysis'!$D$24/12*E26</f>
        <v>2635.002229</v>
      </c>
      <c r="D27" s="200">
        <f t="shared" si="1"/>
        <v>411.639192</v>
      </c>
      <c r="E27" s="200">
        <f t="shared" si="2"/>
        <v>350921.9913</v>
      </c>
      <c r="F27" s="1"/>
      <c r="G27" s="199">
        <v>24.0</v>
      </c>
      <c r="H27" s="200">
        <f>if(AND('Deal Analysis'!$D$37*12&lt;G27,'Deal Analysis'!$D$37&gt;0),0,H26)</f>
        <v>333.3333333</v>
      </c>
      <c r="I27" s="200">
        <f>if(H27&gt;0,'Deal Analysis'!$D$35/12*K26,0)</f>
        <v>333.3333333</v>
      </c>
      <c r="J27" s="200">
        <f t="shared" si="3"/>
        <v>0</v>
      </c>
      <c r="K27" s="200">
        <f>if(AND('Deal Analysis'!$D$37*12&lt;G27,'Deal Analysis'!$D$37&gt;0),0,K26-J27)</f>
        <v>50000</v>
      </c>
      <c r="L27" s="1"/>
      <c r="M27" s="199">
        <v>24.0</v>
      </c>
      <c r="N27" s="200">
        <f>if('Deal Analysis'!D65="Yes",'Deal Analysis'!D72,0)</f>
        <v>0</v>
      </c>
      <c r="O27" s="200">
        <f t="shared" si="4"/>
        <v>0</v>
      </c>
      <c r="P27" s="200">
        <f t="shared" si="5"/>
        <v>0</v>
      </c>
      <c r="Q27" s="200">
        <f>if(AND('Deal Analysis'!$D$47*12&lt;M27,'Deal Analysis'!$D$47&gt;0),0,Q26-P27)</f>
        <v>0</v>
      </c>
      <c r="R27" s="1"/>
      <c r="S27" s="1"/>
      <c r="T27" s="1"/>
      <c r="U27" s="1"/>
      <c r="V27" s="1"/>
      <c r="W27" s="1"/>
      <c r="X27" s="1"/>
      <c r="Y27" s="1"/>
      <c r="Z27" s="1"/>
      <c r="AA27" s="1"/>
    </row>
    <row r="28">
      <c r="A28" s="199">
        <v>25.0</v>
      </c>
      <c r="B28" s="200">
        <f t="shared" si="6"/>
        <v>3046.641421</v>
      </c>
      <c r="C28" s="200">
        <f>'Deal Analysis'!$D$24/12*E27</f>
        <v>2631.914935</v>
      </c>
      <c r="D28" s="200">
        <f t="shared" si="1"/>
        <v>414.7264859</v>
      </c>
      <c r="E28" s="200">
        <f t="shared" si="2"/>
        <v>350507.2649</v>
      </c>
      <c r="F28" s="1"/>
      <c r="G28" s="199">
        <v>25.0</v>
      </c>
      <c r="H28" s="200">
        <f>if(AND('Deal Analysis'!$D$37*12&lt;G28,'Deal Analysis'!$D$37&gt;0),0,H27)</f>
        <v>333.3333333</v>
      </c>
      <c r="I28" s="200">
        <f>if(H28&gt;0,'Deal Analysis'!$D$35/12*K27,0)</f>
        <v>333.3333333</v>
      </c>
      <c r="J28" s="200">
        <f t="shared" si="3"/>
        <v>0</v>
      </c>
      <c r="K28" s="200">
        <f>if(AND('Deal Analysis'!$D$37*12&lt;G28,'Deal Analysis'!$D$37&gt;0),0,K27-J28)</f>
        <v>50000</v>
      </c>
      <c r="L28" s="1"/>
      <c r="M28" s="199">
        <v>25.0</v>
      </c>
      <c r="N28" s="200">
        <f>if('Deal Analysis'!D66="Yes",'Deal Analysis'!D73,0)</f>
        <v>0</v>
      </c>
      <c r="O28" s="200">
        <f t="shared" si="4"/>
        <v>0</v>
      </c>
      <c r="P28" s="200">
        <f t="shared" si="5"/>
        <v>0</v>
      </c>
      <c r="Q28" s="200">
        <f>if(AND('Deal Analysis'!$D$47*12&lt;M28,'Deal Analysis'!$D$47&gt;0),0,Q27-P28)</f>
        <v>0</v>
      </c>
      <c r="R28" s="1"/>
      <c r="S28" s="1"/>
      <c r="T28" s="1"/>
      <c r="U28" s="1"/>
      <c r="V28" s="1"/>
      <c r="W28" s="1"/>
      <c r="X28" s="1"/>
      <c r="Y28" s="1"/>
      <c r="Z28" s="1"/>
      <c r="AA28" s="1"/>
    </row>
    <row r="29">
      <c r="A29" s="199">
        <v>26.0</v>
      </c>
      <c r="B29" s="200">
        <f t="shared" si="6"/>
        <v>3046.641421</v>
      </c>
      <c r="C29" s="200">
        <f>'Deal Analysis'!$D$24/12*E28</f>
        <v>2628.804486</v>
      </c>
      <c r="D29" s="200">
        <f t="shared" si="1"/>
        <v>417.8369346</v>
      </c>
      <c r="E29" s="200">
        <f t="shared" si="2"/>
        <v>350089.4279</v>
      </c>
      <c r="F29" s="1"/>
      <c r="G29" s="199">
        <v>26.0</v>
      </c>
      <c r="H29" s="200">
        <f>if(AND('Deal Analysis'!$D$37*12&lt;G29,'Deal Analysis'!$D$37&gt;0),0,H28)</f>
        <v>333.3333333</v>
      </c>
      <c r="I29" s="200">
        <f>if(H29&gt;0,'Deal Analysis'!$D$35/12*K28,0)</f>
        <v>333.3333333</v>
      </c>
      <c r="J29" s="200">
        <f t="shared" si="3"/>
        <v>0</v>
      </c>
      <c r="K29" s="200">
        <f>if(AND('Deal Analysis'!$D$37*12&lt;G29,'Deal Analysis'!$D$37&gt;0),0,K28-J29)</f>
        <v>50000</v>
      </c>
      <c r="L29" s="1"/>
      <c r="M29" s="199">
        <v>26.0</v>
      </c>
      <c r="N29" s="200">
        <f>if('Deal Analysis'!D67="Yes",'Deal Analysis'!D74,0)</f>
        <v>0</v>
      </c>
      <c r="O29" s="200">
        <f t="shared" si="4"/>
        <v>0</v>
      </c>
      <c r="P29" s="200">
        <f t="shared" si="5"/>
        <v>0</v>
      </c>
      <c r="Q29" s="200">
        <f>if(AND('Deal Analysis'!$D$47*12&lt;M29,'Deal Analysis'!$D$47&gt;0),0,Q28-P29)</f>
        <v>0</v>
      </c>
      <c r="R29" s="1"/>
      <c r="S29" s="1"/>
      <c r="T29" s="1"/>
      <c r="U29" s="1"/>
      <c r="V29" s="1"/>
      <c r="W29" s="1"/>
      <c r="X29" s="1"/>
      <c r="Y29" s="1"/>
      <c r="Z29" s="1"/>
      <c r="AA29" s="1"/>
    </row>
    <row r="30">
      <c r="A30" s="199">
        <v>27.0</v>
      </c>
      <c r="B30" s="200">
        <f t="shared" si="6"/>
        <v>3046.641421</v>
      </c>
      <c r="C30" s="200">
        <f>'Deal Analysis'!$D$24/12*E29</f>
        <v>2625.670709</v>
      </c>
      <c r="D30" s="200">
        <f t="shared" si="1"/>
        <v>420.9707116</v>
      </c>
      <c r="E30" s="200">
        <f t="shared" si="2"/>
        <v>349668.4572</v>
      </c>
      <c r="F30" s="1"/>
      <c r="G30" s="199">
        <v>27.0</v>
      </c>
      <c r="H30" s="200">
        <f>if(AND('Deal Analysis'!$D$37*12&lt;G30,'Deal Analysis'!$D$37&gt;0),0,H29)</f>
        <v>333.3333333</v>
      </c>
      <c r="I30" s="200">
        <f>if(H30&gt;0,'Deal Analysis'!$D$35/12*K29,0)</f>
        <v>333.3333333</v>
      </c>
      <c r="J30" s="200">
        <f t="shared" si="3"/>
        <v>0</v>
      </c>
      <c r="K30" s="200">
        <f>if(AND('Deal Analysis'!$D$37*12&lt;G30,'Deal Analysis'!$D$37&gt;0),0,K29-J30)</f>
        <v>50000</v>
      </c>
      <c r="L30" s="1"/>
      <c r="M30" s="199">
        <v>27.0</v>
      </c>
      <c r="N30" s="200">
        <f>if('Deal Analysis'!D68="Yes",'Deal Analysis'!D75,0)</f>
        <v>0</v>
      </c>
      <c r="O30" s="200">
        <f t="shared" si="4"/>
        <v>0</v>
      </c>
      <c r="P30" s="200">
        <f t="shared" si="5"/>
        <v>0</v>
      </c>
      <c r="Q30" s="200">
        <f>if(AND('Deal Analysis'!$D$47*12&lt;M30,'Deal Analysis'!$D$47&gt;0),0,Q29-P30)</f>
        <v>0</v>
      </c>
      <c r="R30" s="1"/>
      <c r="S30" s="1"/>
      <c r="T30" s="1"/>
      <c r="U30" s="1"/>
      <c r="V30" s="1"/>
      <c r="W30" s="1"/>
      <c r="X30" s="1"/>
      <c r="Y30" s="1"/>
      <c r="Z30" s="1"/>
      <c r="AA30" s="1"/>
    </row>
    <row r="31">
      <c r="A31" s="199">
        <v>28.0</v>
      </c>
      <c r="B31" s="200">
        <f t="shared" si="6"/>
        <v>3046.641421</v>
      </c>
      <c r="C31" s="200">
        <f>'Deal Analysis'!$D$24/12*E30</f>
        <v>2622.513429</v>
      </c>
      <c r="D31" s="200">
        <f t="shared" si="1"/>
        <v>424.1279919</v>
      </c>
      <c r="E31" s="200">
        <f t="shared" si="2"/>
        <v>349244.3292</v>
      </c>
      <c r="F31" s="1"/>
      <c r="G31" s="199">
        <v>28.0</v>
      </c>
      <c r="H31" s="200">
        <f>if(AND('Deal Analysis'!$D$37*12&lt;G31,'Deal Analysis'!$D$37&gt;0),0,H30)</f>
        <v>333.3333333</v>
      </c>
      <c r="I31" s="200">
        <f>if(H31&gt;0,'Deal Analysis'!$D$35/12*K30,0)</f>
        <v>333.3333333</v>
      </c>
      <c r="J31" s="200">
        <f t="shared" si="3"/>
        <v>0</v>
      </c>
      <c r="K31" s="200">
        <f>if(AND('Deal Analysis'!$D$37*12&lt;G31,'Deal Analysis'!$D$37&gt;0),0,K30-J31)</f>
        <v>50000</v>
      </c>
      <c r="L31" s="1"/>
      <c r="M31" s="199">
        <v>28.0</v>
      </c>
      <c r="N31" s="200">
        <f>if('Deal Analysis'!D69="Yes",'Deal Analysis'!D76,0)</f>
        <v>0</v>
      </c>
      <c r="O31" s="200">
        <f t="shared" si="4"/>
        <v>0</v>
      </c>
      <c r="P31" s="200">
        <f t="shared" si="5"/>
        <v>0</v>
      </c>
      <c r="Q31" s="200">
        <f>if(AND('Deal Analysis'!$D$47*12&lt;M31,'Deal Analysis'!$D$47&gt;0),0,Q30-P31)</f>
        <v>0</v>
      </c>
      <c r="R31" s="1"/>
      <c r="S31" s="1"/>
      <c r="T31" s="1"/>
      <c r="U31" s="1"/>
      <c r="V31" s="1"/>
      <c r="W31" s="1"/>
      <c r="X31" s="1"/>
      <c r="Y31" s="1"/>
      <c r="Z31" s="1"/>
      <c r="AA31" s="1"/>
    </row>
    <row r="32">
      <c r="A32" s="199">
        <v>29.0</v>
      </c>
      <c r="B32" s="200">
        <f t="shared" si="6"/>
        <v>3046.641421</v>
      </c>
      <c r="C32" s="200">
        <f>'Deal Analysis'!$D$24/12*E31</f>
        <v>2619.332469</v>
      </c>
      <c r="D32" s="200">
        <f t="shared" si="1"/>
        <v>427.3089519</v>
      </c>
      <c r="E32" s="200">
        <f t="shared" si="2"/>
        <v>348817.0203</v>
      </c>
      <c r="F32" s="1"/>
      <c r="G32" s="199">
        <v>29.0</v>
      </c>
      <c r="H32" s="200">
        <f>if(AND('Deal Analysis'!$D$37*12&lt;G32,'Deal Analysis'!$D$37&gt;0),0,H31)</f>
        <v>333.3333333</v>
      </c>
      <c r="I32" s="200">
        <f>if(H32&gt;0,'Deal Analysis'!$D$35/12*K31,0)</f>
        <v>333.3333333</v>
      </c>
      <c r="J32" s="200">
        <f t="shared" si="3"/>
        <v>0</v>
      </c>
      <c r="K32" s="200">
        <f>if(AND('Deal Analysis'!$D$37*12&lt;G32,'Deal Analysis'!$D$37&gt;0),0,K31-J32)</f>
        <v>50000</v>
      </c>
      <c r="L32" s="1"/>
      <c r="M32" s="199">
        <v>29.0</v>
      </c>
      <c r="N32" s="200">
        <f>if('Deal Analysis'!D70="Yes",'Deal Analysis'!D77,0)</f>
        <v>0</v>
      </c>
      <c r="O32" s="200">
        <f t="shared" si="4"/>
        <v>0</v>
      </c>
      <c r="P32" s="200">
        <f t="shared" si="5"/>
        <v>0</v>
      </c>
      <c r="Q32" s="200">
        <f>if(AND('Deal Analysis'!$D$47*12&lt;M32,'Deal Analysis'!$D$47&gt;0),0,Q31-P32)</f>
        <v>0</v>
      </c>
      <c r="R32" s="1"/>
      <c r="S32" s="1"/>
      <c r="T32" s="1"/>
      <c r="U32" s="1"/>
      <c r="V32" s="1"/>
      <c r="W32" s="1"/>
      <c r="X32" s="1"/>
      <c r="Y32" s="1"/>
      <c r="Z32" s="1"/>
      <c r="AA32" s="1"/>
    </row>
    <row r="33">
      <c r="A33" s="199">
        <v>30.0</v>
      </c>
      <c r="B33" s="200">
        <f t="shared" si="6"/>
        <v>3046.641421</v>
      </c>
      <c r="C33" s="200">
        <f>'Deal Analysis'!$D$24/12*E32</f>
        <v>2616.127652</v>
      </c>
      <c r="D33" s="200">
        <f t="shared" si="1"/>
        <v>430.513769</v>
      </c>
      <c r="E33" s="200">
        <f t="shared" si="2"/>
        <v>348386.5065</v>
      </c>
      <c r="F33" s="1"/>
      <c r="G33" s="199">
        <v>30.0</v>
      </c>
      <c r="H33" s="200">
        <f>if(AND('Deal Analysis'!$D$37*12&lt;G33,'Deal Analysis'!$D$37&gt;0),0,H32)</f>
        <v>333.3333333</v>
      </c>
      <c r="I33" s="200">
        <f>if(H33&gt;0,'Deal Analysis'!$D$35/12*K32,0)</f>
        <v>333.3333333</v>
      </c>
      <c r="J33" s="200">
        <f t="shared" si="3"/>
        <v>0</v>
      </c>
      <c r="K33" s="200">
        <f>if(AND('Deal Analysis'!$D$37*12&lt;G33,'Deal Analysis'!$D$37&gt;0),0,K32-J33)</f>
        <v>50000</v>
      </c>
      <c r="L33" s="1"/>
      <c r="M33" s="199">
        <v>30.0</v>
      </c>
      <c r="N33" s="200">
        <f>if('Deal Analysis'!D71="Yes",'Deal Analysis'!D78,0)</f>
        <v>0</v>
      </c>
      <c r="O33" s="200">
        <f t="shared" si="4"/>
        <v>0</v>
      </c>
      <c r="P33" s="200">
        <f t="shared" si="5"/>
        <v>0</v>
      </c>
      <c r="Q33" s="200">
        <f>if(AND('Deal Analysis'!$D$47*12&lt;M33,'Deal Analysis'!$D$47&gt;0),0,Q32-P33)</f>
        <v>0</v>
      </c>
      <c r="R33" s="1"/>
      <c r="S33" s="1"/>
      <c r="T33" s="1"/>
      <c r="U33" s="1"/>
      <c r="V33" s="1"/>
      <c r="W33" s="1"/>
      <c r="X33" s="1"/>
      <c r="Y33" s="1"/>
      <c r="Z33" s="1"/>
      <c r="AA33" s="1"/>
    </row>
    <row r="34">
      <c r="A34" s="199">
        <v>31.0</v>
      </c>
      <c r="B34" s="200">
        <f t="shared" si="6"/>
        <v>3046.641421</v>
      </c>
      <c r="C34" s="200">
        <f>'Deal Analysis'!$D$24/12*E33</f>
        <v>2612.898799</v>
      </c>
      <c r="D34" s="200">
        <f t="shared" si="1"/>
        <v>433.7426223</v>
      </c>
      <c r="E34" s="200">
        <f t="shared" si="2"/>
        <v>347952.7639</v>
      </c>
      <c r="F34" s="1"/>
      <c r="G34" s="199">
        <v>31.0</v>
      </c>
      <c r="H34" s="200">
        <f>if(AND('Deal Analysis'!$D$37*12&lt;G34,'Deal Analysis'!$D$37&gt;0),0,H33)</f>
        <v>333.3333333</v>
      </c>
      <c r="I34" s="200">
        <f>if(H34&gt;0,'Deal Analysis'!$D$35/12*K33,0)</f>
        <v>333.3333333</v>
      </c>
      <c r="J34" s="200">
        <f t="shared" si="3"/>
        <v>0</v>
      </c>
      <c r="K34" s="200">
        <f>if(AND('Deal Analysis'!$D$37*12&lt;G34,'Deal Analysis'!$D$37&gt;0),0,K33-J34)</f>
        <v>50000</v>
      </c>
      <c r="L34" s="1"/>
      <c r="M34" s="199">
        <v>31.0</v>
      </c>
      <c r="N34" s="200">
        <f>if('Deal Analysis'!D72="Yes",'Deal Analysis'!D79,0)</f>
        <v>0</v>
      </c>
      <c r="O34" s="200">
        <f t="shared" si="4"/>
        <v>0</v>
      </c>
      <c r="P34" s="200">
        <f t="shared" si="5"/>
        <v>0</v>
      </c>
      <c r="Q34" s="200">
        <f>if(AND('Deal Analysis'!$D$47*12&lt;M34,'Deal Analysis'!$D$47&gt;0),0,Q33-P34)</f>
        <v>0</v>
      </c>
      <c r="R34" s="1"/>
      <c r="S34" s="1"/>
      <c r="T34" s="1"/>
      <c r="U34" s="1"/>
      <c r="V34" s="1"/>
      <c r="W34" s="1"/>
      <c r="X34" s="1"/>
      <c r="Y34" s="1"/>
      <c r="Z34" s="1"/>
      <c r="AA34" s="1"/>
    </row>
    <row r="35">
      <c r="A35" s="199">
        <v>32.0</v>
      </c>
      <c r="B35" s="200">
        <f t="shared" si="6"/>
        <v>3046.641421</v>
      </c>
      <c r="C35" s="200">
        <f>'Deal Analysis'!$D$24/12*E34</f>
        <v>2609.645729</v>
      </c>
      <c r="D35" s="200">
        <f t="shared" si="1"/>
        <v>436.9956919</v>
      </c>
      <c r="E35" s="200">
        <f t="shared" si="2"/>
        <v>347515.7682</v>
      </c>
      <c r="F35" s="1"/>
      <c r="G35" s="199">
        <v>32.0</v>
      </c>
      <c r="H35" s="200">
        <f>if(AND('Deal Analysis'!$D$37*12&lt;G35,'Deal Analysis'!$D$37&gt;0),0,H34)</f>
        <v>333.3333333</v>
      </c>
      <c r="I35" s="200">
        <f>if(H35&gt;0,'Deal Analysis'!$D$35/12*K34,0)</f>
        <v>333.3333333</v>
      </c>
      <c r="J35" s="200">
        <f t="shared" si="3"/>
        <v>0</v>
      </c>
      <c r="K35" s="200">
        <f>if(AND('Deal Analysis'!$D$37*12&lt;G35,'Deal Analysis'!$D$37&gt;0),0,K34-J35)</f>
        <v>50000</v>
      </c>
      <c r="L35" s="1"/>
      <c r="M35" s="199">
        <v>32.0</v>
      </c>
      <c r="N35" s="200">
        <f>if('Deal Analysis'!D73="Yes",'Deal Analysis'!D80,0)</f>
        <v>0</v>
      </c>
      <c r="O35" s="200">
        <f t="shared" si="4"/>
        <v>0</v>
      </c>
      <c r="P35" s="200">
        <f t="shared" si="5"/>
        <v>0</v>
      </c>
      <c r="Q35" s="200">
        <f>if(AND('Deal Analysis'!$D$47*12&lt;M35,'Deal Analysis'!$D$47&gt;0),0,Q34-P35)</f>
        <v>0</v>
      </c>
      <c r="R35" s="1"/>
      <c r="S35" s="1"/>
      <c r="T35" s="1"/>
      <c r="U35" s="1"/>
      <c r="V35" s="1"/>
      <c r="W35" s="1"/>
      <c r="X35" s="1"/>
      <c r="Y35" s="1"/>
      <c r="Z35" s="1"/>
      <c r="AA35" s="1"/>
    </row>
    <row r="36">
      <c r="A36" s="199">
        <v>33.0</v>
      </c>
      <c r="B36" s="200">
        <f t="shared" si="6"/>
        <v>3046.641421</v>
      </c>
      <c r="C36" s="200">
        <f>'Deal Analysis'!$D$24/12*E35</f>
        <v>2606.368261</v>
      </c>
      <c r="D36" s="200">
        <f t="shared" si="1"/>
        <v>440.2731596</v>
      </c>
      <c r="E36" s="200">
        <f t="shared" si="2"/>
        <v>347075.495</v>
      </c>
      <c r="F36" s="1"/>
      <c r="G36" s="199">
        <v>33.0</v>
      </c>
      <c r="H36" s="200">
        <f>if(AND('Deal Analysis'!$D$37*12&lt;G36,'Deal Analysis'!$D$37&gt;0),0,H35)</f>
        <v>333.3333333</v>
      </c>
      <c r="I36" s="200">
        <f>if(H36&gt;0,'Deal Analysis'!$D$35/12*K35,0)</f>
        <v>333.3333333</v>
      </c>
      <c r="J36" s="200">
        <f t="shared" si="3"/>
        <v>0</v>
      </c>
      <c r="K36" s="200">
        <f>if(AND('Deal Analysis'!$D$37*12&lt;G36,'Deal Analysis'!$D$37&gt;0),0,K35-J36)</f>
        <v>50000</v>
      </c>
      <c r="L36" s="1"/>
      <c r="M36" s="199">
        <v>33.0</v>
      </c>
      <c r="N36" s="200">
        <f>if('Deal Analysis'!D74="Yes",'Deal Analysis'!D81,0)</f>
        <v>0</v>
      </c>
      <c r="O36" s="200">
        <f t="shared" si="4"/>
        <v>0</v>
      </c>
      <c r="P36" s="200">
        <f t="shared" si="5"/>
        <v>0</v>
      </c>
      <c r="Q36" s="200">
        <f>if(AND('Deal Analysis'!$D$47*12&lt;M36,'Deal Analysis'!$D$47&gt;0),0,Q35-P36)</f>
        <v>0</v>
      </c>
      <c r="R36" s="1"/>
      <c r="S36" s="1"/>
      <c r="T36" s="1"/>
      <c r="U36" s="1"/>
      <c r="V36" s="1"/>
      <c r="W36" s="1"/>
      <c r="X36" s="1"/>
      <c r="Y36" s="1"/>
      <c r="Z36" s="1"/>
      <c r="AA36" s="1"/>
    </row>
    <row r="37">
      <c r="A37" s="199">
        <v>34.0</v>
      </c>
      <c r="B37" s="200">
        <f t="shared" si="6"/>
        <v>3046.641421</v>
      </c>
      <c r="C37" s="200">
        <f>'Deal Analysis'!$D$24/12*E36</f>
        <v>2603.066213</v>
      </c>
      <c r="D37" s="200">
        <f t="shared" si="1"/>
        <v>443.5752083</v>
      </c>
      <c r="E37" s="200">
        <f t="shared" si="2"/>
        <v>346631.9198</v>
      </c>
      <c r="F37" s="1"/>
      <c r="G37" s="199">
        <v>34.0</v>
      </c>
      <c r="H37" s="200">
        <f>if(AND('Deal Analysis'!$D$37*12&lt;G37,'Deal Analysis'!$D$37&gt;0),0,H36)</f>
        <v>333.3333333</v>
      </c>
      <c r="I37" s="200">
        <f>if(H37&gt;0,'Deal Analysis'!$D$35/12*K36,0)</f>
        <v>333.3333333</v>
      </c>
      <c r="J37" s="200">
        <f t="shared" si="3"/>
        <v>0</v>
      </c>
      <c r="K37" s="200">
        <f>if(AND('Deal Analysis'!$D$37*12&lt;G37,'Deal Analysis'!$D$37&gt;0),0,K36-J37)</f>
        <v>50000</v>
      </c>
      <c r="L37" s="1"/>
      <c r="M37" s="199">
        <v>34.0</v>
      </c>
      <c r="N37" s="200">
        <f>if('Deal Analysis'!D75="Yes",'Deal Analysis'!D82,0)</f>
        <v>0</v>
      </c>
      <c r="O37" s="200">
        <f t="shared" si="4"/>
        <v>0</v>
      </c>
      <c r="P37" s="200">
        <f t="shared" si="5"/>
        <v>0</v>
      </c>
      <c r="Q37" s="200">
        <f>if(AND('Deal Analysis'!$D$47*12&lt;M37,'Deal Analysis'!$D$47&gt;0),0,Q36-P37)</f>
        <v>0</v>
      </c>
      <c r="R37" s="1"/>
      <c r="S37" s="1"/>
      <c r="T37" s="1"/>
      <c r="U37" s="1"/>
      <c r="V37" s="1"/>
      <c r="W37" s="1"/>
      <c r="X37" s="1"/>
      <c r="Y37" s="1"/>
      <c r="Z37" s="1"/>
      <c r="AA37" s="1"/>
    </row>
    <row r="38">
      <c r="A38" s="199">
        <v>35.0</v>
      </c>
      <c r="B38" s="200">
        <f t="shared" si="6"/>
        <v>3046.641421</v>
      </c>
      <c r="C38" s="200">
        <f>'Deal Analysis'!$D$24/12*E37</f>
        <v>2599.739399</v>
      </c>
      <c r="D38" s="200">
        <f t="shared" si="1"/>
        <v>446.9020224</v>
      </c>
      <c r="E38" s="200">
        <f t="shared" si="2"/>
        <v>346185.0178</v>
      </c>
      <c r="F38" s="1"/>
      <c r="G38" s="199">
        <v>35.0</v>
      </c>
      <c r="H38" s="200">
        <f>if(AND('Deal Analysis'!$D$37*12&lt;G38,'Deal Analysis'!$D$37&gt;0),0,H37)</f>
        <v>333.3333333</v>
      </c>
      <c r="I38" s="200">
        <f>if(H38&gt;0,'Deal Analysis'!$D$35/12*K37,0)</f>
        <v>333.3333333</v>
      </c>
      <c r="J38" s="200">
        <f t="shared" si="3"/>
        <v>0</v>
      </c>
      <c r="K38" s="200">
        <f>if(AND('Deal Analysis'!$D$37*12&lt;G38,'Deal Analysis'!$D$37&gt;0),0,K37-J38)</f>
        <v>50000</v>
      </c>
      <c r="L38" s="1"/>
      <c r="M38" s="199">
        <v>35.0</v>
      </c>
      <c r="N38" s="200">
        <f>if('Deal Analysis'!D76="Yes",'Deal Analysis'!D83,0)</f>
        <v>0</v>
      </c>
      <c r="O38" s="200">
        <f t="shared" si="4"/>
        <v>0</v>
      </c>
      <c r="P38" s="200">
        <f t="shared" si="5"/>
        <v>0</v>
      </c>
      <c r="Q38" s="200">
        <f>if(AND('Deal Analysis'!$D$47*12&lt;M38,'Deal Analysis'!$D$47&gt;0),0,Q37-P38)</f>
        <v>0</v>
      </c>
      <c r="R38" s="1"/>
      <c r="S38" s="1"/>
      <c r="T38" s="1"/>
      <c r="U38" s="1"/>
      <c r="V38" s="1"/>
      <c r="W38" s="1"/>
      <c r="X38" s="1"/>
      <c r="Y38" s="1"/>
      <c r="Z38" s="1"/>
      <c r="AA38" s="1"/>
    </row>
    <row r="39">
      <c r="A39" s="199">
        <v>36.0</v>
      </c>
      <c r="B39" s="200">
        <f t="shared" si="6"/>
        <v>3046.641421</v>
      </c>
      <c r="C39" s="200">
        <f>'Deal Analysis'!$D$24/12*E38</f>
        <v>2596.387633</v>
      </c>
      <c r="D39" s="200">
        <f t="shared" si="1"/>
        <v>450.2537876</v>
      </c>
      <c r="E39" s="200">
        <f t="shared" si="2"/>
        <v>345734.764</v>
      </c>
      <c r="F39" s="1"/>
      <c r="G39" s="199">
        <v>36.0</v>
      </c>
      <c r="H39" s="200">
        <f>if(AND('Deal Analysis'!$D$37*12&lt;G39,'Deal Analysis'!$D$37&gt;0),0,H38)</f>
        <v>333.3333333</v>
      </c>
      <c r="I39" s="200">
        <f>if(H39&gt;0,'Deal Analysis'!$D$35/12*K38,0)</f>
        <v>333.3333333</v>
      </c>
      <c r="J39" s="200">
        <f t="shared" si="3"/>
        <v>0</v>
      </c>
      <c r="K39" s="200">
        <f>if(AND('Deal Analysis'!$D$37*12&lt;G39,'Deal Analysis'!$D$37&gt;0),0,K38-J39)</f>
        <v>50000</v>
      </c>
      <c r="L39" s="1"/>
      <c r="M39" s="199">
        <v>36.0</v>
      </c>
      <c r="N39" s="200">
        <f>if('Deal Analysis'!D77="Yes",'Deal Analysis'!D84,0)</f>
        <v>0</v>
      </c>
      <c r="O39" s="200">
        <f t="shared" si="4"/>
        <v>0</v>
      </c>
      <c r="P39" s="200">
        <f t="shared" si="5"/>
        <v>0</v>
      </c>
      <c r="Q39" s="200">
        <f>if(AND('Deal Analysis'!$D$47*12&lt;M39,'Deal Analysis'!$D$47&gt;0),0,Q38-P39)</f>
        <v>0</v>
      </c>
      <c r="R39" s="1"/>
      <c r="S39" s="1"/>
      <c r="T39" s="1"/>
      <c r="U39" s="1"/>
      <c r="V39" s="1"/>
      <c r="W39" s="1"/>
      <c r="X39" s="1"/>
      <c r="Y39" s="1"/>
      <c r="Z39" s="1"/>
      <c r="AA39" s="1"/>
    </row>
    <row r="40">
      <c r="A40" s="199">
        <v>37.0</v>
      </c>
      <c r="B40" s="200">
        <f t="shared" si="6"/>
        <v>3046.641421</v>
      </c>
      <c r="C40" s="200">
        <f>'Deal Analysis'!$D$24/12*E39</f>
        <v>2593.01073</v>
      </c>
      <c r="D40" s="200">
        <f t="shared" si="1"/>
        <v>453.630691</v>
      </c>
      <c r="E40" s="200">
        <f t="shared" si="2"/>
        <v>345281.1333</v>
      </c>
      <c r="F40" s="1"/>
      <c r="G40" s="199">
        <v>37.0</v>
      </c>
      <c r="H40" s="200">
        <f>if(AND('Deal Analysis'!$D$37*12&lt;G40,'Deal Analysis'!$D$37&gt;0),0,H39)</f>
        <v>333.3333333</v>
      </c>
      <c r="I40" s="200">
        <f>if(H40&gt;0,'Deal Analysis'!$D$35/12*K39,0)</f>
        <v>333.3333333</v>
      </c>
      <c r="J40" s="200">
        <f t="shared" si="3"/>
        <v>0</v>
      </c>
      <c r="K40" s="200">
        <f>if(AND('Deal Analysis'!$D$37*12&lt;G40,'Deal Analysis'!$D$37&gt;0),0,K39-J40)</f>
        <v>50000</v>
      </c>
      <c r="L40" s="1"/>
      <c r="M40" s="199">
        <v>37.0</v>
      </c>
      <c r="N40" s="200">
        <f>if('Deal Analysis'!D78="Yes",'Deal Analysis'!D85,0)</f>
        <v>0</v>
      </c>
      <c r="O40" s="200">
        <f t="shared" si="4"/>
        <v>0</v>
      </c>
      <c r="P40" s="200">
        <f t="shared" si="5"/>
        <v>0</v>
      </c>
      <c r="Q40" s="200">
        <f>if(AND('Deal Analysis'!$D$47*12&lt;M40,'Deal Analysis'!$D$47&gt;0),0,Q39-P40)</f>
        <v>0</v>
      </c>
      <c r="R40" s="1"/>
      <c r="S40" s="1"/>
      <c r="T40" s="1"/>
      <c r="U40" s="1"/>
      <c r="V40" s="1"/>
      <c r="W40" s="1"/>
      <c r="X40" s="1"/>
      <c r="Y40" s="1"/>
      <c r="Z40" s="1"/>
      <c r="AA40" s="1"/>
    </row>
    <row r="41">
      <c r="A41" s="199">
        <v>38.0</v>
      </c>
      <c r="B41" s="200">
        <f t="shared" si="6"/>
        <v>3046.641421</v>
      </c>
      <c r="C41" s="200">
        <f>'Deal Analysis'!$D$24/12*E40</f>
        <v>2589.6085</v>
      </c>
      <c r="D41" s="200">
        <f t="shared" si="1"/>
        <v>457.0329211</v>
      </c>
      <c r="E41" s="200">
        <f t="shared" si="2"/>
        <v>344824.1004</v>
      </c>
      <c r="F41" s="1"/>
      <c r="G41" s="199">
        <v>38.0</v>
      </c>
      <c r="H41" s="200">
        <f>if(AND('Deal Analysis'!$D$37*12&lt;G41,'Deal Analysis'!$D$37&gt;0),0,H40)</f>
        <v>333.3333333</v>
      </c>
      <c r="I41" s="200">
        <f>if(H41&gt;0,'Deal Analysis'!$D$35/12*K40,0)</f>
        <v>333.3333333</v>
      </c>
      <c r="J41" s="200">
        <f t="shared" si="3"/>
        <v>0</v>
      </c>
      <c r="K41" s="200">
        <f>if(AND('Deal Analysis'!$D$37*12&lt;G41,'Deal Analysis'!$D$37&gt;0),0,K40-J41)</f>
        <v>50000</v>
      </c>
      <c r="L41" s="1"/>
      <c r="M41" s="199">
        <v>38.0</v>
      </c>
      <c r="N41" s="200">
        <f>if('Deal Analysis'!D79="Yes",'Deal Analysis'!D86,0)</f>
        <v>0</v>
      </c>
      <c r="O41" s="200">
        <f t="shared" si="4"/>
        <v>0</v>
      </c>
      <c r="P41" s="200">
        <f t="shared" si="5"/>
        <v>0</v>
      </c>
      <c r="Q41" s="200">
        <f>if(AND('Deal Analysis'!$D$47*12&lt;M41,'Deal Analysis'!$D$47&gt;0),0,Q40-P41)</f>
        <v>0</v>
      </c>
      <c r="R41" s="1"/>
      <c r="S41" s="1"/>
      <c r="T41" s="1"/>
      <c r="U41" s="1"/>
      <c r="V41" s="1"/>
      <c r="W41" s="1"/>
      <c r="X41" s="1"/>
      <c r="Y41" s="1"/>
      <c r="Z41" s="1"/>
      <c r="AA41" s="1"/>
    </row>
    <row r="42">
      <c r="A42" s="199">
        <v>39.0</v>
      </c>
      <c r="B42" s="200">
        <f t="shared" si="6"/>
        <v>3046.641421</v>
      </c>
      <c r="C42" s="200">
        <f>'Deal Analysis'!$D$24/12*E41</f>
        <v>2586.180753</v>
      </c>
      <c r="D42" s="200">
        <f t="shared" si="1"/>
        <v>460.4606681</v>
      </c>
      <c r="E42" s="200">
        <f t="shared" si="2"/>
        <v>344363.6397</v>
      </c>
      <c r="F42" s="1"/>
      <c r="G42" s="199">
        <v>39.0</v>
      </c>
      <c r="H42" s="200">
        <f>if(AND('Deal Analysis'!$D$37*12&lt;G42,'Deal Analysis'!$D$37&gt;0),0,H41)</f>
        <v>333.3333333</v>
      </c>
      <c r="I42" s="200">
        <f>if(H42&gt;0,'Deal Analysis'!$D$35/12*K41,0)</f>
        <v>333.3333333</v>
      </c>
      <c r="J42" s="200">
        <f t="shared" si="3"/>
        <v>0</v>
      </c>
      <c r="K42" s="200">
        <f>if(AND('Deal Analysis'!$D$37*12&lt;G42,'Deal Analysis'!$D$37&gt;0),0,K41-J42)</f>
        <v>50000</v>
      </c>
      <c r="L42" s="1"/>
      <c r="M42" s="199">
        <v>39.0</v>
      </c>
      <c r="N42" s="200">
        <f>if('Deal Analysis'!D80="Yes",'Deal Analysis'!D87,0)</f>
        <v>0</v>
      </c>
      <c r="O42" s="200">
        <f t="shared" si="4"/>
        <v>0</v>
      </c>
      <c r="P42" s="200">
        <f t="shared" si="5"/>
        <v>0</v>
      </c>
      <c r="Q42" s="200">
        <f>if(AND('Deal Analysis'!$D$47*12&lt;M42,'Deal Analysis'!$D$47&gt;0),0,Q41-P42)</f>
        <v>0</v>
      </c>
      <c r="R42" s="1"/>
      <c r="S42" s="1"/>
      <c r="T42" s="1"/>
      <c r="U42" s="1"/>
      <c r="V42" s="1"/>
      <c r="W42" s="1"/>
      <c r="X42" s="1"/>
      <c r="Y42" s="1"/>
      <c r="Z42" s="1"/>
      <c r="AA42" s="1"/>
    </row>
    <row r="43">
      <c r="A43" s="199">
        <v>40.0</v>
      </c>
      <c r="B43" s="200">
        <f t="shared" si="6"/>
        <v>3046.641421</v>
      </c>
      <c r="C43" s="200">
        <f>'Deal Analysis'!$D$24/12*E42</f>
        <v>2582.727298</v>
      </c>
      <c r="D43" s="200">
        <f t="shared" si="1"/>
        <v>463.9141231</v>
      </c>
      <c r="E43" s="200">
        <f t="shared" si="2"/>
        <v>343899.7256</v>
      </c>
      <c r="F43" s="1"/>
      <c r="G43" s="199">
        <v>40.0</v>
      </c>
      <c r="H43" s="200">
        <f>if(AND('Deal Analysis'!$D$37*12&lt;G43,'Deal Analysis'!$D$37&gt;0),0,H42)</f>
        <v>333.3333333</v>
      </c>
      <c r="I43" s="200">
        <f>if(H43&gt;0,'Deal Analysis'!$D$35/12*K42,0)</f>
        <v>333.3333333</v>
      </c>
      <c r="J43" s="200">
        <f t="shared" si="3"/>
        <v>0</v>
      </c>
      <c r="K43" s="200">
        <f>if(AND('Deal Analysis'!$D$37*12&lt;G43,'Deal Analysis'!$D$37&gt;0),0,K42-J43)</f>
        <v>50000</v>
      </c>
      <c r="L43" s="1"/>
      <c r="M43" s="199">
        <v>40.0</v>
      </c>
      <c r="N43" s="200">
        <f>if('Deal Analysis'!D81="Yes",'Deal Analysis'!D88,0)</f>
        <v>0</v>
      </c>
      <c r="O43" s="200">
        <f t="shared" si="4"/>
        <v>0</v>
      </c>
      <c r="P43" s="200">
        <f t="shared" si="5"/>
        <v>0</v>
      </c>
      <c r="Q43" s="200">
        <f>if(AND('Deal Analysis'!$D$47*12&lt;M43,'Deal Analysis'!$D$47&gt;0),0,Q42-P43)</f>
        <v>0</v>
      </c>
      <c r="R43" s="1"/>
      <c r="S43" s="1"/>
      <c r="T43" s="1"/>
      <c r="U43" s="1"/>
      <c r="V43" s="1"/>
      <c r="W43" s="1"/>
      <c r="X43" s="1"/>
      <c r="Y43" s="1"/>
      <c r="Z43" s="1"/>
      <c r="AA43" s="1"/>
    </row>
    <row r="44">
      <c r="A44" s="199">
        <v>41.0</v>
      </c>
      <c r="B44" s="200">
        <f t="shared" si="6"/>
        <v>3046.641421</v>
      </c>
      <c r="C44" s="200">
        <f>'Deal Analysis'!$D$24/12*E43</f>
        <v>2579.247942</v>
      </c>
      <c r="D44" s="200">
        <f t="shared" si="1"/>
        <v>467.393479</v>
      </c>
      <c r="E44" s="200">
        <f t="shared" si="2"/>
        <v>343432.3321</v>
      </c>
      <c r="F44" s="1"/>
      <c r="G44" s="199">
        <v>41.0</v>
      </c>
      <c r="H44" s="200">
        <f>if(AND('Deal Analysis'!$D$37*12&lt;G44,'Deal Analysis'!$D$37&gt;0),0,H43)</f>
        <v>333.3333333</v>
      </c>
      <c r="I44" s="200">
        <f>if(H44&gt;0,'Deal Analysis'!$D$35/12*K43,0)</f>
        <v>333.3333333</v>
      </c>
      <c r="J44" s="200">
        <f t="shared" si="3"/>
        <v>0</v>
      </c>
      <c r="K44" s="200">
        <f>if(AND('Deal Analysis'!$D$37*12&lt;G44,'Deal Analysis'!$D$37&gt;0),0,K43-J44)</f>
        <v>50000</v>
      </c>
      <c r="L44" s="1"/>
      <c r="M44" s="199">
        <v>41.0</v>
      </c>
      <c r="N44" s="200">
        <f>if('Deal Analysis'!D82="Yes",'Deal Analysis'!D89,0)</f>
        <v>0</v>
      </c>
      <c r="O44" s="200">
        <f t="shared" si="4"/>
        <v>0</v>
      </c>
      <c r="P44" s="200">
        <f t="shared" si="5"/>
        <v>0</v>
      </c>
      <c r="Q44" s="200">
        <f>if(AND('Deal Analysis'!$D$47*12&lt;M44,'Deal Analysis'!$D$47&gt;0),0,Q43-P44)</f>
        <v>0</v>
      </c>
      <c r="R44" s="1"/>
      <c r="S44" s="1"/>
      <c r="T44" s="1"/>
      <c r="U44" s="1"/>
      <c r="V44" s="1"/>
      <c r="W44" s="1"/>
      <c r="X44" s="1"/>
      <c r="Y44" s="1"/>
      <c r="Z44" s="1"/>
      <c r="AA44" s="1"/>
    </row>
    <row r="45">
      <c r="A45" s="199">
        <v>42.0</v>
      </c>
      <c r="B45" s="200">
        <f t="shared" si="6"/>
        <v>3046.641421</v>
      </c>
      <c r="C45" s="200">
        <f>'Deal Analysis'!$D$24/12*E44</f>
        <v>2575.742491</v>
      </c>
      <c r="D45" s="200">
        <f t="shared" si="1"/>
        <v>470.8989301</v>
      </c>
      <c r="E45" s="200">
        <f t="shared" si="2"/>
        <v>342961.4332</v>
      </c>
      <c r="F45" s="1"/>
      <c r="G45" s="199">
        <v>42.0</v>
      </c>
      <c r="H45" s="200">
        <f>if(AND('Deal Analysis'!$D$37*12&lt;G45,'Deal Analysis'!$D$37&gt;0),0,H44)</f>
        <v>333.3333333</v>
      </c>
      <c r="I45" s="200">
        <f>if(H45&gt;0,'Deal Analysis'!$D$35/12*K44,0)</f>
        <v>333.3333333</v>
      </c>
      <c r="J45" s="200">
        <f t="shared" si="3"/>
        <v>0</v>
      </c>
      <c r="K45" s="200">
        <f>if(AND('Deal Analysis'!$D$37*12&lt;G45,'Deal Analysis'!$D$37&gt;0),0,K44-J45)</f>
        <v>50000</v>
      </c>
      <c r="L45" s="1"/>
      <c r="M45" s="199">
        <v>42.0</v>
      </c>
      <c r="N45" s="200">
        <f>if('Deal Analysis'!D83="Yes",'Deal Analysis'!D90,0)</f>
        <v>0</v>
      </c>
      <c r="O45" s="200">
        <f t="shared" si="4"/>
        <v>0</v>
      </c>
      <c r="P45" s="200">
        <f t="shared" si="5"/>
        <v>0</v>
      </c>
      <c r="Q45" s="200">
        <f>if(AND('Deal Analysis'!$D$47*12&lt;M45,'Deal Analysis'!$D$47&gt;0),0,Q44-P45)</f>
        <v>0</v>
      </c>
      <c r="R45" s="1"/>
      <c r="S45" s="1"/>
      <c r="T45" s="1"/>
      <c r="U45" s="1"/>
      <c r="V45" s="1"/>
      <c r="W45" s="1"/>
      <c r="X45" s="1"/>
      <c r="Y45" s="1"/>
      <c r="Z45" s="1"/>
      <c r="AA45" s="1"/>
    </row>
    <row r="46">
      <c r="A46" s="199">
        <v>43.0</v>
      </c>
      <c r="B46" s="200">
        <f t="shared" si="6"/>
        <v>3046.641421</v>
      </c>
      <c r="C46" s="200">
        <f>'Deal Analysis'!$D$24/12*E45</f>
        <v>2572.210749</v>
      </c>
      <c r="D46" s="200">
        <f t="shared" si="1"/>
        <v>474.4306721</v>
      </c>
      <c r="E46" s="200">
        <f t="shared" si="2"/>
        <v>342487.0025</v>
      </c>
      <c r="F46" s="1"/>
      <c r="G46" s="199">
        <v>43.0</v>
      </c>
      <c r="H46" s="200">
        <f>if(AND('Deal Analysis'!$D$37*12&lt;G46,'Deal Analysis'!$D$37&gt;0),0,H45)</f>
        <v>333.3333333</v>
      </c>
      <c r="I46" s="200">
        <f>if(H46&gt;0,'Deal Analysis'!$D$35/12*K45,0)</f>
        <v>333.3333333</v>
      </c>
      <c r="J46" s="200">
        <f t="shared" si="3"/>
        <v>0</v>
      </c>
      <c r="K46" s="200">
        <f>if(AND('Deal Analysis'!$D$37*12&lt;G46,'Deal Analysis'!$D$37&gt;0),0,K45-J46)</f>
        <v>50000</v>
      </c>
      <c r="L46" s="1"/>
      <c r="M46" s="199">
        <v>43.0</v>
      </c>
      <c r="N46" s="200">
        <f>if('Deal Analysis'!D84="Yes",'Deal Analysis'!D91,0)</f>
        <v>0</v>
      </c>
      <c r="O46" s="200">
        <f t="shared" si="4"/>
        <v>0</v>
      </c>
      <c r="P46" s="200">
        <f t="shared" si="5"/>
        <v>0</v>
      </c>
      <c r="Q46" s="200">
        <f>if(AND('Deal Analysis'!$D$47*12&lt;M46,'Deal Analysis'!$D$47&gt;0),0,Q45-P46)</f>
        <v>0</v>
      </c>
      <c r="R46" s="1"/>
      <c r="S46" s="1"/>
      <c r="T46" s="1"/>
      <c r="U46" s="1"/>
      <c r="V46" s="1"/>
      <c r="W46" s="1"/>
      <c r="X46" s="1"/>
      <c r="Y46" s="1"/>
      <c r="Z46" s="1"/>
      <c r="AA46" s="1"/>
    </row>
    <row r="47">
      <c r="A47" s="199">
        <v>44.0</v>
      </c>
      <c r="B47" s="200">
        <f t="shared" si="6"/>
        <v>3046.641421</v>
      </c>
      <c r="C47" s="200">
        <f>'Deal Analysis'!$D$24/12*E46</f>
        <v>2568.652519</v>
      </c>
      <c r="D47" s="200">
        <f t="shared" si="1"/>
        <v>477.9889021</v>
      </c>
      <c r="E47" s="200">
        <f t="shared" si="2"/>
        <v>342009.0136</v>
      </c>
      <c r="F47" s="1"/>
      <c r="G47" s="199">
        <v>44.0</v>
      </c>
      <c r="H47" s="200">
        <f>if(AND('Deal Analysis'!$D$37*12&lt;G47,'Deal Analysis'!$D$37&gt;0),0,H46)</f>
        <v>333.3333333</v>
      </c>
      <c r="I47" s="200">
        <f>if(H47&gt;0,'Deal Analysis'!$D$35/12*K46,0)</f>
        <v>333.3333333</v>
      </c>
      <c r="J47" s="200">
        <f t="shared" si="3"/>
        <v>0</v>
      </c>
      <c r="K47" s="200">
        <f>if(AND('Deal Analysis'!$D$37*12&lt;G47,'Deal Analysis'!$D$37&gt;0),0,K46-J47)</f>
        <v>50000</v>
      </c>
      <c r="L47" s="1"/>
      <c r="M47" s="199">
        <v>44.0</v>
      </c>
      <c r="N47" s="200">
        <f>if('Deal Analysis'!D85="Yes",'Deal Analysis'!D92,0)</f>
        <v>0</v>
      </c>
      <c r="O47" s="200">
        <f t="shared" si="4"/>
        <v>0</v>
      </c>
      <c r="P47" s="200">
        <f t="shared" si="5"/>
        <v>0</v>
      </c>
      <c r="Q47" s="200">
        <f>if(AND('Deal Analysis'!$D$47*12&lt;M47,'Deal Analysis'!$D$47&gt;0),0,Q46-P47)</f>
        <v>0</v>
      </c>
      <c r="R47" s="1"/>
      <c r="S47" s="1"/>
      <c r="T47" s="1"/>
      <c r="U47" s="1"/>
      <c r="V47" s="1"/>
      <c r="W47" s="1"/>
      <c r="X47" s="1"/>
      <c r="Y47" s="1"/>
      <c r="Z47" s="1"/>
      <c r="AA47" s="1"/>
    </row>
    <row r="48">
      <c r="A48" s="199">
        <v>45.0</v>
      </c>
      <c r="B48" s="200">
        <f t="shared" si="6"/>
        <v>3046.641421</v>
      </c>
      <c r="C48" s="200">
        <f>'Deal Analysis'!$D$24/12*E47</f>
        <v>2565.067602</v>
      </c>
      <c r="D48" s="200">
        <f t="shared" si="1"/>
        <v>481.5738189</v>
      </c>
      <c r="E48" s="200">
        <f t="shared" si="2"/>
        <v>341527.4398</v>
      </c>
      <c r="F48" s="1"/>
      <c r="G48" s="199">
        <v>45.0</v>
      </c>
      <c r="H48" s="200">
        <f>if(AND('Deal Analysis'!$D$37*12&lt;G48,'Deal Analysis'!$D$37&gt;0),0,H47)</f>
        <v>333.3333333</v>
      </c>
      <c r="I48" s="200">
        <f>if(H48&gt;0,'Deal Analysis'!$D$35/12*K47,0)</f>
        <v>333.3333333</v>
      </c>
      <c r="J48" s="200">
        <f t="shared" si="3"/>
        <v>0</v>
      </c>
      <c r="K48" s="200">
        <f>if(AND('Deal Analysis'!$D$37*12&lt;G48,'Deal Analysis'!$D$37&gt;0),0,K47-J48)</f>
        <v>50000</v>
      </c>
      <c r="L48" s="1"/>
      <c r="M48" s="199">
        <v>45.0</v>
      </c>
      <c r="N48" s="200">
        <f>if('Deal Analysis'!D86="Yes",'Deal Analysis'!D93,0)</f>
        <v>0</v>
      </c>
      <c r="O48" s="200">
        <f t="shared" si="4"/>
        <v>0</v>
      </c>
      <c r="P48" s="200">
        <f t="shared" si="5"/>
        <v>0</v>
      </c>
      <c r="Q48" s="200">
        <f>if(AND('Deal Analysis'!$D$47*12&lt;M48,'Deal Analysis'!$D$47&gt;0),0,Q47-P48)</f>
        <v>0</v>
      </c>
      <c r="R48" s="1"/>
      <c r="S48" s="1"/>
      <c r="T48" s="1"/>
      <c r="U48" s="1"/>
      <c r="V48" s="1"/>
      <c r="W48" s="1"/>
      <c r="X48" s="1"/>
      <c r="Y48" s="1"/>
      <c r="Z48" s="1"/>
      <c r="AA48" s="1"/>
    </row>
    <row r="49">
      <c r="A49" s="199">
        <v>46.0</v>
      </c>
      <c r="B49" s="200">
        <f t="shared" si="6"/>
        <v>3046.641421</v>
      </c>
      <c r="C49" s="200">
        <f>'Deal Analysis'!$D$24/12*E48</f>
        <v>2561.455799</v>
      </c>
      <c r="D49" s="200">
        <f t="shared" si="1"/>
        <v>485.1856225</v>
      </c>
      <c r="E49" s="200">
        <f t="shared" si="2"/>
        <v>341042.2542</v>
      </c>
      <c r="F49" s="1"/>
      <c r="G49" s="199">
        <v>46.0</v>
      </c>
      <c r="H49" s="200">
        <f>if(AND('Deal Analysis'!$D$37*12&lt;G49,'Deal Analysis'!$D$37&gt;0),0,H48)</f>
        <v>333.3333333</v>
      </c>
      <c r="I49" s="200">
        <f>if(H49&gt;0,'Deal Analysis'!$D$35/12*K48,0)</f>
        <v>333.3333333</v>
      </c>
      <c r="J49" s="200">
        <f t="shared" si="3"/>
        <v>0</v>
      </c>
      <c r="K49" s="200">
        <f>if(AND('Deal Analysis'!$D$37*12&lt;G49,'Deal Analysis'!$D$37&gt;0),0,K48-J49)</f>
        <v>50000</v>
      </c>
      <c r="L49" s="1"/>
      <c r="M49" s="199">
        <v>46.0</v>
      </c>
      <c r="N49" s="200">
        <f>if('Deal Analysis'!D87="Yes",'Deal Analysis'!D94,0)</f>
        <v>0</v>
      </c>
      <c r="O49" s="200">
        <f t="shared" si="4"/>
        <v>0</v>
      </c>
      <c r="P49" s="200">
        <f t="shared" si="5"/>
        <v>0</v>
      </c>
      <c r="Q49" s="200">
        <f>if(AND('Deal Analysis'!$D$47*12&lt;M49,'Deal Analysis'!$D$47&gt;0),0,Q48-P49)</f>
        <v>0</v>
      </c>
      <c r="R49" s="1"/>
      <c r="S49" s="1"/>
      <c r="T49" s="1"/>
      <c r="U49" s="1"/>
      <c r="V49" s="1"/>
      <c r="W49" s="1"/>
      <c r="X49" s="1"/>
      <c r="Y49" s="1"/>
      <c r="Z49" s="1"/>
      <c r="AA49" s="1"/>
    </row>
    <row r="50">
      <c r="A50" s="199">
        <v>47.0</v>
      </c>
      <c r="B50" s="200">
        <f t="shared" si="6"/>
        <v>3046.641421</v>
      </c>
      <c r="C50" s="200">
        <f>'Deal Analysis'!$D$24/12*E49</f>
        <v>2557.816906</v>
      </c>
      <c r="D50" s="200">
        <f t="shared" si="1"/>
        <v>488.8245147</v>
      </c>
      <c r="E50" s="200">
        <f t="shared" si="2"/>
        <v>340553.4297</v>
      </c>
      <c r="F50" s="1"/>
      <c r="G50" s="199">
        <v>47.0</v>
      </c>
      <c r="H50" s="200">
        <f>if(AND('Deal Analysis'!$D$37*12&lt;G50,'Deal Analysis'!$D$37&gt;0),0,H49)</f>
        <v>333.3333333</v>
      </c>
      <c r="I50" s="200">
        <f>if(H50&gt;0,'Deal Analysis'!$D$35/12*K49,0)</f>
        <v>333.3333333</v>
      </c>
      <c r="J50" s="200">
        <f t="shared" si="3"/>
        <v>0</v>
      </c>
      <c r="K50" s="200">
        <f>if(AND('Deal Analysis'!$D$37*12&lt;G50,'Deal Analysis'!$D$37&gt;0),0,K49-J50)</f>
        <v>50000</v>
      </c>
      <c r="L50" s="1"/>
      <c r="M50" s="199">
        <v>47.0</v>
      </c>
      <c r="N50" s="200">
        <f>if('Deal Analysis'!D88="Yes",'Deal Analysis'!D95,0)</f>
        <v>0</v>
      </c>
      <c r="O50" s="200">
        <f t="shared" si="4"/>
        <v>0</v>
      </c>
      <c r="P50" s="200">
        <f t="shared" si="5"/>
        <v>0</v>
      </c>
      <c r="Q50" s="200">
        <f>if(AND('Deal Analysis'!$D$47*12&lt;M50,'Deal Analysis'!$D$47&gt;0),0,Q49-P50)</f>
        <v>0</v>
      </c>
      <c r="R50" s="1"/>
      <c r="S50" s="1"/>
      <c r="T50" s="1"/>
      <c r="U50" s="1"/>
      <c r="V50" s="1"/>
      <c r="W50" s="1"/>
      <c r="X50" s="1"/>
      <c r="Y50" s="1"/>
      <c r="Z50" s="1"/>
      <c r="AA50" s="1"/>
    </row>
    <row r="51">
      <c r="A51" s="199">
        <v>48.0</v>
      </c>
      <c r="B51" s="200">
        <f t="shared" si="6"/>
        <v>3046.641421</v>
      </c>
      <c r="C51" s="200">
        <f>'Deal Analysis'!$D$24/12*E50</f>
        <v>2554.150722</v>
      </c>
      <c r="D51" s="200">
        <f t="shared" si="1"/>
        <v>492.4906985</v>
      </c>
      <c r="E51" s="200">
        <f t="shared" si="2"/>
        <v>340060.939</v>
      </c>
      <c r="F51" s="1"/>
      <c r="G51" s="199">
        <v>48.0</v>
      </c>
      <c r="H51" s="200">
        <f>if(AND('Deal Analysis'!$D$37*12&lt;G51,'Deal Analysis'!$D$37&gt;0),0,H50)</f>
        <v>333.3333333</v>
      </c>
      <c r="I51" s="200">
        <f>if(H51&gt;0,'Deal Analysis'!$D$35/12*K50,0)</f>
        <v>333.3333333</v>
      </c>
      <c r="J51" s="200">
        <f t="shared" si="3"/>
        <v>0</v>
      </c>
      <c r="K51" s="200">
        <f>if(AND('Deal Analysis'!$D$37*12&lt;G51,'Deal Analysis'!$D$37&gt;0),0,K50-J51)</f>
        <v>50000</v>
      </c>
      <c r="L51" s="1"/>
      <c r="M51" s="199">
        <v>48.0</v>
      </c>
      <c r="N51" s="200">
        <f>if('Deal Analysis'!D89="Yes",'Deal Analysis'!D96,0)</f>
        <v>0</v>
      </c>
      <c r="O51" s="200">
        <f t="shared" si="4"/>
        <v>0</v>
      </c>
      <c r="P51" s="200">
        <f t="shared" si="5"/>
        <v>0</v>
      </c>
      <c r="Q51" s="200">
        <f>if(AND('Deal Analysis'!$D$47*12&lt;M51,'Deal Analysis'!$D$47&gt;0),0,Q50-P51)</f>
        <v>0</v>
      </c>
      <c r="R51" s="1"/>
      <c r="S51" s="1"/>
      <c r="T51" s="1"/>
      <c r="U51" s="1"/>
      <c r="V51" s="1"/>
      <c r="W51" s="1"/>
      <c r="X51" s="1"/>
      <c r="Y51" s="1"/>
      <c r="Z51" s="1"/>
      <c r="AA51" s="1"/>
    </row>
    <row r="52">
      <c r="A52" s="199">
        <v>49.0</v>
      </c>
      <c r="B52" s="200">
        <f t="shared" si="6"/>
        <v>3046.641421</v>
      </c>
      <c r="C52" s="200">
        <f>'Deal Analysis'!$D$24/12*E51</f>
        <v>2550.457042</v>
      </c>
      <c r="D52" s="200">
        <f t="shared" si="1"/>
        <v>496.1843788</v>
      </c>
      <c r="E52" s="200">
        <f t="shared" si="2"/>
        <v>339564.7546</v>
      </c>
      <c r="F52" s="1"/>
      <c r="G52" s="199">
        <v>49.0</v>
      </c>
      <c r="H52" s="200">
        <f>if(AND('Deal Analysis'!$D$37*12&lt;G52,'Deal Analysis'!$D$37&gt;0),0,H51)</f>
        <v>333.3333333</v>
      </c>
      <c r="I52" s="200">
        <f>if(H52&gt;0,'Deal Analysis'!$D$35/12*K51,0)</f>
        <v>333.3333333</v>
      </c>
      <c r="J52" s="200">
        <f t="shared" si="3"/>
        <v>0</v>
      </c>
      <c r="K52" s="200">
        <f>if(AND('Deal Analysis'!$D$37*12&lt;G52,'Deal Analysis'!$D$37&gt;0),0,K51-J52)</f>
        <v>50000</v>
      </c>
      <c r="L52" s="1"/>
      <c r="M52" s="199">
        <v>49.0</v>
      </c>
      <c r="N52" s="200">
        <f>if('Deal Analysis'!D90="Yes",'Deal Analysis'!D97,0)</f>
        <v>0</v>
      </c>
      <c r="O52" s="200">
        <f t="shared" si="4"/>
        <v>0</v>
      </c>
      <c r="P52" s="200">
        <f t="shared" si="5"/>
        <v>0</v>
      </c>
      <c r="Q52" s="200">
        <f>if(AND('Deal Analysis'!$D$47*12&lt;M52,'Deal Analysis'!$D$47&gt;0),0,Q51-P52)</f>
        <v>0</v>
      </c>
      <c r="R52" s="1"/>
      <c r="S52" s="1"/>
      <c r="T52" s="1"/>
      <c r="U52" s="1"/>
      <c r="V52" s="1"/>
      <c r="W52" s="1"/>
      <c r="X52" s="1"/>
      <c r="Y52" s="1"/>
      <c r="Z52" s="1"/>
      <c r="AA52" s="1"/>
    </row>
    <row r="53">
      <c r="A53" s="199">
        <v>50.0</v>
      </c>
      <c r="B53" s="200">
        <f t="shared" si="6"/>
        <v>3046.641421</v>
      </c>
      <c r="C53" s="200">
        <f>'Deal Analysis'!$D$24/12*E52</f>
        <v>2546.735659</v>
      </c>
      <c r="D53" s="200">
        <f t="shared" si="1"/>
        <v>499.9057616</v>
      </c>
      <c r="E53" s="200">
        <f t="shared" si="2"/>
        <v>339064.8488</v>
      </c>
      <c r="F53" s="1"/>
      <c r="G53" s="199">
        <v>50.0</v>
      </c>
      <c r="H53" s="200">
        <f>if(AND('Deal Analysis'!$D$37*12&lt;G53,'Deal Analysis'!$D$37&gt;0),0,H52)</f>
        <v>333.3333333</v>
      </c>
      <c r="I53" s="200">
        <f>if(H53&gt;0,'Deal Analysis'!$D$35/12*K52,0)</f>
        <v>333.3333333</v>
      </c>
      <c r="J53" s="200">
        <f t="shared" si="3"/>
        <v>0</v>
      </c>
      <c r="K53" s="200">
        <f>if(AND('Deal Analysis'!$D$37*12&lt;G53,'Deal Analysis'!$D$37&gt;0),0,K52-J53)</f>
        <v>50000</v>
      </c>
      <c r="L53" s="1"/>
      <c r="M53" s="199">
        <v>50.0</v>
      </c>
      <c r="N53" s="200">
        <f>if('Deal Analysis'!D91="Yes",'Deal Analysis'!D98,0)</f>
        <v>0</v>
      </c>
      <c r="O53" s="200">
        <f t="shared" si="4"/>
        <v>0</v>
      </c>
      <c r="P53" s="200">
        <f t="shared" si="5"/>
        <v>0</v>
      </c>
      <c r="Q53" s="200">
        <f>if(AND('Deal Analysis'!$D$47*12&lt;M53,'Deal Analysis'!$D$47&gt;0),0,Q52-P53)</f>
        <v>0</v>
      </c>
      <c r="R53" s="1"/>
      <c r="S53" s="1"/>
      <c r="T53" s="1"/>
      <c r="U53" s="1"/>
      <c r="V53" s="1"/>
      <c r="W53" s="1"/>
      <c r="X53" s="1"/>
      <c r="Y53" s="1"/>
      <c r="Z53" s="1"/>
      <c r="AA53" s="1"/>
    </row>
    <row r="54">
      <c r="A54" s="199">
        <v>51.0</v>
      </c>
      <c r="B54" s="200">
        <f t="shared" si="6"/>
        <v>3046.641421</v>
      </c>
      <c r="C54" s="200">
        <f>'Deal Analysis'!$D$24/12*E53</f>
        <v>2542.986366</v>
      </c>
      <c r="D54" s="200">
        <f t="shared" si="1"/>
        <v>503.6550548</v>
      </c>
      <c r="E54" s="200">
        <f t="shared" si="2"/>
        <v>338561.1938</v>
      </c>
      <c r="F54" s="1"/>
      <c r="G54" s="199">
        <v>51.0</v>
      </c>
      <c r="H54" s="200">
        <f>if(AND('Deal Analysis'!$D$37*12&lt;G54,'Deal Analysis'!$D$37&gt;0),0,H53)</f>
        <v>333.3333333</v>
      </c>
      <c r="I54" s="200">
        <f>if(H54&gt;0,'Deal Analysis'!$D$35/12*K53,0)</f>
        <v>333.3333333</v>
      </c>
      <c r="J54" s="200">
        <f t="shared" si="3"/>
        <v>0</v>
      </c>
      <c r="K54" s="200">
        <f>if(AND('Deal Analysis'!$D$37*12&lt;G54,'Deal Analysis'!$D$37&gt;0),0,K53-J54)</f>
        <v>50000</v>
      </c>
      <c r="L54" s="1"/>
      <c r="M54" s="199">
        <v>51.0</v>
      </c>
      <c r="N54" s="200">
        <f>if('Deal Analysis'!D92="Yes",'Deal Analysis'!D99,0)</f>
        <v>0</v>
      </c>
      <c r="O54" s="200">
        <f t="shared" si="4"/>
        <v>0</v>
      </c>
      <c r="P54" s="200">
        <f t="shared" si="5"/>
        <v>0</v>
      </c>
      <c r="Q54" s="200">
        <f>if(AND('Deal Analysis'!$D$47*12&lt;M54,'Deal Analysis'!$D$47&gt;0),0,Q53-P54)</f>
        <v>0</v>
      </c>
      <c r="R54" s="1"/>
      <c r="S54" s="1"/>
      <c r="T54" s="1"/>
      <c r="U54" s="1"/>
      <c r="V54" s="1"/>
      <c r="W54" s="1"/>
      <c r="X54" s="1"/>
      <c r="Y54" s="1"/>
      <c r="Z54" s="1"/>
      <c r="AA54" s="1"/>
    </row>
    <row r="55">
      <c r="A55" s="199">
        <v>52.0</v>
      </c>
      <c r="B55" s="200">
        <f t="shared" si="6"/>
        <v>3046.641421</v>
      </c>
      <c r="C55" s="200">
        <f>'Deal Analysis'!$D$24/12*E54</f>
        <v>2539.208953</v>
      </c>
      <c r="D55" s="200">
        <f t="shared" si="1"/>
        <v>507.4324677</v>
      </c>
      <c r="E55" s="200">
        <f t="shared" si="2"/>
        <v>338053.7613</v>
      </c>
      <c r="F55" s="1"/>
      <c r="G55" s="199">
        <v>52.0</v>
      </c>
      <c r="H55" s="200">
        <f>if(AND('Deal Analysis'!$D$37*12&lt;G55,'Deal Analysis'!$D$37&gt;0),0,H54)</f>
        <v>333.3333333</v>
      </c>
      <c r="I55" s="200">
        <f>if(H55&gt;0,'Deal Analysis'!$D$35/12*K54,0)</f>
        <v>333.3333333</v>
      </c>
      <c r="J55" s="200">
        <f t="shared" si="3"/>
        <v>0</v>
      </c>
      <c r="K55" s="200">
        <f>if(AND('Deal Analysis'!$D$37*12&lt;G55,'Deal Analysis'!$D$37&gt;0),0,K54-J55)</f>
        <v>50000</v>
      </c>
      <c r="L55" s="1"/>
      <c r="M55" s="199">
        <v>52.0</v>
      </c>
      <c r="N55" s="200">
        <f>if('Deal Analysis'!D93="Yes",'Deal Analysis'!D100,0)</f>
        <v>0</v>
      </c>
      <c r="O55" s="200">
        <f t="shared" si="4"/>
        <v>0</v>
      </c>
      <c r="P55" s="200">
        <f t="shared" si="5"/>
        <v>0</v>
      </c>
      <c r="Q55" s="200">
        <f>if(AND('Deal Analysis'!$D$47*12&lt;M55,'Deal Analysis'!$D$47&gt;0),0,Q54-P55)</f>
        <v>0</v>
      </c>
      <c r="R55" s="1"/>
      <c r="S55" s="1"/>
      <c r="T55" s="1"/>
      <c r="U55" s="1"/>
      <c r="V55" s="1"/>
      <c r="W55" s="1"/>
      <c r="X55" s="1"/>
      <c r="Y55" s="1"/>
      <c r="Z55" s="1"/>
      <c r="AA55" s="1"/>
    </row>
    <row r="56">
      <c r="A56" s="199">
        <v>53.0</v>
      </c>
      <c r="B56" s="200">
        <f t="shared" si="6"/>
        <v>3046.641421</v>
      </c>
      <c r="C56" s="200">
        <f>'Deal Analysis'!$D$24/12*E55</f>
        <v>2535.40321</v>
      </c>
      <c r="D56" s="200">
        <f t="shared" si="1"/>
        <v>511.2382112</v>
      </c>
      <c r="E56" s="200">
        <f t="shared" si="2"/>
        <v>337542.5231</v>
      </c>
      <c r="F56" s="1"/>
      <c r="G56" s="199">
        <v>53.0</v>
      </c>
      <c r="H56" s="200">
        <f>if(AND('Deal Analysis'!$D$37*12&lt;G56,'Deal Analysis'!$D$37&gt;0),0,H55)</f>
        <v>333.3333333</v>
      </c>
      <c r="I56" s="200">
        <f>if(H56&gt;0,'Deal Analysis'!$D$35/12*K55,0)</f>
        <v>333.3333333</v>
      </c>
      <c r="J56" s="200">
        <f t="shared" si="3"/>
        <v>0</v>
      </c>
      <c r="K56" s="200">
        <f>if(AND('Deal Analysis'!$D$37*12&lt;G56,'Deal Analysis'!$D$37&gt;0),0,K55-J56)</f>
        <v>50000</v>
      </c>
      <c r="L56" s="1"/>
      <c r="M56" s="199">
        <v>53.0</v>
      </c>
      <c r="N56" s="200">
        <f>if('Deal Analysis'!D94="Yes",'Deal Analysis'!D101,0)</f>
        <v>0</v>
      </c>
      <c r="O56" s="200">
        <f t="shared" si="4"/>
        <v>0</v>
      </c>
      <c r="P56" s="200">
        <f t="shared" si="5"/>
        <v>0</v>
      </c>
      <c r="Q56" s="200">
        <f>if(AND('Deal Analysis'!$D$47*12&lt;M56,'Deal Analysis'!$D$47&gt;0),0,Q55-P56)</f>
        <v>0</v>
      </c>
      <c r="R56" s="1"/>
      <c r="S56" s="1"/>
      <c r="T56" s="1"/>
      <c r="U56" s="1"/>
      <c r="V56" s="1"/>
      <c r="W56" s="1"/>
      <c r="X56" s="1"/>
      <c r="Y56" s="1"/>
      <c r="Z56" s="1"/>
      <c r="AA56" s="1"/>
    </row>
    <row r="57">
      <c r="A57" s="199">
        <v>54.0</v>
      </c>
      <c r="B57" s="200">
        <f t="shared" si="6"/>
        <v>3046.641421</v>
      </c>
      <c r="C57" s="200">
        <f>'Deal Analysis'!$D$24/12*E56</f>
        <v>2531.568923</v>
      </c>
      <c r="D57" s="200">
        <f t="shared" si="1"/>
        <v>515.0724978</v>
      </c>
      <c r="E57" s="200">
        <f t="shared" si="2"/>
        <v>337027.4506</v>
      </c>
      <c r="F57" s="1"/>
      <c r="G57" s="199">
        <v>54.0</v>
      </c>
      <c r="H57" s="200">
        <f>if(AND('Deal Analysis'!$D$37*12&lt;G57,'Deal Analysis'!$D$37&gt;0),0,H56)</f>
        <v>333.3333333</v>
      </c>
      <c r="I57" s="200">
        <f>if(H57&gt;0,'Deal Analysis'!$D$35/12*K56,0)</f>
        <v>333.3333333</v>
      </c>
      <c r="J57" s="200">
        <f t="shared" si="3"/>
        <v>0</v>
      </c>
      <c r="K57" s="200">
        <f>if(AND('Deal Analysis'!$D$37*12&lt;G57,'Deal Analysis'!$D$37&gt;0),0,K56-J57)</f>
        <v>50000</v>
      </c>
      <c r="L57" s="1"/>
      <c r="M57" s="199">
        <v>54.0</v>
      </c>
      <c r="N57" s="200">
        <f>if('Deal Analysis'!D95="Yes",'Deal Analysis'!D102,0)</f>
        <v>0</v>
      </c>
      <c r="O57" s="200">
        <f t="shared" si="4"/>
        <v>0</v>
      </c>
      <c r="P57" s="200">
        <f t="shared" si="5"/>
        <v>0</v>
      </c>
      <c r="Q57" s="200">
        <f>if(AND('Deal Analysis'!$D$47*12&lt;M57,'Deal Analysis'!$D$47&gt;0),0,Q56-P57)</f>
        <v>0</v>
      </c>
      <c r="R57" s="1"/>
      <c r="S57" s="1"/>
      <c r="T57" s="1"/>
      <c r="U57" s="1"/>
      <c r="V57" s="1"/>
      <c r="W57" s="1"/>
      <c r="X57" s="1"/>
      <c r="Y57" s="1"/>
      <c r="Z57" s="1"/>
      <c r="AA57" s="1"/>
    </row>
    <row r="58">
      <c r="A58" s="199">
        <v>55.0</v>
      </c>
      <c r="B58" s="200">
        <f t="shared" si="6"/>
        <v>3046.641421</v>
      </c>
      <c r="C58" s="200">
        <f>'Deal Analysis'!$D$24/12*E57</f>
        <v>2527.705879</v>
      </c>
      <c r="D58" s="200">
        <f t="shared" si="1"/>
        <v>518.9355416</v>
      </c>
      <c r="E58" s="200">
        <f t="shared" si="2"/>
        <v>336508.5151</v>
      </c>
      <c r="F58" s="1"/>
      <c r="G58" s="199">
        <v>55.0</v>
      </c>
      <c r="H58" s="200">
        <f>if(AND('Deal Analysis'!$D$37*12&lt;G58,'Deal Analysis'!$D$37&gt;0),0,H57)</f>
        <v>333.3333333</v>
      </c>
      <c r="I58" s="200">
        <f>if(H58&gt;0,'Deal Analysis'!$D$35/12*K57,0)</f>
        <v>333.3333333</v>
      </c>
      <c r="J58" s="200">
        <f t="shared" si="3"/>
        <v>0</v>
      </c>
      <c r="K58" s="200">
        <f>if(AND('Deal Analysis'!$D$37*12&lt;G58,'Deal Analysis'!$D$37&gt;0),0,K57-J58)</f>
        <v>50000</v>
      </c>
      <c r="L58" s="1"/>
      <c r="M58" s="199">
        <v>55.0</v>
      </c>
      <c r="N58" s="200">
        <f>if('Deal Analysis'!D96="Yes",'Deal Analysis'!D103,0)</f>
        <v>0</v>
      </c>
      <c r="O58" s="200">
        <f t="shared" si="4"/>
        <v>0</v>
      </c>
      <c r="P58" s="200">
        <f t="shared" si="5"/>
        <v>0</v>
      </c>
      <c r="Q58" s="200">
        <f>if(AND('Deal Analysis'!$D$47*12&lt;M58,'Deal Analysis'!$D$47&gt;0),0,Q57-P58)</f>
        <v>0</v>
      </c>
      <c r="R58" s="1"/>
      <c r="S58" s="1"/>
      <c r="T58" s="1"/>
      <c r="U58" s="1"/>
      <c r="V58" s="1"/>
      <c r="W58" s="1"/>
      <c r="X58" s="1"/>
      <c r="Y58" s="1"/>
      <c r="Z58" s="1"/>
      <c r="AA58" s="1"/>
    </row>
    <row r="59">
      <c r="A59" s="199">
        <v>56.0</v>
      </c>
      <c r="B59" s="200">
        <f t="shared" si="6"/>
        <v>3046.641421</v>
      </c>
      <c r="C59" s="200">
        <f>'Deal Analysis'!$D$24/12*E58</f>
        <v>2523.813863</v>
      </c>
      <c r="D59" s="200">
        <f t="shared" si="1"/>
        <v>522.8275581</v>
      </c>
      <c r="E59" s="200">
        <f t="shared" si="2"/>
        <v>335985.6875</v>
      </c>
      <c r="F59" s="1"/>
      <c r="G59" s="199">
        <v>56.0</v>
      </c>
      <c r="H59" s="200">
        <f>if(AND('Deal Analysis'!$D$37*12&lt;G59,'Deal Analysis'!$D$37&gt;0),0,H58)</f>
        <v>333.3333333</v>
      </c>
      <c r="I59" s="200">
        <f>if(H59&gt;0,'Deal Analysis'!$D$35/12*K58,0)</f>
        <v>333.3333333</v>
      </c>
      <c r="J59" s="200">
        <f t="shared" si="3"/>
        <v>0</v>
      </c>
      <c r="K59" s="200">
        <f>if(AND('Deal Analysis'!$D$37*12&lt;G59,'Deal Analysis'!$D$37&gt;0),0,K58-J59)</f>
        <v>50000</v>
      </c>
      <c r="L59" s="1"/>
      <c r="M59" s="199">
        <v>56.0</v>
      </c>
      <c r="N59" s="200">
        <f>if('Deal Analysis'!D97="Yes",'Deal Analysis'!D104,0)</f>
        <v>0</v>
      </c>
      <c r="O59" s="200">
        <f t="shared" si="4"/>
        <v>0</v>
      </c>
      <c r="P59" s="200">
        <f t="shared" si="5"/>
        <v>0</v>
      </c>
      <c r="Q59" s="200">
        <f>if(AND('Deal Analysis'!$D$47*12&lt;M59,'Deal Analysis'!$D$47&gt;0),0,Q58-P59)</f>
        <v>0</v>
      </c>
      <c r="R59" s="1"/>
      <c r="S59" s="1"/>
      <c r="T59" s="1"/>
      <c r="U59" s="1"/>
      <c r="V59" s="1"/>
      <c r="W59" s="1"/>
      <c r="X59" s="1"/>
      <c r="Y59" s="1"/>
      <c r="Z59" s="1"/>
      <c r="AA59" s="1"/>
    </row>
    <row r="60">
      <c r="A60" s="199">
        <v>57.0</v>
      </c>
      <c r="B60" s="200">
        <f t="shared" si="6"/>
        <v>3046.641421</v>
      </c>
      <c r="C60" s="200">
        <f>'Deal Analysis'!$D$24/12*E59</f>
        <v>2519.892656</v>
      </c>
      <c r="D60" s="200">
        <f t="shared" si="1"/>
        <v>526.7487648</v>
      </c>
      <c r="E60" s="200">
        <f t="shared" si="2"/>
        <v>335458.9387</v>
      </c>
      <c r="F60" s="1"/>
      <c r="G60" s="199">
        <v>57.0</v>
      </c>
      <c r="H60" s="200">
        <f>if(AND('Deal Analysis'!$D$37*12&lt;G60,'Deal Analysis'!$D$37&gt;0),0,H59)</f>
        <v>333.3333333</v>
      </c>
      <c r="I60" s="200">
        <f>if(H60&gt;0,'Deal Analysis'!$D$35/12*K59,0)</f>
        <v>333.3333333</v>
      </c>
      <c r="J60" s="200">
        <f t="shared" si="3"/>
        <v>0</v>
      </c>
      <c r="K60" s="200">
        <f>if(AND('Deal Analysis'!$D$37*12&lt;G60,'Deal Analysis'!$D$37&gt;0),0,K59-J60)</f>
        <v>50000</v>
      </c>
      <c r="L60" s="1"/>
      <c r="M60" s="199">
        <v>57.0</v>
      </c>
      <c r="N60" s="200">
        <f>if('Deal Analysis'!D98="Yes",'Deal Analysis'!D105,0)</f>
        <v>0</v>
      </c>
      <c r="O60" s="200">
        <f t="shared" si="4"/>
        <v>0</v>
      </c>
      <c r="P60" s="200">
        <f t="shared" si="5"/>
        <v>0</v>
      </c>
      <c r="Q60" s="200">
        <f>if(AND('Deal Analysis'!$D$47*12&lt;M60,'Deal Analysis'!$D$47&gt;0),0,Q59-P60)</f>
        <v>0</v>
      </c>
      <c r="R60" s="1"/>
      <c r="S60" s="1"/>
      <c r="T60" s="1"/>
      <c r="U60" s="1"/>
      <c r="V60" s="1"/>
      <c r="W60" s="1"/>
      <c r="X60" s="1"/>
      <c r="Y60" s="1"/>
      <c r="Z60" s="1"/>
      <c r="AA60" s="1"/>
    </row>
    <row r="61">
      <c r="A61" s="199">
        <v>58.0</v>
      </c>
      <c r="B61" s="200">
        <f t="shared" si="6"/>
        <v>3046.641421</v>
      </c>
      <c r="C61" s="200">
        <f>'Deal Analysis'!$D$24/12*E60</f>
        <v>2515.94204</v>
      </c>
      <c r="D61" s="200">
        <f t="shared" si="1"/>
        <v>530.6993805</v>
      </c>
      <c r="E61" s="200">
        <f t="shared" si="2"/>
        <v>334928.2393</v>
      </c>
      <c r="F61" s="1"/>
      <c r="G61" s="199">
        <v>58.0</v>
      </c>
      <c r="H61" s="200">
        <f>if(AND('Deal Analysis'!$D$37*12&lt;G61,'Deal Analysis'!$D$37&gt;0),0,H60)</f>
        <v>333.3333333</v>
      </c>
      <c r="I61" s="200">
        <f>if(H61&gt;0,'Deal Analysis'!$D$35/12*K60,0)</f>
        <v>333.3333333</v>
      </c>
      <c r="J61" s="200">
        <f t="shared" si="3"/>
        <v>0</v>
      </c>
      <c r="K61" s="200">
        <f>if(AND('Deal Analysis'!$D$37*12&lt;G61,'Deal Analysis'!$D$37&gt;0),0,K60-J61)</f>
        <v>50000</v>
      </c>
      <c r="L61" s="1"/>
      <c r="M61" s="199">
        <v>58.0</v>
      </c>
      <c r="N61" s="200">
        <f>if('Deal Analysis'!D99="Yes",'Deal Analysis'!D106,0)</f>
        <v>0</v>
      </c>
      <c r="O61" s="200">
        <f t="shared" si="4"/>
        <v>0</v>
      </c>
      <c r="P61" s="200">
        <f t="shared" si="5"/>
        <v>0</v>
      </c>
      <c r="Q61" s="200">
        <f>if(AND('Deal Analysis'!$D$47*12&lt;M61,'Deal Analysis'!$D$47&gt;0),0,Q60-P61)</f>
        <v>0</v>
      </c>
      <c r="R61" s="1"/>
      <c r="S61" s="1"/>
      <c r="T61" s="1"/>
      <c r="U61" s="1"/>
      <c r="V61" s="1"/>
      <c r="W61" s="1"/>
      <c r="X61" s="1"/>
      <c r="Y61" s="1"/>
      <c r="Z61" s="1"/>
      <c r="AA61" s="1"/>
    </row>
    <row r="62">
      <c r="A62" s="199">
        <v>59.0</v>
      </c>
      <c r="B62" s="200">
        <f t="shared" si="6"/>
        <v>3046.641421</v>
      </c>
      <c r="C62" s="200">
        <f>'Deal Analysis'!$D$24/12*E61</f>
        <v>2511.961795</v>
      </c>
      <c r="D62" s="200">
        <f t="shared" si="1"/>
        <v>534.6796259</v>
      </c>
      <c r="E62" s="200">
        <f t="shared" si="2"/>
        <v>334393.5597</v>
      </c>
      <c r="F62" s="1"/>
      <c r="G62" s="199">
        <v>59.0</v>
      </c>
      <c r="H62" s="200">
        <f>if(AND('Deal Analysis'!$D$37*12&lt;G62,'Deal Analysis'!$D$37&gt;0),0,H61)</f>
        <v>333.3333333</v>
      </c>
      <c r="I62" s="200">
        <f>if(H62&gt;0,'Deal Analysis'!$D$35/12*K61,0)</f>
        <v>333.3333333</v>
      </c>
      <c r="J62" s="200">
        <f t="shared" si="3"/>
        <v>0</v>
      </c>
      <c r="K62" s="200">
        <f>if(AND('Deal Analysis'!$D$37*12&lt;G62,'Deal Analysis'!$D$37&gt;0),0,K61-J62)</f>
        <v>50000</v>
      </c>
      <c r="L62" s="1"/>
      <c r="M62" s="199">
        <v>59.0</v>
      </c>
      <c r="N62" s="200">
        <f>if('Deal Analysis'!D100="Yes",'Deal Analysis'!D107,0)</f>
        <v>0</v>
      </c>
      <c r="O62" s="200">
        <f t="shared" si="4"/>
        <v>0</v>
      </c>
      <c r="P62" s="200">
        <f t="shared" si="5"/>
        <v>0</v>
      </c>
      <c r="Q62" s="200">
        <f>if(AND('Deal Analysis'!$D$47*12&lt;M62,'Deal Analysis'!$D$47&gt;0),0,Q61-P62)</f>
        <v>0</v>
      </c>
      <c r="R62" s="1"/>
      <c r="S62" s="1"/>
      <c r="T62" s="1"/>
      <c r="U62" s="1"/>
      <c r="V62" s="1"/>
      <c r="W62" s="1"/>
      <c r="X62" s="1"/>
      <c r="Y62" s="1"/>
      <c r="Z62" s="1"/>
      <c r="AA62" s="1"/>
    </row>
    <row r="63">
      <c r="A63" s="199">
        <v>60.0</v>
      </c>
      <c r="B63" s="200">
        <f t="shared" si="6"/>
        <v>3046.641421</v>
      </c>
      <c r="C63" s="200">
        <f>'Deal Analysis'!$D$24/12*E62</f>
        <v>2507.951698</v>
      </c>
      <c r="D63" s="200">
        <f t="shared" si="1"/>
        <v>538.6897231</v>
      </c>
      <c r="E63" s="200">
        <f t="shared" si="2"/>
        <v>333854.87</v>
      </c>
      <c r="F63" s="1"/>
      <c r="G63" s="199">
        <v>60.0</v>
      </c>
      <c r="H63" s="200">
        <f>if(AND('Deal Analysis'!$D$37*12&lt;G63,'Deal Analysis'!$D$37&gt;0),0,H62)</f>
        <v>333.3333333</v>
      </c>
      <c r="I63" s="200">
        <f>if(H63&gt;0,'Deal Analysis'!$D$35/12*K62,0)</f>
        <v>333.3333333</v>
      </c>
      <c r="J63" s="200">
        <f t="shared" si="3"/>
        <v>0</v>
      </c>
      <c r="K63" s="200">
        <f>if(AND('Deal Analysis'!$D$37*12&lt;G63,'Deal Analysis'!$D$37&gt;0),0,K62-J63)</f>
        <v>50000</v>
      </c>
      <c r="L63" s="1"/>
      <c r="M63" s="199">
        <v>60.0</v>
      </c>
      <c r="N63" s="200">
        <f>if('Deal Analysis'!D101="Yes",'Deal Analysis'!D108,0)</f>
        <v>0</v>
      </c>
      <c r="O63" s="200">
        <f t="shared" si="4"/>
        <v>0</v>
      </c>
      <c r="P63" s="200">
        <f t="shared" si="5"/>
        <v>0</v>
      </c>
      <c r="Q63" s="200">
        <f>if(AND('Deal Analysis'!$D$47*12&lt;M63,'Deal Analysis'!$D$47&gt;0),0,Q62-P63)</f>
        <v>0</v>
      </c>
      <c r="R63" s="1"/>
      <c r="S63" s="1"/>
      <c r="T63" s="1"/>
      <c r="U63" s="1"/>
      <c r="V63" s="1"/>
      <c r="W63" s="1"/>
      <c r="X63" s="1"/>
      <c r="Y63" s="1"/>
      <c r="Z63" s="1"/>
      <c r="AA63" s="1"/>
    </row>
    <row r="64">
      <c r="A64" s="199">
        <v>61.0</v>
      </c>
      <c r="B64" s="200">
        <f t="shared" si="6"/>
        <v>3046.641421</v>
      </c>
      <c r="C64" s="200">
        <f>'Deal Analysis'!$D$24/12*E63</f>
        <v>2503.911525</v>
      </c>
      <c r="D64" s="200">
        <f t="shared" si="1"/>
        <v>542.729896</v>
      </c>
      <c r="E64" s="200">
        <f t="shared" si="2"/>
        <v>333312.1401</v>
      </c>
      <c r="F64" s="1"/>
      <c r="G64" s="199">
        <v>61.0</v>
      </c>
      <c r="H64" s="200">
        <f>if(AND('Deal Analysis'!$D$37*12&lt;G64,'Deal Analysis'!$D$37&gt;0),0,H63)</f>
        <v>333.3333333</v>
      </c>
      <c r="I64" s="200">
        <f>if(H64&gt;0,'Deal Analysis'!$D$35/12*K63,0)</f>
        <v>333.3333333</v>
      </c>
      <c r="J64" s="200">
        <f t="shared" si="3"/>
        <v>0</v>
      </c>
      <c r="K64" s="200">
        <f>if(AND('Deal Analysis'!$D$37*12&lt;G64,'Deal Analysis'!$D$37&gt;0),0,K63-J64)</f>
        <v>50000</v>
      </c>
      <c r="L64" s="1"/>
      <c r="M64" s="199">
        <v>61.0</v>
      </c>
      <c r="N64" s="200">
        <f>if('Deal Analysis'!D102="Yes",'Deal Analysis'!D109,0)</f>
        <v>0</v>
      </c>
      <c r="O64" s="200">
        <f t="shared" si="4"/>
        <v>0</v>
      </c>
      <c r="P64" s="200">
        <f t="shared" si="5"/>
        <v>0</v>
      </c>
      <c r="Q64" s="200">
        <f>if(AND('Deal Analysis'!$D$47*12&lt;M64,'Deal Analysis'!$D$47&gt;0),0,Q63-P64)</f>
        <v>0</v>
      </c>
      <c r="R64" s="1"/>
      <c r="S64" s="1"/>
      <c r="T64" s="1"/>
      <c r="U64" s="1"/>
      <c r="V64" s="1"/>
      <c r="W64" s="1"/>
      <c r="X64" s="1"/>
      <c r="Y64" s="1"/>
      <c r="Z64" s="1"/>
      <c r="AA64" s="1"/>
    </row>
    <row r="65">
      <c r="A65" s="199">
        <v>62.0</v>
      </c>
      <c r="B65" s="200">
        <f t="shared" si="6"/>
        <v>3046.641421</v>
      </c>
      <c r="C65" s="200">
        <f>'Deal Analysis'!$D$24/12*E64</f>
        <v>2499.841051</v>
      </c>
      <c r="D65" s="200">
        <f t="shared" si="1"/>
        <v>546.8003702</v>
      </c>
      <c r="E65" s="200">
        <f t="shared" si="2"/>
        <v>332765.3397</v>
      </c>
      <c r="F65" s="1"/>
      <c r="G65" s="199">
        <v>62.0</v>
      </c>
      <c r="H65" s="200">
        <f>if(AND('Deal Analysis'!$D$37*12&lt;G65,'Deal Analysis'!$D$37&gt;0),0,H64)</f>
        <v>333.3333333</v>
      </c>
      <c r="I65" s="200">
        <f>if(H65&gt;0,'Deal Analysis'!$D$35/12*K64,0)</f>
        <v>333.3333333</v>
      </c>
      <c r="J65" s="200">
        <f t="shared" si="3"/>
        <v>0</v>
      </c>
      <c r="K65" s="200">
        <f>if(AND('Deal Analysis'!$D$37*12&lt;G65,'Deal Analysis'!$D$37&gt;0),0,K64-J65)</f>
        <v>50000</v>
      </c>
      <c r="L65" s="1"/>
      <c r="M65" s="199">
        <v>62.0</v>
      </c>
      <c r="N65" s="200">
        <f>if('Deal Analysis'!D103="Yes",'Deal Analysis'!D110,0)</f>
        <v>0</v>
      </c>
      <c r="O65" s="200">
        <f t="shared" si="4"/>
        <v>0</v>
      </c>
      <c r="P65" s="200">
        <f t="shared" si="5"/>
        <v>0</v>
      </c>
      <c r="Q65" s="200">
        <f>if(AND('Deal Analysis'!$D$47*12&lt;M65,'Deal Analysis'!$D$47&gt;0),0,Q64-P65)</f>
        <v>0</v>
      </c>
      <c r="R65" s="1"/>
      <c r="S65" s="1"/>
      <c r="T65" s="1"/>
      <c r="U65" s="1"/>
      <c r="V65" s="1"/>
      <c r="W65" s="1"/>
      <c r="X65" s="1"/>
      <c r="Y65" s="1"/>
      <c r="Z65" s="1"/>
      <c r="AA65" s="1"/>
    </row>
    <row r="66">
      <c r="A66" s="199">
        <v>63.0</v>
      </c>
      <c r="B66" s="200">
        <f t="shared" si="6"/>
        <v>3046.641421</v>
      </c>
      <c r="C66" s="200">
        <f>'Deal Analysis'!$D$24/12*E65</f>
        <v>2495.740048</v>
      </c>
      <c r="D66" s="200">
        <f t="shared" si="1"/>
        <v>550.901373</v>
      </c>
      <c r="E66" s="200">
        <f t="shared" si="2"/>
        <v>332214.4384</v>
      </c>
      <c r="F66" s="1"/>
      <c r="G66" s="199">
        <v>63.0</v>
      </c>
      <c r="H66" s="200">
        <f>if(AND('Deal Analysis'!$D$37*12&lt;G66,'Deal Analysis'!$D$37&gt;0),0,H65)</f>
        <v>333.3333333</v>
      </c>
      <c r="I66" s="200">
        <f>if(H66&gt;0,'Deal Analysis'!$D$35/12*K65,0)</f>
        <v>333.3333333</v>
      </c>
      <c r="J66" s="200">
        <f t="shared" si="3"/>
        <v>0</v>
      </c>
      <c r="K66" s="200">
        <f>if(AND('Deal Analysis'!$D$37*12&lt;G66,'Deal Analysis'!$D$37&gt;0),0,K65-J66)</f>
        <v>50000</v>
      </c>
      <c r="L66" s="1"/>
      <c r="M66" s="199">
        <v>63.0</v>
      </c>
      <c r="N66" s="200">
        <f>if('Deal Analysis'!D104="Yes",'Deal Analysis'!D111,0)</f>
        <v>0</v>
      </c>
      <c r="O66" s="200">
        <f t="shared" si="4"/>
        <v>0</v>
      </c>
      <c r="P66" s="200">
        <f t="shared" si="5"/>
        <v>0</v>
      </c>
      <c r="Q66" s="200">
        <f>if(AND('Deal Analysis'!$D$47*12&lt;M66,'Deal Analysis'!$D$47&gt;0),0,Q65-P66)</f>
        <v>0</v>
      </c>
      <c r="R66" s="1"/>
      <c r="S66" s="1"/>
      <c r="T66" s="1"/>
      <c r="U66" s="1"/>
      <c r="V66" s="1"/>
      <c r="W66" s="1"/>
      <c r="X66" s="1"/>
      <c r="Y66" s="1"/>
      <c r="Z66" s="1"/>
      <c r="AA66" s="1"/>
    </row>
    <row r="67">
      <c r="A67" s="199">
        <v>64.0</v>
      </c>
      <c r="B67" s="200">
        <f t="shared" si="6"/>
        <v>3046.641421</v>
      </c>
      <c r="C67" s="200">
        <f>'Deal Analysis'!$D$24/12*E66</f>
        <v>2491.608288</v>
      </c>
      <c r="D67" s="200">
        <f t="shared" si="1"/>
        <v>555.0331333</v>
      </c>
      <c r="E67" s="200">
        <f t="shared" si="2"/>
        <v>331659.4052</v>
      </c>
      <c r="F67" s="1"/>
      <c r="G67" s="199">
        <v>64.0</v>
      </c>
      <c r="H67" s="200">
        <f>if(AND('Deal Analysis'!$D$37*12&lt;G67,'Deal Analysis'!$D$37&gt;0),0,H66)</f>
        <v>333.3333333</v>
      </c>
      <c r="I67" s="200">
        <f>if(H67&gt;0,'Deal Analysis'!$D$35/12*K66,0)</f>
        <v>333.3333333</v>
      </c>
      <c r="J67" s="200">
        <f t="shared" si="3"/>
        <v>0</v>
      </c>
      <c r="K67" s="200">
        <f>if(AND('Deal Analysis'!$D$37*12&lt;G67,'Deal Analysis'!$D$37&gt;0),0,K66-J67)</f>
        <v>50000</v>
      </c>
      <c r="L67" s="1"/>
      <c r="M67" s="199">
        <v>64.0</v>
      </c>
      <c r="N67" s="200">
        <f>if('Deal Analysis'!D105="Yes",'Deal Analysis'!D112,0)</f>
        <v>0</v>
      </c>
      <c r="O67" s="200">
        <f t="shared" si="4"/>
        <v>0</v>
      </c>
      <c r="P67" s="200">
        <f t="shared" si="5"/>
        <v>0</v>
      </c>
      <c r="Q67" s="200">
        <f>if(AND('Deal Analysis'!$D$47*12&lt;M67,'Deal Analysis'!$D$47&gt;0),0,Q66-P67)</f>
        <v>0</v>
      </c>
      <c r="R67" s="1"/>
      <c r="S67" s="1"/>
      <c r="T67" s="1"/>
      <c r="U67" s="1"/>
      <c r="V67" s="1"/>
      <c r="W67" s="1"/>
      <c r="X67" s="1"/>
      <c r="Y67" s="1"/>
      <c r="Z67" s="1"/>
      <c r="AA67" s="1"/>
    </row>
    <row r="68">
      <c r="A68" s="199">
        <v>65.0</v>
      </c>
      <c r="B68" s="200">
        <f t="shared" si="6"/>
        <v>3046.641421</v>
      </c>
      <c r="C68" s="200">
        <f>'Deal Analysis'!$D$24/12*E67</f>
        <v>2487.445539</v>
      </c>
      <c r="D68" s="200">
        <f t="shared" si="1"/>
        <v>559.1958818</v>
      </c>
      <c r="E68" s="200">
        <f t="shared" si="2"/>
        <v>331100.2093</v>
      </c>
      <c r="F68" s="1"/>
      <c r="G68" s="199">
        <v>65.0</v>
      </c>
      <c r="H68" s="200">
        <f>if(AND('Deal Analysis'!$D$37*12&lt;G68,'Deal Analysis'!$D$37&gt;0),0,H67)</f>
        <v>333.3333333</v>
      </c>
      <c r="I68" s="200">
        <f>if(H68&gt;0,'Deal Analysis'!$D$35/12*K67,0)</f>
        <v>333.3333333</v>
      </c>
      <c r="J68" s="200">
        <f t="shared" si="3"/>
        <v>0</v>
      </c>
      <c r="K68" s="200">
        <f>if(AND('Deal Analysis'!$D$37*12&lt;G68,'Deal Analysis'!$D$37&gt;0),0,K67-J68)</f>
        <v>50000</v>
      </c>
      <c r="L68" s="1"/>
      <c r="M68" s="199">
        <v>65.0</v>
      </c>
      <c r="N68" s="200">
        <f>if('Deal Analysis'!D106="Yes",'Deal Analysis'!D113,0)</f>
        <v>0</v>
      </c>
      <c r="O68" s="200">
        <f t="shared" si="4"/>
        <v>0</v>
      </c>
      <c r="P68" s="200">
        <f t="shared" si="5"/>
        <v>0</v>
      </c>
      <c r="Q68" s="200">
        <f>if(AND('Deal Analysis'!$D$47*12&lt;M68,'Deal Analysis'!$D$47&gt;0),0,Q67-P68)</f>
        <v>0</v>
      </c>
      <c r="R68" s="1"/>
      <c r="S68" s="1"/>
      <c r="T68" s="1"/>
      <c r="U68" s="1"/>
      <c r="V68" s="1"/>
      <c r="W68" s="1"/>
      <c r="X68" s="1"/>
      <c r="Y68" s="1"/>
      <c r="Z68" s="1"/>
      <c r="AA68" s="1"/>
    </row>
    <row r="69">
      <c r="A69" s="199">
        <v>66.0</v>
      </c>
      <c r="B69" s="200">
        <f t="shared" si="6"/>
        <v>3046.641421</v>
      </c>
      <c r="C69" s="200">
        <f>'Deal Analysis'!$D$24/12*E68</f>
        <v>2483.25157</v>
      </c>
      <c r="D69" s="200">
        <f t="shared" si="1"/>
        <v>563.3898509</v>
      </c>
      <c r="E69" s="200">
        <f t="shared" si="2"/>
        <v>330536.8195</v>
      </c>
      <c r="F69" s="1"/>
      <c r="G69" s="199">
        <v>66.0</v>
      </c>
      <c r="H69" s="200">
        <f>if(AND('Deal Analysis'!$D$37*12&lt;G69,'Deal Analysis'!$D$37&gt;0),0,H68)</f>
        <v>333.3333333</v>
      </c>
      <c r="I69" s="200">
        <f>if(H69&gt;0,'Deal Analysis'!$D$35/12*K68,0)</f>
        <v>333.3333333</v>
      </c>
      <c r="J69" s="200">
        <f t="shared" si="3"/>
        <v>0</v>
      </c>
      <c r="K69" s="200">
        <f>if(AND('Deal Analysis'!$D$37*12&lt;G69,'Deal Analysis'!$D$37&gt;0),0,K68-J69)</f>
        <v>50000</v>
      </c>
      <c r="L69" s="1"/>
      <c r="M69" s="199">
        <v>66.0</v>
      </c>
      <c r="N69" s="200">
        <f>if('Deal Analysis'!D107="Yes",'Deal Analysis'!D114,0)</f>
        <v>0</v>
      </c>
      <c r="O69" s="200">
        <f t="shared" si="4"/>
        <v>0</v>
      </c>
      <c r="P69" s="200">
        <f t="shared" si="5"/>
        <v>0</v>
      </c>
      <c r="Q69" s="200">
        <f>if(AND('Deal Analysis'!$D$47*12&lt;M69,'Deal Analysis'!$D$47&gt;0),0,Q68-P69)</f>
        <v>0</v>
      </c>
      <c r="R69" s="1"/>
      <c r="S69" s="1"/>
      <c r="T69" s="1"/>
      <c r="U69" s="1"/>
      <c r="V69" s="1"/>
      <c r="W69" s="1"/>
      <c r="X69" s="1"/>
      <c r="Y69" s="1"/>
      <c r="Z69" s="1"/>
      <c r="AA69" s="1"/>
    </row>
    <row r="70">
      <c r="A70" s="199">
        <v>67.0</v>
      </c>
      <c r="B70" s="200">
        <f t="shared" si="6"/>
        <v>3046.641421</v>
      </c>
      <c r="C70" s="200">
        <f>'Deal Analysis'!$D$24/12*E69</f>
        <v>2479.026146</v>
      </c>
      <c r="D70" s="200">
        <f t="shared" si="1"/>
        <v>567.6152748</v>
      </c>
      <c r="E70" s="200">
        <f t="shared" si="2"/>
        <v>329969.2042</v>
      </c>
      <c r="F70" s="1"/>
      <c r="G70" s="199">
        <v>67.0</v>
      </c>
      <c r="H70" s="200">
        <f>if(AND('Deal Analysis'!$D$37*12&lt;G70,'Deal Analysis'!$D$37&gt;0),0,H69)</f>
        <v>333.3333333</v>
      </c>
      <c r="I70" s="200">
        <f>if(H70&gt;0,'Deal Analysis'!$D$35/12*K69,0)</f>
        <v>333.3333333</v>
      </c>
      <c r="J70" s="200">
        <f t="shared" si="3"/>
        <v>0</v>
      </c>
      <c r="K70" s="200">
        <f>if(AND('Deal Analysis'!$D$37*12&lt;G70,'Deal Analysis'!$D$37&gt;0),0,K69-J70)</f>
        <v>50000</v>
      </c>
      <c r="L70" s="1"/>
      <c r="M70" s="199">
        <v>67.0</v>
      </c>
      <c r="N70" s="200">
        <f>if('Deal Analysis'!D108="Yes",'Deal Analysis'!D115,0)</f>
        <v>0</v>
      </c>
      <c r="O70" s="200">
        <f t="shared" si="4"/>
        <v>0</v>
      </c>
      <c r="P70" s="200">
        <f t="shared" si="5"/>
        <v>0</v>
      </c>
      <c r="Q70" s="200">
        <f>if(AND('Deal Analysis'!$D$47*12&lt;M70,'Deal Analysis'!$D$47&gt;0),0,Q69-P70)</f>
        <v>0</v>
      </c>
      <c r="R70" s="1"/>
      <c r="S70" s="1"/>
      <c r="T70" s="1"/>
      <c r="U70" s="1"/>
      <c r="V70" s="1"/>
      <c r="W70" s="1"/>
      <c r="X70" s="1"/>
      <c r="Y70" s="1"/>
      <c r="Z70" s="1"/>
      <c r="AA70" s="1"/>
    </row>
    <row r="71">
      <c r="A71" s="199">
        <v>68.0</v>
      </c>
      <c r="B71" s="200">
        <f t="shared" si="6"/>
        <v>3046.641421</v>
      </c>
      <c r="C71" s="200">
        <f>'Deal Analysis'!$D$24/12*E70</f>
        <v>2474.769032</v>
      </c>
      <c r="D71" s="200">
        <f t="shared" si="1"/>
        <v>571.8723894</v>
      </c>
      <c r="E71" s="200">
        <f t="shared" si="2"/>
        <v>329397.3318</v>
      </c>
      <c r="F71" s="1"/>
      <c r="G71" s="199">
        <v>68.0</v>
      </c>
      <c r="H71" s="200">
        <f>if(AND('Deal Analysis'!$D$37*12&lt;G71,'Deal Analysis'!$D$37&gt;0),0,H70)</f>
        <v>333.3333333</v>
      </c>
      <c r="I71" s="200">
        <f>if(H71&gt;0,'Deal Analysis'!$D$35/12*K70,0)</f>
        <v>333.3333333</v>
      </c>
      <c r="J71" s="200">
        <f t="shared" si="3"/>
        <v>0</v>
      </c>
      <c r="K71" s="200">
        <f>if(AND('Deal Analysis'!$D$37*12&lt;G71,'Deal Analysis'!$D$37&gt;0),0,K70-J71)</f>
        <v>50000</v>
      </c>
      <c r="L71" s="1"/>
      <c r="M71" s="199">
        <v>68.0</v>
      </c>
      <c r="N71" s="200">
        <f>if('Deal Analysis'!D109="Yes",'Deal Analysis'!D116,0)</f>
        <v>0</v>
      </c>
      <c r="O71" s="200">
        <f t="shared" si="4"/>
        <v>0</v>
      </c>
      <c r="P71" s="200">
        <f t="shared" si="5"/>
        <v>0</v>
      </c>
      <c r="Q71" s="200">
        <f>if(AND('Deal Analysis'!$D$47*12&lt;M71,'Deal Analysis'!$D$47&gt;0),0,Q70-P71)</f>
        <v>0</v>
      </c>
      <c r="R71" s="1"/>
      <c r="S71" s="1"/>
      <c r="T71" s="1"/>
      <c r="U71" s="1"/>
      <c r="V71" s="1"/>
      <c r="W71" s="1"/>
      <c r="X71" s="1"/>
      <c r="Y71" s="1"/>
      <c r="Z71" s="1"/>
      <c r="AA71" s="1"/>
    </row>
    <row r="72">
      <c r="A72" s="199">
        <v>69.0</v>
      </c>
      <c r="B72" s="200">
        <f t="shared" si="6"/>
        <v>3046.641421</v>
      </c>
      <c r="C72" s="200">
        <f>'Deal Analysis'!$D$24/12*E71</f>
        <v>2470.479989</v>
      </c>
      <c r="D72" s="200">
        <f t="shared" si="1"/>
        <v>576.1614323</v>
      </c>
      <c r="E72" s="200">
        <f t="shared" si="2"/>
        <v>328821.1704</v>
      </c>
      <c r="F72" s="1"/>
      <c r="G72" s="199">
        <v>69.0</v>
      </c>
      <c r="H72" s="200">
        <f>if(AND('Deal Analysis'!$D$37*12&lt;G72,'Deal Analysis'!$D$37&gt;0),0,H71)</f>
        <v>333.3333333</v>
      </c>
      <c r="I72" s="200">
        <f>if(H72&gt;0,'Deal Analysis'!$D$35/12*K71,0)</f>
        <v>333.3333333</v>
      </c>
      <c r="J72" s="200">
        <f t="shared" si="3"/>
        <v>0</v>
      </c>
      <c r="K72" s="200">
        <f>if(AND('Deal Analysis'!$D$37*12&lt;G72,'Deal Analysis'!$D$37&gt;0),0,K71-J72)</f>
        <v>50000</v>
      </c>
      <c r="L72" s="1"/>
      <c r="M72" s="199">
        <v>69.0</v>
      </c>
      <c r="N72" s="200">
        <f>if('Deal Analysis'!D110="Yes",'Deal Analysis'!D117,0)</f>
        <v>0</v>
      </c>
      <c r="O72" s="200">
        <f t="shared" si="4"/>
        <v>0</v>
      </c>
      <c r="P72" s="200">
        <f t="shared" si="5"/>
        <v>0</v>
      </c>
      <c r="Q72" s="200">
        <f>if(AND('Deal Analysis'!$D$47*12&lt;M72,'Deal Analysis'!$D$47&gt;0),0,Q71-P72)</f>
        <v>0</v>
      </c>
      <c r="R72" s="1"/>
      <c r="S72" s="1"/>
      <c r="T72" s="1"/>
      <c r="U72" s="1"/>
      <c r="V72" s="1"/>
      <c r="W72" s="1"/>
      <c r="X72" s="1"/>
      <c r="Y72" s="1"/>
      <c r="Z72" s="1"/>
      <c r="AA72" s="1"/>
    </row>
    <row r="73">
      <c r="A73" s="199">
        <v>70.0</v>
      </c>
      <c r="B73" s="200">
        <f t="shared" si="6"/>
        <v>3046.641421</v>
      </c>
      <c r="C73" s="200">
        <f>'Deal Analysis'!$D$24/12*E72</f>
        <v>2466.158778</v>
      </c>
      <c r="D73" s="200">
        <f t="shared" si="1"/>
        <v>580.482643</v>
      </c>
      <c r="E73" s="200">
        <f t="shared" si="2"/>
        <v>328240.6878</v>
      </c>
      <c r="F73" s="1"/>
      <c r="G73" s="199">
        <v>70.0</v>
      </c>
      <c r="H73" s="200">
        <f>if(AND('Deal Analysis'!$D$37*12&lt;G73,'Deal Analysis'!$D$37&gt;0),0,H72)</f>
        <v>333.3333333</v>
      </c>
      <c r="I73" s="200">
        <f>if(H73&gt;0,'Deal Analysis'!$D$35/12*K72,0)</f>
        <v>333.3333333</v>
      </c>
      <c r="J73" s="200">
        <f t="shared" si="3"/>
        <v>0</v>
      </c>
      <c r="K73" s="200">
        <f>if(AND('Deal Analysis'!$D$37*12&lt;G73,'Deal Analysis'!$D$37&gt;0),0,K72-J73)</f>
        <v>50000</v>
      </c>
      <c r="L73" s="1"/>
      <c r="M73" s="199">
        <v>70.0</v>
      </c>
      <c r="N73" s="200">
        <f>if('Deal Analysis'!D111="Yes",'Deal Analysis'!D118,0)</f>
        <v>0</v>
      </c>
      <c r="O73" s="200">
        <f t="shared" si="4"/>
        <v>0</v>
      </c>
      <c r="P73" s="200">
        <f t="shared" si="5"/>
        <v>0</v>
      </c>
      <c r="Q73" s="200">
        <f>if(AND('Deal Analysis'!$D$47*12&lt;M73,'Deal Analysis'!$D$47&gt;0),0,Q72-P73)</f>
        <v>0</v>
      </c>
      <c r="R73" s="1"/>
      <c r="S73" s="1"/>
      <c r="T73" s="1"/>
      <c r="U73" s="1"/>
      <c r="V73" s="1"/>
      <c r="W73" s="1"/>
      <c r="X73" s="1"/>
      <c r="Y73" s="1"/>
      <c r="Z73" s="1"/>
      <c r="AA73" s="1"/>
    </row>
    <row r="74">
      <c r="A74" s="199">
        <v>71.0</v>
      </c>
      <c r="B74" s="200">
        <f t="shared" si="6"/>
        <v>3046.641421</v>
      </c>
      <c r="C74" s="200">
        <f>'Deal Analysis'!$D$24/12*E73</f>
        <v>2461.805158</v>
      </c>
      <c r="D74" s="200">
        <f t="shared" si="1"/>
        <v>584.8362628</v>
      </c>
      <c r="E74" s="200">
        <f t="shared" si="2"/>
        <v>327655.8515</v>
      </c>
      <c r="F74" s="1"/>
      <c r="G74" s="199">
        <v>71.0</v>
      </c>
      <c r="H74" s="200">
        <f>if(AND('Deal Analysis'!$D$37*12&lt;G74,'Deal Analysis'!$D$37&gt;0),0,H73)</f>
        <v>333.3333333</v>
      </c>
      <c r="I74" s="200">
        <f>if(H74&gt;0,'Deal Analysis'!$D$35/12*K73,0)</f>
        <v>333.3333333</v>
      </c>
      <c r="J74" s="200">
        <f t="shared" si="3"/>
        <v>0</v>
      </c>
      <c r="K74" s="200">
        <f>if(AND('Deal Analysis'!$D$37*12&lt;G74,'Deal Analysis'!$D$37&gt;0),0,K73-J74)</f>
        <v>50000</v>
      </c>
      <c r="L74" s="1"/>
      <c r="M74" s="199">
        <v>71.0</v>
      </c>
      <c r="N74" s="200">
        <f>if('Deal Analysis'!D112="Yes",'Deal Analysis'!D119,0)</f>
        <v>0</v>
      </c>
      <c r="O74" s="200">
        <f t="shared" si="4"/>
        <v>0</v>
      </c>
      <c r="P74" s="200">
        <f t="shared" si="5"/>
        <v>0</v>
      </c>
      <c r="Q74" s="200">
        <f>if(AND('Deal Analysis'!$D$47*12&lt;M74,'Deal Analysis'!$D$47&gt;0),0,Q73-P74)</f>
        <v>0</v>
      </c>
      <c r="R74" s="1"/>
      <c r="S74" s="1"/>
      <c r="T74" s="1"/>
      <c r="U74" s="1"/>
      <c r="V74" s="1"/>
      <c r="W74" s="1"/>
      <c r="X74" s="1"/>
      <c r="Y74" s="1"/>
      <c r="Z74" s="1"/>
      <c r="AA74" s="1"/>
    </row>
    <row r="75">
      <c r="A75" s="199">
        <v>72.0</v>
      </c>
      <c r="B75" s="200">
        <f t="shared" si="6"/>
        <v>3046.641421</v>
      </c>
      <c r="C75" s="200">
        <f>'Deal Analysis'!$D$24/12*E74</f>
        <v>2457.418886</v>
      </c>
      <c r="D75" s="200">
        <f t="shared" si="1"/>
        <v>589.2225348</v>
      </c>
      <c r="E75" s="200">
        <f t="shared" si="2"/>
        <v>327066.629</v>
      </c>
      <c r="F75" s="1"/>
      <c r="G75" s="199">
        <v>72.0</v>
      </c>
      <c r="H75" s="200">
        <f>if(AND('Deal Analysis'!$D$37*12&lt;G75,'Deal Analysis'!$D$37&gt;0),0,H74)</f>
        <v>333.3333333</v>
      </c>
      <c r="I75" s="200">
        <f>if(H75&gt;0,'Deal Analysis'!$D$35/12*K74,0)</f>
        <v>333.3333333</v>
      </c>
      <c r="J75" s="200">
        <f t="shared" si="3"/>
        <v>0</v>
      </c>
      <c r="K75" s="200">
        <f>if(AND('Deal Analysis'!$D$37*12&lt;G75,'Deal Analysis'!$D$37&gt;0),0,K74-J75)</f>
        <v>50000</v>
      </c>
      <c r="L75" s="1"/>
      <c r="M75" s="199">
        <v>72.0</v>
      </c>
      <c r="N75" s="200">
        <f>if('Deal Analysis'!D113="Yes",'Deal Analysis'!D120,0)</f>
        <v>0</v>
      </c>
      <c r="O75" s="200">
        <f t="shared" si="4"/>
        <v>0</v>
      </c>
      <c r="P75" s="200">
        <f t="shared" si="5"/>
        <v>0</v>
      </c>
      <c r="Q75" s="200">
        <f>if(AND('Deal Analysis'!$D$47*12&lt;M75,'Deal Analysis'!$D$47&gt;0),0,Q74-P75)</f>
        <v>0</v>
      </c>
      <c r="R75" s="1"/>
      <c r="S75" s="1"/>
      <c r="T75" s="1"/>
      <c r="U75" s="1"/>
      <c r="V75" s="1"/>
      <c r="W75" s="1"/>
      <c r="X75" s="1"/>
      <c r="Y75" s="1"/>
      <c r="Z75" s="1"/>
      <c r="AA75" s="1"/>
    </row>
    <row r="76">
      <c r="A76" s="199">
        <v>73.0</v>
      </c>
      <c r="B76" s="200">
        <f t="shared" si="6"/>
        <v>3046.641421</v>
      </c>
      <c r="C76" s="200">
        <f>'Deal Analysis'!$D$24/12*E75</f>
        <v>2452.999717</v>
      </c>
      <c r="D76" s="200">
        <f t="shared" si="1"/>
        <v>593.6417038</v>
      </c>
      <c r="E76" s="200">
        <f t="shared" si="2"/>
        <v>326472.9873</v>
      </c>
      <c r="F76" s="1"/>
      <c r="G76" s="199">
        <v>73.0</v>
      </c>
      <c r="H76" s="200">
        <f>if(AND('Deal Analysis'!$D$37*12&lt;G76,'Deal Analysis'!$D$37&gt;0),0,H75)</f>
        <v>333.3333333</v>
      </c>
      <c r="I76" s="200">
        <f>if(H76&gt;0,'Deal Analysis'!$D$35/12*K75,0)</f>
        <v>333.3333333</v>
      </c>
      <c r="J76" s="200">
        <f t="shared" si="3"/>
        <v>0</v>
      </c>
      <c r="K76" s="200">
        <f>if(AND('Deal Analysis'!$D$37*12&lt;G76,'Deal Analysis'!$D$37&gt;0),0,K75-J76)</f>
        <v>50000</v>
      </c>
      <c r="L76" s="1"/>
      <c r="M76" s="199">
        <v>73.0</v>
      </c>
      <c r="N76" s="200">
        <f>if('Deal Analysis'!D114="Yes",'Deal Analysis'!D121,0)</f>
        <v>0</v>
      </c>
      <c r="O76" s="200">
        <f t="shared" si="4"/>
        <v>0</v>
      </c>
      <c r="P76" s="200">
        <f t="shared" si="5"/>
        <v>0</v>
      </c>
      <c r="Q76" s="200">
        <f>if(AND('Deal Analysis'!$D$47*12&lt;M76,'Deal Analysis'!$D$47&gt;0),0,Q75-P76)</f>
        <v>0</v>
      </c>
      <c r="R76" s="1"/>
      <c r="S76" s="1"/>
      <c r="T76" s="1"/>
      <c r="U76" s="1"/>
      <c r="V76" s="1"/>
      <c r="W76" s="1"/>
      <c r="X76" s="1"/>
      <c r="Y76" s="1"/>
      <c r="Z76" s="1"/>
      <c r="AA76" s="1"/>
    </row>
    <row r="77">
      <c r="A77" s="199">
        <v>74.0</v>
      </c>
      <c r="B77" s="200">
        <f t="shared" si="6"/>
        <v>3046.641421</v>
      </c>
      <c r="C77" s="200">
        <f>'Deal Analysis'!$D$24/12*E76</f>
        <v>2448.547404</v>
      </c>
      <c r="D77" s="200">
        <f t="shared" si="1"/>
        <v>598.0940166</v>
      </c>
      <c r="E77" s="200">
        <f t="shared" si="2"/>
        <v>325874.8932</v>
      </c>
      <c r="F77" s="1"/>
      <c r="G77" s="199">
        <v>74.0</v>
      </c>
      <c r="H77" s="200">
        <f>if(AND('Deal Analysis'!$D$37*12&lt;G77,'Deal Analysis'!$D$37&gt;0),0,H76)</f>
        <v>333.3333333</v>
      </c>
      <c r="I77" s="200">
        <f>if(H77&gt;0,'Deal Analysis'!$D$35/12*K76,0)</f>
        <v>333.3333333</v>
      </c>
      <c r="J77" s="200">
        <f t="shared" si="3"/>
        <v>0</v>
      </c>
      <c r="K77" s="200">
        <f>if(AND('Deal Analysis'!$D$37*12&lt;G77,'Deal Analysis'!$D$37&gt;0),0,K76-J77)</f>
        <v>50000</v>
      </c>
      <c r="L77" s="1"/>
      <c r="M77" s="199">
        <v>74.0</v>
      </c>
      <c r="N77" s="200">
        <f>if('Deal Analysis'!D115="Yes",'Deal Analysis'!D122,0)</f>
        <v>0</v>
      </c>
      <c r="O77" s="200">
        <f t="shared" si="4"/>
        <v>0</v>
      </c>
      <c r="P77" s="200">
        <f t="shared" si="5"/>
        <v>0</v>
      </c>
      <c r="Q77" s="200">
        <f>if(AND('Deal Analysis'!$D$47*12&lt;M77,'Deal Analysis'!$D$47&gt;0),0,Q76-P77)</f>
        <v>0</v>
      </c>
      <c r="R77" s="1"/>
      <c r="S77" s="1"/>
      <c r="T77" s="1"/>
      <c r="U77" s="1"/>
      <c r="V77" s="1"/>
      <c r="W77" s="1"/>
      <c r="X77" s="1"/>
      <c r="Y77" s="1"/>
      <c r="Z77" s="1"/>
      <c r="AA77" s="1"/>
    </row>
    <row r="78">
      <c r="A78" s="199">
        <v>75.0</v>
      </c>
      <c r="B78" s="200">
        <f t="shared" si="6"/>
        <v>3046.641421</v>
      </c>
      <c r="C78" s="200">
        <f>'Deal Analysis'!$D$24/12*E77</f>
        <v>2444.061699</v>
      </c>
      <c r="D78" s="200">
        <f t="shared" si="1"/>
        <v>602.5797217</v>
      </c>
      <c r="E78" s="200">
        <f t="shared" si="2"/>
        <v>325272.3135</v>
      </c>
      <c r="F78" s="1"/>
      <c r="G78" s="199">
        <v>75.0</v>
      </c>
      <c r="H78" s="200">
        <f>if(AND('Deal Analysis'!$D$37*12&lt;G78,'Deal Analysis'!$D$37&gt;0),0,H77)</f>
        <v>333.3333333</v>
      </c>
      <c r="I78" s="200">
        <f>if(H78&gt;0,'Deal Analysis'!$D$35/12*K77,0)</f>
        <v>333.3333333</v>
      </c>
      <c r="J78" s="200">
        <f t="shared" si="3"/>
        <v>0</v>
      </c>
      <c r="K78" s="200">
        <f>if(AND('Deal Analysis'!$D$37*12&lt;G78,'Deal Analysis'!$D$37&gt;0),0,K77-J78)</f>
        <v>50000</v>
      </c>
      <c r="L78" s="1"/>
      <c r="M78" s="199">
        <v>75.0</v>
      </c>
      <c r="N78" s="200">
        <f>if('Deal Analysis'!D116="Yes",'Deal Analysis'!D123,0)</f>
        <v>0</v>
      </c>
      <c r="O78" s="200">
        <f t="shared" si="4"/>
        <v>0</v>
      </c>
      <c r="P78" s="200">
        <f t="shared" si="5"/>
        <v>0</v>
      </c>
      <c r="Q78" s="200">
        <f>if(AND('Deal Analysis'!$D$47*12&lt;M78,'Deal Analysis'!$D$47&gt;0),0,Q77-P78)</f>
        <v>0</v>
      </c>
      <c r="R78" s="1"/>
      <c r="S78" s="1"/>
      <c r="T78" s="1"/>
      <c r="U78" s="1"/>
      <c r="V78" s="1"/>
      <c r="W78" s="1"/>
      <c r="X78" s="1"/>
      <c r="Y78" s="1"/>
      <c r="Z78" s="1"/>
      <c r="AA78" s="1"/>
    </row>
    <row r="79">
      <c r="A79" s="199">
        <v>76.0</v>
      </c>
      <c r="B79" s="200">
        <f t="shared" si="6"/>
        <v>3046.641421</v>
      </c>
      <c r="C79" s="200">
        <f>'Deal Analysis'!$D$24/12*E78</f>
        <v>2439.542351</v>
      </c>
      <c r="D79" s="200">
        <f t="shared" si="1"/>
        <v>607.0990696</v>
      </c>
      <c r="E79" s="200">
        <f t="shared" si="2"/>
        <v>324665.2144</v>
      </c>
      <c r="F79" s="1"/>
      <c r="G79" s="199">
        <v>76.0</v>
      </c>
      <c r="H79" s="200">
        <f>if(AND('Deal Analysis'!$D$37*12&lt;G79,'Deal Analysis'!$D$37&gt;0),0,H78)</f>
        <v>333.3333333</v>
      </c>
      <c r="I79" s="200">
        <f>if(H79&gt;0,'Deal Analysis'!$D$35/12*K78,0)</f>
        <v>333.3333333</v>
      </c>
      <c r="J79" s="200">
        <f t="shared" si="3"/>
        <v>0</v>
      </c>
      <c r="K79" s="200">
        <f>if(AND('Deal Analysis'!$D$37*12&lt;G79,'Deal Analysis'!$D$37&gt;0),0,K78-J79)</f>
        <v>50000</v>
      </c>
      <c r="L79" s="1"/>
      <c r="M79" s="199">
        <v>76.0</v>
      </c>
      <c r="N79" s="200">
        <f>if('Deal Analysis'!D117="Yes",'Deal Analysis'!D124,0)</f>
        <v>0</v>
      </c>
      <c r="O79" s="200">
        <f t="shared" si="4"/>
        <v>0</v>
      </c>
      <c r="P79" s="200">
        <f t="shared" si="5"/>
        <v>0</v>
      </c>
      <c r="Q79" s="200">
        <f>if(AND('Deal Analysis'!$D$47*12&lt;M79,'Deal Analysis'!$D$47&gt;0),0,Q78-P79)</f>
        <v>0</v>
      </c>
      <c r="R79" s="1"/>
      <c r="S79" s="1"/>
      <c r="T79" s="1"/>
      <c r="U79" s="1"/>
      <c r="V79" s="1"/>
      <c r="W79" s="1"/>
      <c r="X79" s="1"/>
      <c r="Y79" s="1"/>
      <c r="Z79" s="1"/>
      <c r="AA79" s="1"/>
    </row>
    <row r="80">
      <c r="A80" s="199">
        <v>77.0</v>
      </c>
      <c r="B80" s="200">
        <f t="shared" si="6"/>
        <v>3046.641421</v>
      </c>
      <c r="C80" s="200">
        <f>'Deal Analysis'!$D$24/12*E79</f>
        <v>2434.989108</v>
      </c>
      <c r="D80" s="200">
        <f t="shared" si="1"/>
        <v>611.6523127</v>
      </c>
      <c r="E80" s="200">
        <f t="shared" si="2"/>
        <v>324053.5621</v>
      </c>
      <c r="F80" s="1"/>
      <c r="G80" s="199">
        <v>77.0</v>
      </c>
      <c r="H80" s="200">
        <f>if(AND('Deal Analysis'!$D$37*12&lt;G80,'Deal Analysis'!$D$37&gt;0),0,H79)</f>
        <v>333.3333333</v>
      </c>
      <c r="I80" s="200">
        <f>if(H80&gt;0,'Deal Analysis'!$D$35/12*K79,0)</f>
        <v>333.3333333</v>
      </c>
      <c r="J80" s="200">
        <f t="shared" si="3"/>
        <v>0</v>
      </c>
      <c r="K80" s="200">
        <f>if(AND('Deal Analysis'!$D$37*12&lt;G80,'Deal Analysis'!$D$37&gt;0),0,K79-J80)</f>
        <v>50000</v>
      </c>
      <c r="L80" s="1"/>
      <c r="M80" s="199">
        <v>77.0</v>
      </c>
      <c r="N80" s="200">
        <f>if('Deal Analysis'!D118="Yes",'Deal Analysis'!D125,0)</f>
        <v>0</v>
      </c>
      <c r="O80" s="200">
        <f t="shared" si="4"/>
        <v>0</v>
      </c>
      <c r="P80" s="200">
        <f t="shared" si="5"/>
        <v>0</v>
      </c>
      <c r="Q80" s="200">
        <f>if(AND('Deal Analysis'!$D$47*12&lt;M80,'Deal Analysis'!$D$47&gt;0),0,Q79-P80)</f>
        <v>0</v>
      </c>
      <c r="R80" s="1"/>
      <c r="S80" s="1"/>
      <c r="T80" s="1"/>
      <c r="U80" s="1"/>
      <c r="V80" s="1"/>
      <c r="W80" s="1"/>
      <c r="X80" s="1"/>
      <c r="Y80" s="1"/>
      <c r="Z80" s="1"/>
      <c r="AA80" s="1"/>
    </row>
    <row r="81">
      <c r="A81" s="199">
        <v>78.0</v>
      </c>
      <c r="B81" s="200">
        <f t="shared" si="6"/>
        <v>3046.641421</v>
      </c>
      <c r="C81" s="200">
        <f>'Deal Analysis'!$D$24/12*E80</f>
        <v>2430.401716</v>
      </c>
      <c r="D81" s="200">
        <f t="shared" si="1"/>
        <v>616.239705</v>
      </c>
      <c r="E81" s="200">
        <f t="shared" si="2"/>
        <v>323437.3224</v>
      </c>
      <c r="F81" s="1"/>
      <c r="G81" s="199">
        <v>78.0</v>
      </c>
      <c r="H81" s="200">
        <f>if(AND('Deal Analysis'!$D$37*12&lt;G81,'Deal Analysis'!$D$37&gt;0),0,H80)</f>
        <v>333.3333333</v>
      </c>
      <c r="I81" s="200">
        <f>if(H81&gt;0,'Deal Analysis'!$D$35/12*K80,0)</f>
        <v>333.3333333</v>
      </c>
      <c r="J81" s="200">
        <f t="shared" si="3"/>
        <v>0</v>
      </c>
      <c r="K81" s="200">
        <f>if(AND('Deal Analysis'!$D$37*12&lt;G81,'Deal Analysis'!$D$37&gt;0),0,K80-J81)</f>
        <v>50000</v>
      </c>
      <c r="L81" s="1"/>
      <c r="M81" s="199">
        <v>78.0</v>
      </c>
      <c r="N81" s="200">
        <f>if('Deal Analysis'!D119="Yes",'Deal Analysis'!D126,0)</f>
        <v>0</v>
      </c>
      <c r="O81" s="200">
        <f t="shared" si="4"/>
        <v>0</v>
      </c>
      <c r="P81" s="200">
        <f t="shared" si="5"/>
        <v>0</v>
      </c>
      <c r="Q81" s="200">
        <f>if(AND('Deal Analysis'!$D$47*12&lt;M81,'Deal Analysis'!$D$47&gt;0),0,Q80-P81)</f>
        <v>0</v>
      </c>
      <c r="R81" s="1"/>
      <c r="S81" s="1"/>
      <c r="T81" s="1"/>
      <c r="U81" s="1"/>
      <c r="V81" s="1"/>
      <c r="W81" s="1"/>
      <c r="X81" s="1"/>
      <c r="Y81" s="1"/>
      <c r="Z81" s="1"/>
      <c r="AA81" s="1"/>
    </row>
    <row r="82">
      <c r="A82" s="199">
        <v>79.0</v>
      </c>
      <c r="B82" s="200">
        <f t="shared" si="6"/>
        <v>3046.641421</v>
      </c>
      <c r="C82" s="200">
        <f>'Deal Analysis'!$D$24/12*E81</f>
        <v>2425.779918</v>
      </c>
      <c r="D82" s="200">
        <f t="shared" si="1"/>
        <v>620.8615028</v>
      </c>
      <c r="E82" s="200">
        <f t="shared" si="2"/>
        <v>322816.4609</v>
      </c>
      <c r="F82" s="1"/>
      <c r="G82" s="199">
        <v>79.0</v>
      </c>
      <c r="H82" s="200">
        <f>if(AND('Deal Analysis'!$D$37*12&lt;G82,'Deal Analysis'!$D$37&gt;0),0,H81)</f>
        <v>333.3333333</v>
      </c>
      <c r="I82" s="200">
        <f>if(H82&gt;0,'Deal Analysis'!$D$35/12*K81,0)</f>
        <v>333.3333333</v>
      </c>
      <c r="J82" s="200">
        <f t="shared" si="3"/>
        <v>0</v>
      </c>
      <c r="K82" s="200">
        <f>if(AND('Deal Analysis'!$D$37*12&lt;G82,'Deal Analysis'!$D$37&gt;0),0,K81-J82)</f>
        <v>50000</v>
      </c>
      <c r="L82" s="1"/>
      <c r="M82" s="199">
        <v>79.0</v>
      </c>
      <c r="N82" s="200">
        <f>if('Deal Analysis'!D120="Yes",'Deal Analysis'!D127,0)</f>
        <v>0</v>
      </c>
      <c r="O82" s="200">
        <f t="shared" si="4"/>
        <v>0</v>
      </c>
      <c r="P82" s="200">
        <f t="shared" si="5"/>
        <v>0</v>
      </c>
      <c r="Q82" s="200">
        <f>if(AND('Deal Analysis'!$D$47*12&lt;M82,'Deal Analysis'!$D$47&gt;0),0,Q81-P82)</f>
        <v>0</v>
      </c>
      <c r="R82" s="1"/>
      <c r="S82" s="1"/>
      <c r="T82" s="1"/>
      <c r="U82" s="1"/>
      <c r="V82" s="1"/>
      <c r="W82" s="1"/>
      <c r="X82" s="1"/>
      <c r="Y82" s="1"/>
      <c r="Z82" s="1"/>
      <c r="AA82" s="1"/>
    </row>
    <row r="83">
      <c r="A83" s="199">
        <v>80.0</v>
      </c>
      <c r="B83" s="200">
        <f t="shared" si="6"/>
        <v>3046.641421</v>
      </c>
      <c r="C83" s="200">
        <f>'Deal Analysis'!$D$24/12*E82</f>
        <v>2421.123457</v>
      </c>
      <c r="D83" s="200">
        <f t="shared" si="1"/>
        <v>625.5179641</v>
      </c>
      <c r="E83" s="200">
        <f t="shared" si="2"/>
        <v>322190.943</v>
      </c>
      <c r="F83" s="1"/>
      <c r="G83" s="199">
        <v>80.0</v>
      </c>
      <c r="H83" s="200">
        <f>if(AND('Deal Analysis'!$D$37*12&lt;G83,'Deal Analysis'!$D$37&gt;0),0,H82)</f>
        <v>333.3333333</v>
      </c>
      <c r="I83" s="200">
        <f>if(H83&gt;0,'Deal Analysis'!$D$35/12*K82,0)</f>
        <v>333.3333333</v>
      </c>
      <c r="J83" s="200">
        <f t="shared" si="3"/>
        <v>0</v>
      </c>
      <c r="K83" s="200">
        <f>if(AND('Deal Analysis'!$D$37*12&lt;G83,'Deal Analysis'!$D$37&gt;0),0,K82-J83)</f>
        <v>50000</v>
      </c>
      <c r="L83" s="1"/>
      <c r="M83" s="199">
        <v>80.0</v>
      </c>
      <c r="N83" s="200">
        <f>if('Deal Analysis'!D121="Yes",'Deal Analysis'!D128,0)</f>
        <v>0</v>
      </c>
      <c r="O83" s="200">
        <f t="shared" si="4"/>
        <v>0</v>
      </c>
      <c r="P83" s="200">
        <f t="shared" si="5"/>
        <v>0</v>
      </c>
      <c r="Q83" s="200">
        <f>if(AND('Deal Analysis'!$D$47*12&lt;M83,'Deal Analysis'!$D$47&gt;0),0,Q82-P83)</f>
        <v>0</v>
      </c>
      <c r="R83" s="1"/>
      <c r="S83" s="1"/>
      <c r="T83" s="1"/>
      <c r="U83" s="1"/>
      <c r="V83" s="1"/>
      <c r="W83" s="1"/>
      <c r="X83" s="1"/>
      <c r="Y83" s="1"/>
      <c r="Z83" s="1"/>
      <c r="AA83" s="1"/>
    </row>
    <row r="84">
      <c r="A84" s="199">
        <v>81.0</v>
      </c>
      <c r="B84" s="200">
        <f t="shared" si="6"/>
        <v>3046.641421</v>
      </c>
      <c r="C84" s="200">
        <f>'Deal Analysis'!$D$24/12*E83</f>
        <v>2416.432072</v>
      </c>
      <c r="D84" s="200">
        <f t="shared" si="1"/>
        <v>630.2093488</v>
      </c>
      <c r="E84" s="200">
        <f t="shared" si="2"/>
        <v>321560.7336</v>
      </c>
      <c r="F84" s="1"/>
      <c r="G84" s="199">
        <v>81.0</v>
      </c>
      <c r="H84" s="200">
        <f>if(AND('Deal Analysis'!$D$37*12&lt;G84,'Deal Analysis'!$D$37&gt;0),0,H83)</f>
        <v>333.3333333</v>
      </c>
      <c r="I84" s="200">
        <f>if(H84&gt;0,'Deal Analysis'!$D$35/12*K83,0)</f>
        <v>333.3333333</v>
      </c>
      <c r="J84" s="200">
        <f t="shared" si="3"/>
        <v>0</v>
      </c>
      <c r="K84" s="200">
        <f>if(AND('Deal Analysis'!$D$37*12&lt;G84,'Deal Analysis'!$D$37&gt;0),0,K83-J84)</f>
        <v>50000</v>
      </c>
      <c r="L84" s="1"/>
      <c r="M84" s="199">
        <v>81.0</v>
      </c>
      <c r="N84" s="200">
        <f>if('Deal Analysis'!D122="Yes",'Deal Analysis'!D129,0)</f>
        <v>0</v>
      </c>
      <c r="O84" s="200">
        <f t="shared" si="4"/>
        <v>0</v>
      </c>
      <c r="P84" s="200">
        <f t="shared" si="5"/>
        <v>0</v>
      </c>
      <c r="Q84" s="200">
        <f>if(AND('Deal Analysis'!$D$47*12&lt;M84,'Deal Analysis'!$D$47&gt;0),0,Q83-P84)</f>
        <v>0</v>
      </c>
      <c r="R84" s="1"/>
      <c r="S84" s="1"/>
      <c r="T84" s="1"/>
      <c r="U84" s="1"/>
      <c r="V84" s="1"/>
      <c r="W84" s="1"/>
      <c r="X84" s="1"/>
      <c r="Y84" s="1"/>
      <c r="Z84" s="1"/>
      <c r="AA84" s="1"/>
    </row>
    <row r="85">
      <c r="A85" s="199">
        <v>82.0</v>
      </c>
      <c r="B85" s="200">
        <f t="shared" si="6"/>
        <v>3046.641421</v>
      </c>
      <c r="C85" s="200">
        <f>'Deal Analysis'!$D$24/12*E84</f>
        <v>2411.705502</v>
      </c>
      <c r="D85" s="200">
        <f t="shared" si="1"/>
        <v>634.9359189</v>
      </c>
      <c r="E85" s="200">
        <f t="shared" si="2"/>
        <v>320925.7977</v>
      </c>
      <c r="F85" s="1"/>
      <c r="G85" s="199">
        <v>82.0</v>
      </c>
      <c r="H85" s="200">
        <f>if(AND('Deal Analysis'!$D$37*12&lt;G85,'Deal Analysis'!$D$37&gt;0),0,H84)</f>
        <v>333.3333333</v>
      </c>
      <c r="I85" s="200">
        <f>if(H85&gt;0,'Deal Analysis'!$D$35/12*K84,0)</f>
        <v>333.3333333</v>
      </c>
      <c r="J85" s="200">
        <f t="shared" si="3"/>
        <v>0</v>
      </c>
      <c r="K85" s="200">
        <f>if(AND('Deal Analysis'!$D$37*12&lt;G85,'Deal Analysis'!$D$37&gt;0),0,K84-J85)</f>
        <v>50000</v>
      </c>
      <c r="L85" s="1"/>
      <c r="M85" s="199">
        <v>82.0</v>
      </c>
      <c r="N85" s="200">
        <f>if('Deal Analysis'!D123="Yes",'Deal Analysis'!D130,0)</f>
        <v>0</v>
      </c>
      <c r="O85" s="200">
        <f t="shared" si="4"/>
        <v>0</v>
      </c>
      <c r="P85" s="200">
        <f t="shared" si="5"/>
        <v>0</v>
      </c>
      <c r="Q85" s="200">
        <f>if(AND('Deal Analysis'!$D$47*12&lt;M85,'Deal Analysis'!$D$47&gt;0),0,Q84-P85)</f>
        <v>0</v>
      </c>
      <c r="R85" s="1"/>
      <c r="S85" s="1"/>
      <c r="T85" s="1"/>
      <c r="U85" s="1"/>
      <c r="V85" s="1"/>
      <c r="W85" s="1"/>
      <c r="X85" s="1"/>
      <c r="Y85" s="1"/>
      <c r="Z85" s="1"/>
      <c r="AA85" s="1"/>
    </row>
    <row r="86">
      <c r="A86" s="199">
        <v>83.0</v>
      </c>
      <c r="B86" s="200">
        <f t="shared" si="6"/>
        <v>3046.641421</v>
      </c>
      <c r="C86" s="200">
        <f>'Deal Analysis'!$D$24/12*E85</f>
        <v>2406.943483</v>
      </c>
      <c r="D86" s="200">
        <f t="shared" si="1"/>
        <v>639.6979383</v>
      </c>
      <c r="E86" s="200">
        <f t="shared" si="2"/>
        <v>320286.0998</v>
      </c>
      <c r="F86" s="1"/>
      <c r="G86" s="199">
        <v>83.0</v>
      </c>
      <c r="H86" s="200">
        <f>if(AND('Deal Analysis'!$D$37*12&lt;G86,'Deal Analysis'!$D$37&gt;0),0,H85)</f>
        <v>333.3333333</v>
      </c>
      <c r="I86" s="200">
        <f>if(H86&gt;0,'Deal Analysis'!$D$35/12*K85,0)</f>
        <v>333.3333333</v>
      </c>
      <c r="J86" s="200">
        <f t="shared" si="3"/>
        <v>0</v>
      </c>
      <c r="K86" s="200">
        <f>if(AND('Deal Analysis'!$D$37*12&lt;G86,'Deal Analysis'!$D$37&gt;0),0,K85-J86)</f>
        <v>50000</v>
      </c>
      <c r="L86" s="1"/>
      <c r="M86" s="199">
        <v>83.0</v>
      </c>
      <c r="N86" s="200">
        <f>if('Deal Analysis'!D124="Yes",'Deal Analysis'!D131,0)</f>
        <v>0</v>
      </c>
      <c r="O86" s="200">
        <f t="shared" si="4"/>
        <v>0</v>
      </c>
      <c r="P86" s="200">
        <f t="shared" si="5"/>
        <v>0</v>
      </c>
      <c r="Q86" s="200">
        <f>if(AND('Deal Analysis'!$D$47*12&lt;M86,'Deal Analysis'!$D$47&gt;0),0,Q85-P86)</f>
        <v>0</v>
      </c>
      <c r="R86" s="1"/>
      <c r="S86" s="1"/>
      <c r="T86" s="1"/>
      <c r="U86" s="1"/>
      <c r="V86" s="1"/>
      <c r="W86" s="1"/>
      <c r="X86" s="1"/>
      <c r="Y86" s="1"/>
      <c r="Z86" s="1"/>
      <c r="AA86" s="1"/>
    </row>
    <row r="87">
      <c r="A87" s="199">
        <v>84.0</v>
      </c>
      <c r="B87" s="200">
        <f t="shared" si="6"/>
        <v>3046.641421</v>
      </c>
      <c r="C87" s="200">
        <f>'Deal Analysis'!$D$24/12*E86</f>
        <v>2402.145748</v>
      </c>
      <c r="D87" s="200">
        <f t="shared" si="1"/>
        <v>644.4956729</v>
      </c>
      <c r="E87" s="200">
        <f t="shared" si="2"/>
        <v>319641.6041</v>
      </c>
      <c r="F87" s="1"/>
      <c r="G87" s="199">
        <v>84.0</v>
      </c>
      <c r="H87" s="200">
        <f>if(AND('Deal Analysis'!$D$37*12&lt;G87,'Deal Analysis'!$D$37&gt;0),0,H86)</f>
        <v>333.3333333</v>
      </c>
      <c r="I87" s="200">
        <f>if(H87&gt;0,'Deal Analysis'!$D$35/12*K86,0)</f>
        <v>333.3333333</v>
      </c>
      <c r="J87" s="200">
        <f t="shared" si="3"/>
        <v>0</v>
      </c>
      <c r="K87" s="200">
        <f>if(AND('Deal Analysis'!$D$37*12&lt;G87,'Deal Analysis'!$D$37&gt;0),0,K86-J87)</f>
        <v>50000</v>
      </c>
      <c r="L87" s="1"/>
      <c r="M87" s="199">
        <v>84.0</v>
      </c>
      <c r="N87" s="200">
        <f>if('Deal Analysis'!D125="Yes",'Deal Analysis'!D132,0)</f>
        <v>0</v>
      </c>
      <c r="O87" s="200">
        <f t="shared" si="4"/>
        <v>0</v>
      </c>
      <c r="P87" s="200">
        <f t="shared" si="5"/>
        <v>0</v>
      </c>
      <c r="Q87" s="200">
        <f>if(AND('Deal Analysis'!$D$47*12&lt;M87,'Deal Analysis'!$D$47&gt;0),0,Q86-P87)</f>
        <v>0</v>
      </c>
      <c r="R87" s="1"/>
      <c r="S87" s="1"/>
      <c r="T87" s="1"/>
      <c r="U87" s="1"/>
      <c r="V87" s="1"/>
      <c r="W87" s="1"/>
      <c r="X87" s="1"/>
      <c r="Y87" s="1"/>
      <c r="Z87" s="1"/>
      <c r="AA87" s="1"/>
    </row>
    <row r="88">
      <c r="A88" s="199">
        <v>85.0</v>
      </c>
      <c r="B88" s="200">
        <f t="shared" si="6"/>
        <v>3046.641421</v>
      </c>
      <c r="C88" s="200">
        <f>'Deal Analysis'!$D$24/12*E87</f>
        <v>2397.312031</v>
      </c>
      <c r="D88" s="200">
        <f t="shared" si="1"/>
        <v>649.3293904</v>
      </c>
      <c r="E88" s="200">
        <f t="shared" si="2"/>
        <v>318992.2747</v>
      </c>
      <c r="F88" s="1"/>
      <c r="G88" s="199">
        <v>85.0</v>
      </c>
      <c r="H88" s="200">
        <f>if(AND('Deal Analysis'!$D$37*12&lt;G88,'Deal Analysis'!$D$37&gt;0),0,H87)</f>
        <v>333.3333333</v>
      </c>
      <c r="I88" s="200">
        <f>if(H88&gt;0,'Deal Analysis'!$D$35/12*K87,0)</f>
        <v>333.3333333</v>
      </c>
      <c r="J88" s="200">
        <f t="shared" si="3"/>
        <v>0</v>
      </c>
      <c r="K88" s="200">
        <f>if(AND('Deal Analysis'!$D$37*12&lt;G88,'Deal Analysis'!$D$37&gt;0),0,K87-J88)</f>
        <v>50000</v>
      </c>
      <c r="L88" s="1"/>
      <c r="M88" s="199">
        <v>85.0</v>
      </c>
      <c r="N88" s="200">
        <f>if('Deal Analysis'!D126="Yes",'Deal Analysis'!D133,0)</f>
        <v>0</v>
      </c>
      <c r="O88" s="200">
        <f t="shared" si="4"/>
        <v>0</v>
      </c>
      <c r="P88" s="200">
        <f t="shared" si="5"/>
        <v>0</v>
      </c>
      <c r="Q88" s="200">
        <f>if(AND('Deal Analysis'!$D$47*12&lt;M88,'Deal Analysis'!$D$47&gt;0),0,Q87-P88)</f>
        <v>0</v>
      </c>
      <c r="R88" s="1"/>
      <c r="S88" s="1"/>
      <c r="T88" s="1"/>
      <c r="U88" s="1"/>
      <c r="V88" s="1"/>
      <c r="W88" s="1"/>
      <c r="X88" s="1"/>
      <c r="Y88" s="1"/>
      <c r="Z88" s="1"/>
      <c r="AA88" s="1"/>
    </row>
    <row r="89">
      <c r="A89" s="199">
        <v>86.0</v>
      </c>
      <c r="B89" s="200">
        <f t="shared" si="6"/>
        <v>3046.641421</v>
      </c>
      <c r="C89" s="200">
        <f>'Deal Analysis'!$D$24/12*E88</f>
        <v>2392.44206</v>
      </c>
      <c r="D89" s="200">
        <f t="shared" si="1"/>
        <v>654.1993608</v>
      </c>
      <c r="E89" s="200">
        <f t="shared" si="2"/>
        <v>318338.0753</v>
      </c>
      <c r="F89" s="1"/>
      <c r="G89" s="199">
        <v>86.0</v>
      </c>
      <c r="H89" s="200">
        <f>if(AND('Deal Analysis'!$D$37*12&lt;G89,'Deal Analysis'!$D$37&gt;0),0,H88)</f>
        <v>333.3333333</v>
      </c>
      <c r="I89" s="200">
        <f>if(H89&gt;0,'Deal Analysis'!$D$35/12*K88,0)</f>
        <v>333.3333333</v>
      </c>
      <c r="J89" s="200">
        <f t="shared" si="3"/>
        <v>0</v>
      </c>
      <c r="K89" s="200">
        <f>if(AND('Deal Analysis'!$D$37*12&lt;G89,'Deal Analysis'!$D$37&gt;0),0,K88-J89)</f>
        <v>50000</v>
      </c>
      <c r="L89" s="1"/>
      <c r="M89" s="199">
        <v>86.0</v>
      </c>
      <c r="N89" s="200">
        <f>if('Deal Analysis'!D127="Yes",'Deal Analysis'!D134,0)</f>
        <v>0</v>
      </c>
      <c r="O89" s="200">
        <f t="shared" si="4"/>
        <v>0</v>
      </c>
      <c r="P89" s="200">
        <f t="shared" si="5"/>
        <v>0</v>
      </c>
      <c r="Q89" s="200">
        <f>if(AND('Deal Analysis'!$D$47*12&lt;M89,'Deal Analysis'!$D$47&gt;0),0,Q88-P89)</f>
        <v>0</v>
      </c>
      <c r="R89" s="1"/>
      <c r="S89" s="1"/>
      <c r="T89" s="1"/>
      <c r="U89" s="1"/>
      <c r="V89" s="1"/>
      <c r="W89" s="1"/>
      <c r="X89" s="1"/>
      <c r="Y89" s="1"/>
      <c r="Z89" s="1"/>
      <c r="AA89" s="1"/>
    </row>
    <row r="90">
      <c r="A90" s="199">
        <v>87.0</v>
      </c>
      <c r="B90" s="200">
        <f t="shared" si="6"/>
        <v>3046.641421</v>
      </c>
      <c r="C90" s="200">
        <f>'Deal Analysis'!$D$24/12*E89</f>
        <v>2387.535565</v>
      </c>
      <c r="D90" s="200">
        <f t="shared" si="1"/>
        <v>659.105856</v>
      </c>
      <c r="E90" s="200">
        <f t="shared" si="2"/>
        <v>317678.9695</v>
      </c>
      <c r="F90" s="1"/>
      <c r="G90" s="199">
        <v>87.0</v>
      </c>
      <c r="H90" s="200">
        <f>if(AND('Deal Analysis'!$D$37*12&lt;G90,'Deal Analysis'!$D$37&gt;0),0,H89)</f>
        <v>333.3333333</v>
      </c>
      <c r="I90" s="200">
        <f>if(H90&gt;0,'Deal Analysis'!$D$35/12*K89,0)</f>
        <v>333.3333333</v>
      </c>
      <c r="J90" s="200">
        <f t="shared" si="3"/>
        <v>0</v>
      </c>
      <c r="K90" s="200">
        <f>if(AND('Deal Analysis'!$D$37*12&lt;G90,'Deal Analysis'!$D$37&gt;0),0,K89-J90)</f>
        <v>50000</v>
      </c>
      <c r="L90" s="1"/>
      <c r="M90" s="199">
        <v>87.0</v>
      </c>
      <c r="N90" s="200">
        <f>if('Deal Analysis'!D128="Yes",'Deal Analysis'!D135,0)</f>
        <v>0</v>
      </c>
      <c r="O90" s="200">
        <f t="shared" si="4"/>
        <v>0</v>
      </c>
      <c r="P90" s="200">
        <f t="shared" si="5"/>
        <v>0</v>
      </c>
      <c r="Q90" s="200">
        <f>if(AND('Deal Analysis'!$D$47*12&lt;M90,'Deal Analysis'!$D$47&gt;0),0,Q89-P90)</f>
        <v>0</v>
      </c>
      <c r="R90" s="1"/>
      <c r="S90" s="1"/>
      <c r="T90" s="1"/>
      <c r="U90" s="1"/>
      <c r="V90" s="1"/>
      <c r="W90" s="1"/>
      <c r="X90" s="1"/>
      <c r="Y90" s="1"/>
      <c r="Z90" s="1"/>
      <c r="AA90" s="1"/>
    </row>
    <row r="91">
      <c r="A91" s="199">
        <v>88.0</v>
      </c>
      <c r="B91" s="200">
        <f t="shared" si="6"/>
        <v>3046.641421</v>
      </c>
      <c r="C91" s="200">
        <f>'Deal Analysis'!$D$24/12*E90</f>
        <v>2382.592271</v>
      </c>
      <c r="D91" s="200">
        <f t="shared" si="1"/>
        <v>664.04915</v>
      </c>
      <c r="E91" s="200">
        <f t="shared" si="2"/>
        <v>317014.9203</v>
      </c>
      <c r="F91" s="1"/>
      <c r="G91" s="199">
        <v>88.0</v>
      </c>
      <c r="H91" s="200">
        <f>if(AND('Deal Analysis'!$D$37*12&lt;G91,'Deal Analysis'!$D$37&gt;0),0,H90)</f>
        <v>333.3333333</v>
      </c>
      <c r="I91" s="200">
        <f>if(H91&gt;0,'Deal Analysis'!$D$35/12*K90,0)</f>
        <v>333.3333333</v>
      </c>
      <c r="J91" s="200">
        <f t="shared" si="3"/>
        <v>0</v>
      </c>
      <c r="K91" s="200">
        <f>if(AND('Deal Analysis'!$D$37*12&lt;G91,'Deal Analysis'!$D$37&gt;0),0,K90-J91)</f>
        <v>50000</v>
      </c>
      <c r="L91" s="1"/>
      <c r="M91" s="199">
        <v>88.0</v>
      </c>
      <c r="N91" s="200">
        <f>if('Deal Analysis'!D129="Yes",'Deal Analysis'!D136,0)</f>
        <v>0</v>
      </c>
      <c r="O91" s="200">
        <f t="shared" si="4"/>
        <v>0</v>
      </c>
      <c r="P91" s="200">
        <f t="shared" si="5"/>
        <v>0</v>
      </c>
      <c r="Q91" s="200">
        <f>if(AND('Deal Analysis'!$D$47*12&lt;M91,'Deal Analysis'!$D$47&gt;0),0,Q90-P91)</f>
        <v>0</v>
      </c>
      <c r="R91" s="1"/>
      <c r="S91" s="1"/>
      <c r="T91" s="1"/>
      <c r="U91" s="1"/>
      <c r="V91" s="1"/>
      <c r="W91" s="1"/>
      <c r="X91" s="1"/>
      <c r="Y91" s="1"/>
      <c r="Z91" s="1"/>
      <c r="AA91" s="1"/>
    </row>
    <row r="92">
      <c r="A92" s="199">
        <v>89.0</v>
      </c>
      <c r="B92" s="200">
        <f t="shared" si="6"/>
        <v>3046.641421</v>
      </c>
      <c r="C92" s="200">
        <f>'Deal Analysis'!$D$24/12*E91</f>
        <v>2377.611902</v>
      </c>
      <c r="D92" s="200">
        <f t="shared" si="1"/>
        <v>669.0295186</v>
      </c>
      <c r="E92" s="200">
        <f t="shared" si="2"/>
        <v>316345.8908</v>
      </c>
      <c r="F92" s="1"/>
      <c r="G92" s="199">
        <v>89.0</v>
      </c>
      <c r="H92" s="200">
        <f>if(AND('Deal Analysis'!$D$37*12&lt;G92,'Deal Analysis'!$D$37&gt;0),0,H91)</f>
        <v>333.3333333</v>
      </c>
      <c r="I92" s="200">
        <f>if(H92&gt;0,'Deal Analysis'!$D$35/12*K91,0)</f>
        <v>333.3333333</v>
      </c>
      <c r="J92" s="200">
        <f t="shared" si="3"/>
        <v>0</v>
      </c>
      <c r="K92" s="200">
        <f>if(AND('Deal Analysis'!$D$37*12&lt;G92,'Deal Analysis'!$D$37&gt;0),0,K91-J92)</f>
        <v>50000</v>
      </c>
      <c r="L92" s="1"/>
      <c r="M92" s="199">
        <v>89.0</v>
      </c>
      <c r="N92" s="200">
        <f>if('Deal Analysis'!D130="Yes",'Deal Analysis'!D137,0)</f>
        <v>0</v>
      </c>
      <c r="O92" s="200">
        <f t="shared" si="4"/>
        <v>0</v>
      </c>
      <c r="P92" s="200">
        <f t="shared" si="5"/>
        <v>0</v>
      </c>
      <c r="Q92" s="200">
        <f>if(AND('Deal Analysis'!$D$47*12&lt;M92,'Deal Analysis'!$D$47&gt;0),0,Q91-P92)</f>
        <v>0</v>
      </c>
      <c r="R92" s="1"/>
      <c r="S92" s="1"/>
      <c r="T92" s="1"/>
      <c r="U92" s="1"/>
      <c r="V92" s="1"/>
      <c r="W92" s="1"/>
      <c r="X92" s="1"/>
      <c r="Y92" s="1"/>
      <c r="Z92" s="1"/>
      <c r="AA92" s="1"/>
    </row>
    <row r="93">
      <c r="A93" s="199">
        <v>90.0</v>
      </c>
      <c r="B93" s="200">
        <f t="shared" si="6"/>
        <v>3046.641421</v>
      </c>
      <c r="C93" s="200">
        <f>'Deal Analysis'!$D$24/12*E92</f>
        <v>2372.594181</v>
      </c>
      <c r="D93" s="200">
        <f t="shared" si="1"/>
        <v>674.04724</v>
      </c>
      <c r="E93" s="200">
        <f t="shared" si="2"/>
        <v>315671.8436</v>
      </c>
      <c r="F93" s="1"/>
      <c r="G93" s="199">
        <v>90.0</v>
      </c>
      <c r="H93" s="200">
        <f>if(AND('Deal Analysis'!$D$37*12&lt;G93,'Deal Analysis'!$D$37&gt;0),0,H92)</f>
        <v>333.3333333</v>
      </c>
      <c r="I93" s="200">
        <f>if(H93&gt;0,'Deal Analysis'!$D$35/12*K92,0)</f>
        <v>333.3333333</v>
      </c>
      <c r="J93" s="200">
        <f t="shared" si="3"/>
        <v>0</v>
      </c>
      <c r="K93" s="200">
        <f>if(AND('Deal Analysis'!$D$37*12&lt;G93,'Deal Analysis'!$D$37&gt;0),0,K92-J93)</f>
        <v>50000</v>
      </c>
      <c r="L93" s="1"/>
      <c r="M93" s="199">
        <v>90.0</v>
      </c>
      <c r="N93" s="200">
        <f>if('Deal Analysis'!D131="Yes",'Deal Analysis'!D138,0)</f>
        <v>0</v>
      </c>
      <c r="O93" s="200">
        <f t="shared" si="4"/>
        <v>0</v>
      </c>
      <c r="P93" s="200">
        <f t="shared" si="5"/>
        <v>0</v>
      </c>
      <c r="Q93" s="200">
        <f>if(AND('Deal Analysis'!$D$47*12&lt;M93,'Deal Analysis'!$D$47&gt;0),0,Q92-P93)</f>
        <v>0</v>
      </c>
      <c r="R93" s="1"/>
      <c r="S93" s="1"/>
      <c r="T93" s="1"/>
      <c r="U93" s="1"/>
      <c r="V93" s="1"/>
      <c r="W93" s="1"/>
      <c r="X93" s="1"/>
      <c r="Y93" s="1"/>
      <c r="Z93" s="1"/>
      <c r="AA93" s="1"/>
    </row>
    <row r="94">
      <c r="A94" s="199">
        <v>91.0</v>
      </c>
      <c r="B94" s="200">
        <f t="shared" si="6"/>
        <v>3046.641421</v>
      </c>
      <c r="C94" s="200">
        <f>'Deal Analysis'!$D$24/12*E93</f>
        <v>2367.538827</v>
      </c>
      <c r="D94" s="200">
        <f t="shared" si="1"/>
        <v>679.1025943</v>
      </c>
      <c r="E94" s="200">
        <f t="shared" si="2"/>
        <v>314992.741</v>
      </c>
      <c r="F94" s="1"/>
      <c r="G94" s="199">
        <v>91.0</v>
      </c>
      <c r="H94" s="200">
        <f>if(AND('Deal Analysis'!$D$37*12&lt;G94,'Deal Analysis'!$D$37&gt;0),0,H93)</f>
        <v>333.3333333</v>
      </c>
      <c r="I94" s="200">
        <f>if(H94&gt;0,'Deal Analysis'!$D$35/12*K93,0)</f>
        <v>333.3333333</v>
      </c>
      <c r="J94" s="200">
        <f t="shared" si="3"/>
        <v>0</v>
      </c>
      <c r="K94" s="200">
        <f>if(AND('Deal Analysis'!$D$37*12&lt;G94,'Deal Analysis'!$D$37&gt;0),0,K93-J94)</f>
        <v>50000</v>
      </c>
      <c r="L94" s="1"/>
      <c r="M94" s="199">
        <v>91.0</v>
      </c>
      <c r="N94" s="200">
        <f>if('Deal Analysis'!D132="Yes",'Deal Analysis'!D139,0)</f>
        <v>0</v>
      </c>
      <c r="O94" s="200">
        <f t="shared" si="4"/>
        <v>0</v>
      </c>
      <c r="P94" s="200">
        <f t="shared" si="5"/>
        <v>0</v>
      </c>
      <c r="Q94" s="200">
        <f>if(AND('Deal Analysis'!$D$47*12&lt;M94,'Deal Analysis'!$D$47&gt;0),0,Q93-P94)</f>
        <v>0</v>
      </c>
      <c r="R94" s="1"/>
      <c r="S94" s="1"/>
      <c r="T94" s="1"/>
      <c r="U94" s="1"/>
      <c r="V94" s="1"/>
      <c r="W94" s="1"/>
      <c r="X94" s="1"/>
      <c r="Y94" s="1"/>
      <c r="Z94" s="1"/>
      <c r="AA94" s="1"/>
    </row>
    <row r="95">
      <c r="A95" s="199">
        <v>92.0</v>
      </c>
      <c r="B95" s="200">
        <f t="shared" si="6"/>
        <v>3046.641421</v>
      </c>
      <c r="C95" s="200">
        <f>'Deal Analysis'!$D$24/12*E94</f>
        <v>2362.445557</v>
      </c>
      <c r="D95" s="200">
        <f t="shared" si="1"/>
        <v>684.1958637</v>
      </c>
      <c r="E95" s="200">
        <f t="shared" si="2"/>
        <v>314308.5451</v>
      </c>
      <c r="F95" s="1"/>
      <c r="G95" s="199">
        <v>92.0</v>
      </c>
      <c r="H95" s="200">
        <f>if(AND('Deal Analysis'!$D$37*12&lt;G95,'Deal Analysis'!$D$37&gt;0),0,H94)</f>
        <v>333.3333333</v>
      </c>
      <c r="I95" s="200">
        <f>if(H95&gt;0,'Deal Analysis'!$D$35/12*K94,0)</f>
        <v>333.3333333</v>
      </c>
      <c r="J95" s="200">
        <f t="shared" si="3"/>
        <v>0</v>
      </c>
      <c r="K95" s="200">
        <f>if(AND('Deal Analysis'!$D$37*12&lt;G95,'Deal Analysis'!$D$37&gt;0),0,K94-J95)</f>
        <v>50000</v>
      </c>
      <c r="L95" s="1"/>
      <c r="M95" s="199">
        <v>92.0</v>
      </c>
      <c r="N95" s="200">
        <f>if('Deal Analysis'!D133="Yes",'Deal Analysis'!D140,0)</f>
        <v>0</v>
      </c>
      <c r="O95" s="200">
        <f t="shared" si="4"/>
        <v>0</v>
      </c>
      <c r="P95" s="200">
        <f t="shared" si="5"/>
        <v>0</v>
      </c>
      <c r="Q95" s="200">
        <f>if(AND('Deal Analysis'!$D$47*12&lt;M95,'Deal Analysis'!$D$47&gt;0),0,Q94-P95)</f>
        <v>0</v>
      </c>
      <c r="R95" s="1"/>
      <c r="S95" s="1"/>
      <c r="T95" s="1"/>
      <c r="U95" s="1"/>
      <c r="V95" s="1"/>
      <c r="W95" s="1"/>
      <c r="X95" s="1"/>
      <c r="Y95" s="1"/>
      <c r="Z95" s="1"/>
      <c r="AA95" s="1"/>
    </row>
    <row r="96">
      <c r="A96" s="199">
        <v>93.0</v>
      </c>
      <c r="B96" s="200">
        <f t="shared" si="6"/>
        <v>3046.641421</v>
      </c>
      <c r="C96" s="200">
        <f>'Deal Analysis'!$D$24/12*E95</f>
        <v>2357.314088</v>
      </c>
      <c r="D96" s="200">
        <f t="shared" si="1"/>
        <v>689.3273327</v>
      </c>
      <c r="E96" s="200">
        <f t="shared" si="2"/>
        <v>313619.2178</v>
      </c>
      <c r="F96" s="1"/>
      <c r="G96" s="199">
        <v>93.0</v>
      </c>
      <c r="H96" s="200">
        <f>if(AND('Deal Analysis'!$D$37*12&lt;G96,'Deal Analysis'!$D$37&gt;0),0,H95)</f>
        <v>333.3333333</v>
      </c>
      <c r="I96" s="200">
        <f>if(H96&gt;0,'Deal Analysis'!$D$35/12*K95,0)</f>
        <v>333.3333333</v>
      </c>
      <c r="J96" s="200">
        <f t="shared" si="3"/>
        <v>0</v>
      </c>
      <c r="K96" s="200">
        <f>if(AND('Deal Analysis'!$D$37*12&lt;G96,'Deal Analysis'!$D$37&gt;0),0,K95-J96)</f>
        <v>50000</v>
      </c>
      <c r="L96" s="1"/>
      <c r="M96" s="199">
        <v>93.0</v>
      </c>
      <c r="N96" s="200">
        <f>if('Deal Analysis'!D134="Yes",'Deal Analysis'!D141,0)</f>
        <v>0</v>
      </c>
      <c r="O96" s="200">
        <f t="shared" si="4"/>
        <v>0</v>
      </c>
      <c r="P96" s="200">
        <f t="shared" si="5"/>
        <v>0</v>
      </c>
      <c r="Q96" s="200">
        <f>if(AND('Deal Analysis'!$D$47*12&lt;M96,'Deal Analysis'!$D$47&gt;0),0,Q95-P96)</f>
        <v>0</v>
      </c>
      <c r="R96" s="1"/>
      <c r="S96" s="1"/>
      <c r="T96" s="1"/>
      <c r="U96" s="1"/>
      <c r="V96" s="1"/>
      <c r="W96" s="1"/>
      <c r="X96" s="1"/>
      <c r="Y96" s="1"/>
      <c r="Z96" s="1"/>
      <c r="AA96" s="1"/>
    </row>
    <row r="97">
      <c r="A97" s="199">
        <v>94.0</v>
      </c>
      <c r="B97" s="200">
        <f t="shared" si="6"/>
        <v>3046.641421</v>
      </c>
      <c r="C97" s="200">
        <f>'Deal Analysis'!$D$24/12*E96</f>
        <v>2352.144133</v>
      </c>
      <c r="D97" s="200">
        <f t="shared" si="1"/>
        <v>694.4972877</v>
      </c>
      <c r="E97" s="200">
        <f t="shared" si="2"/>
        <v>312924.7205</v>
      </c>
      <c r="F97" s="1"/>
      <c r="G97" s="199">
        <v>94.0</v>
      </c>
      <c r="H97" s="200">
        <f>if(AND('Deal Analysis'!$D$37*12&lt;G97,'Deal Analysis'!$D$37&gt;0),0,H96)</f>
        <v>333.3333333</v>
      </c>
      <c r="I97" s="200">
        <f>if(H97&gt;0,'Deal Analysis'!$D$35/12*K96,0)</f>
        <v>333.3333333</v>
      </c>
      <c r="J97" s="200">
        <f t="shared" si="3"/>
        <v>0</v>
      </c>
      <c r="K97" s="200">
        <f>if(AND('Deal Analysis'!$D$37*12&lt;G97,'Deal Analysis'!$D$37&gt;0),0,K96-J97)</f>
        <v>50000</v>
      </c>
      <c r="L97" s="1"/>
      <c r="M97" s="199">
        <v>94.0</v>
      </c>
      <c r="N97" s="200">
        <f>if('Deal Analysis'!D135="Yes",'Deal Analysis'!D142,0)</f>
        <v>0</v>
      </c>
      <c r="O97" s="200">
        <f t="shared" si="4"/>
        <v>0</v>
      </c>
      <c r="P97" s="200">
        <f t="shared" si="5"/>
        <v>0</v>
      </c>
      <c r="Q97" s="200">
        <f>if(AND('Deal Analysis'!$D$47*12&lt;M97,'Deal Analysis'!$D$47&gt;0),0,Q96-P97)</f>
        <v>0</v>
      </c>
      <c r="R97" s="1"/>
      <c r="S97" s="1"/>
      <c r="T97" s="1"/>
      <c r="U97" s="1"/>
      <c r="V97" s="1"/>
      <c r="W97" s="1"/>
      <c r="X97" s="1"/>
      <c r="Y97" s="1"/>
      <c r="Z97" s="1"/>
      <c r="AA97" s="1"/>
    </row>
    <row r="98">
      <c r="A98" s="199">
        <v>95.0</v>
      </c>
      <c r="B98" s="200">
        <f t="shared" si="6"/>
        <v>3046.641421</v>
      </c>
      <c r="C98" s="200">
        <f>'Deal Analysis'!$D$24/12*E97</f>
        <v>2346.935404</v>
      </c>
      <c r="D98" s="200">
        <f t="shared" si="1"/>
        <v>699.7060174</v>
      </c>
      <c r="E98" s="200">
        <f t="shared" si="2"/>
        <v>312225.0145</v>
      </c>
      <c r="F98" s="1"/>
      <c r="G98" s="199">
        <v>95.0</v>
      </c>
      <c r="H98" s="200">
        <f>if(AND('Deal Analysis'!$D$37*12&lt;G98,'Deal Analysis'!$D$37&gt;0),0,H97)</f>
        <v>333.3333333</v>
      </c>
      <c r="I98" s="200">
        <f>if(H98&gt;0,'Deal Analysis'!$D$35/12*K97,0)</f>
        <v>333.3333333</v>
      </c>
      <c r="J98" s="200">
        <f t="shared" si="3"/>
        <v>0</v>
      </c>
      <c r="K98" s="200">
        <f>if(AND('Deal Analysis'!$D$37*12&lt;G98,'Deal Analysis'!$D$37&gt;0),0,K97-J98)</f>
        <v>50000</v>
      </c>
      <c r="L98" s="1"/>
      <c r="M98" s="199">
        <v>95.0</v>
      </c>
      <c r="N98" s="200">
        <f>if('Deal Analysis'!D136="Yes",'Deal Analysis'!D143,0)</f>
        <v>0</v>
      </c>
      <c r="O98" s="200">
        <f t="shared" si="4"/>
        <v>0</v>
      </c>
      <c r="P98" s="200">
        <f t="shared" si="5"/>
        <v>0</v>
      </c>
      <c r="Q98" s="200">
        <f>if(AND('Deal Analysis'!$D$47*12&lt;M98,'Deal Analysis'!$D$47&gt;0),0,Q97-P98)</f>
        <v>0</v>
      </c>
      <c r="R98" s="1"/>
      <c r="S98" s="1"/>
      <c r="T98" s="1"/>
      <c r="U98" s="1"/>
      <c r="V98" s="1"/>
      <c r="W98" s="1"/>
      <c r="X98" s="1"/>
      <c r="Y98" s="1"/>
      <c r="Z98" s="1"/>
      <c r="AA98" s="1"/>
    </row>
    <row r="99">
      <c r="A99" s="199">
        <v>96.0</v>
      </c>
      <c r="B99" s="200">
        <f t="shared" si="6"/>
        <v>3046.641421</v>
      </c>
      <c r="C99" s="200">
        <f>'Deal Analysis'!$D$24/12*E98</f>
        <v>2341.687609</v>
      </c>
      <c r="D99" s="200">
        <f t="shared" si="1"/>
        <v>704.9538125</v>
      </c>
      <c r="E99" s="200">
        <f t="shared" si="2"/>
        <v>311520.0607</v>
      </c>
      <c r="F99" s="1"/>
      <c r="G99" s="199">
        <v>96.0</v>
      </c>
      <c r="H99" s="200">
        <f>if(AND('Deal Analysis'!$D$37*12&lt;G99,'Deal Analysis'!$D$37&gt;0),0,H98)</f>
        <v>333.3333333</v>
      </c>
      <c r="I99" s="200">
        <f>if(H99&gt;0,'Deal Analysis'!$D$35/12*K98,0)</f>
        <v>333.3333333</v>
      </c>
      <c r="J99" s="200">
        <f t="shared" si="3"/>
        <v>0</v>
      </c>
      <c r="K99" s="200">
        <f>if(AND('Deal Analysis'!$D$37*12&lt;G99,'Deal Analysis'!$D$37&gt;0),0,K98-J99)</f>
        <v>50000</v>
      </c>
      <c r="L99" s="1"/>
      <c r="M99" s="199">
        <v>96.0</v>
      </c>
      <c r="N99" s="200">
        <f>if('Deal Analysis'!D137="Yes",'Deal Analysis'!D144,0)</f>
        <v>0</v>
      </c>
      <c r="O99" s="200">
        <f t="shared" si="4"/>
        <v>0</v>
      </c>
      <c r="P99" s="200">
        <f t="shared" si="5"/>
        <v>0</v>
      </c>
      <c r="Q99" s="200">
        <f>if(AND('Deal Analysis'!$D$47*12&lt;M99,'Deal Analysis'!$D$47&gt;0),0,Q98-P99)</f>
        <v>0</v>
      </c>
      <c r="R99" s="1"/>
      <c r="S99" s="1"/>
      <c r="T99" s="1"/>
      <c r="U99" s="1"/>
      <c r="V99" s="1"/>
      <c r="W99" s="1"/>
      <c r="X99" s="1"/>
      <c r="Y99" s="1"/>
      <c r="Z99" s="1"/>
      <c r="AA99" s="1"/>
    </row>
    <row r="100">
      <c r="A100" s="199">
        <v>97.0</v>
      </c>
      <c r="B100" s="200">
        <f t="shared" si="6"/>
        <v>3046.641421</v>
      </c>
      <c r="C100" s="200">
        <f>'Deal Analysis'!$D$24/12*E99</f>
        <v>2336.400455</v>
      </c>
      <c r="D100" s="200">
        <f t="shared" si="1"/>
        <v>710.2409661</v>
      </c>
      <c r="E100" s="200">
        <f t="shared" si="2"/>
        <v>310809.8197</v>
      </c>
      <c r="F100" s="1"/>
      <c r="G100" s="199">
        <v>97.0</v>
      </c>
      <c r="H100" s="200">
        <f>if(AND('Deal Analysis'!$D$37*12&lt;G100,'Deal Analysis'!$D$37&gt;0),0,H99)</f>
        <v>333.3333333</v>
      </c>
      <c r="I100" s="200">
        <f>if(H100&gt;0,'Deal Analysis'!$D$35/12*K99,0)</f>
        <v>333.3333333</v>
      </c>
      <c r="J100" s="200">
        <f t="shared" si="3"/>
        <v>0</v>
      </c>
      <c r="K100" s="200">
        <f>if(AND('Deal Analysis'!$D$37*12&lt;G100,'Deal Analysis'!$D$37&gt;0),0,K99-J100)</f>
        <v>50000</v>
      </c>
      <c r="L100" s="1"/>
      <c r="M100" s="199">
        <v>97.0</v>
      </c>
      <c r="N100" s="200">
        <f>if('Deal Analysis'!D138="Yes",'Deal Analysis'!D145,0)</f>
        <v>0</v>
      </c>
      <c r="O100" s="200">
        <f t="shared" si="4"/>
        <v>0</v>
      </c>
      <c r="P100" s="200">
        <f t="shared" si="5"/>
        <v>0</v>
      </c>
      <c r="Q100" s="200">
        <f>if(AND('Deal Analysis'!$D$47*12&lt;M100,'Deal Analysis'!$D$47&gt;0),0,Q99-P100)</f>
        <v>0</v>
      </c>
      <c r="R100" s="1"/>
      <c r="S100" s="1"/>
      <c r="T100" s="1"/>
      <c r="U100" s="1"/>
      <c r="V100" s="1"/>
      <c r="W100" s="1"/>
      <c r="X100" s="1"/>
      <c r="Y100" s="1"/>
      <c r="Z100" s="1"/>
      <c r="AA100" s="1"/>
    </row>
    <row r="101">
      <c r="A101" s="199">
        <v>98.0</v>
      </c>
      <c r="B101" s="200">
        <f t="shared" si="6"/>
        <v>3046.641421</v>
      </c>
      <c r="C101" s="200">
        <f>'Deal Analysis'!$D$24/12*E100</f>
        <v>2331.073648</v>
      </c>
      <c r="D101" s="200">
        <f t="shared" si="1"/>
        <v>715.5677733</v>
      </c>
      <c r="E101" s="200">
        <f t="shared" si="2"/>
        <v>310094.2519</v>
      </c>
      <c r="F101" s="1"/>
      <c r="G101" s="199">
        <v>98.0</v>
      </c>
      <c r="H101" s="200">
        <f>if(AND('Deal Analysis'!$D$37*12&lt;G101,'Deal Analysis'!$D$37&gt;0),0,H100)</f>
        <v>333.3333333</v>
      </c>
      <c r="I101" s="200">
        <f>if(H101&gt;0,'Deal Analysis'!$D$35/12*K100,0)</f>
        <v>333.3333333</v>
      </c>
      <c r="J101" s="200">
        <f t="shared" si="3"/>
        <v>0</v>
      </c>
      <c r="K101" s="200">
        <f>if(AND('Deal Analysis'!$D$37*12&lt;G101,'Deal Analysis'!$D$37&gt;0),0,K100-J101)</f>
        <v>50000</v>
      </c>
      <c r="L101" s="1"/>
      <c r="M101" s="199">
        <v>98.0</v>
      </c>
      <c r="N101" s="200">
        <f>if('Deal Analysis'!D139="Yes",'Deal Analysis'!D146,0)</f>
        <v>0</v>
      </c>
      <c r="O101" s="200">
        <f t="shared" si="4"/>
        <v>0</v>
      </c>
      <c r="P101" s="200">
        <f t="shared" si="5"/>
        <v>0</v>
      </c>
      <c r="Q101" s="200">
        <f>if(AND('Deal Analysis'!$D$47*12&lt;M101,'Deal Analysis'!$D$47&gt;0),0,Q100-P101)</f>
        <v>0</v>
      </c>
      <c r="R101" s="1"/>
      <c r="S101" s="1"/>
      <c r="T101" s="1"/>
      <c r="U101" s="1"/>
      <c r="V101" s="1"/>
      <c r="W101" s="1"/>
      <c r="X101" s="1"/>
      <c r="Y101" s="1"/>
      <c r="Z101" s="1"/>
      <c r="AA101" s="1"/>
    </row>
    <row r="102">
      <c r="A102" s="199">
        <v>99.0</v>
      </c>
      <c r="B102" s="200">
        <f t="shared" si="6"/>
        <v>3046.641421</v>
      </c>
      <c r="C102" s="200">
        <f>'Deal Analysis'!$D$24/12*E101</f>
        <v>2325.706889</v>
      </c>
      <c r="D102" s="200">
        <f t="shared" si="1"/>
        <v>720.9345316</v>
      </c>
      <c r="E102" s="200">
        <f t="shared" si="2"/>
        <v>309373.3174</v>
      </c>
      <c r="F102" s="1"/>
      <c r="G102" s="199">
        <v>99.0</v>
      </c>
      <c r="H102" s="200">
        <f>if(AND('Deal Analysis'!$D$37*12&lt;G102,'Deal Analysis'!$D$37&gt;0),0,H101)</f>
        <v>333.3333333</v>
      </c>
      <c r="I102" s="200">
        <f>if(H102&gt;0,'Deal Analysis'!$D$35/12*K101,0)</f>
        <v>333.3333333</v>
      </c>
      <c r="J102" s="200">
        <f t="shared" si="3"/>
        <v>0</v>
      </c>
      <c r="K102" s="200">
        <f>if(AND('Deal Analysis'!$D$37*12&lt;G102,'Deal Analysis'!$D$37&gt;0),0,K101-J102)</f>
        <v>50000</v>
      </c>
      <c r="L102" s="1"/>
      <c r="M102" s="199">
        <v>99.0</v>
      </c>
      <c r="N102" s="200">
        <f>if('Deal Analysis'!D140="Yes",'Deal Analysis'!D147,0)</f>
        <v>0</v>
      </c>
      <c r="O102" s="200">
        <f t="shared" si="4"/>
        <v>0</v>
      </c>
      <c r="P102" s="200">
        <f t="shared" si="5"/>
        <v>0</v>
      </c>
      <c r="Q102" s="200">
        <f>if(AND('Deal Analysis'!$D$47*12&lt;M102,'Deal Analysis'!$D$47&gt;0),0,Q101-P102)</f>
        <v>0</v>
      </c>
      <c r="R102" s="1"/>
      <c r="S102" s="1"/>
      <c r="T102" s="1"/>
      <c r="U102" s="1"/>
      <c r="V102" s="1"/>
      <c r="W102" s="1"/>
      <c r="X102" s="1"/>
      <c r="Y102" s="1"/>
      <c r="Z102" s="1"/>
      <c r="AA102" s="1"/>
    </row>
    <row r="103">
      <c r="A103" s="199">
        <v>100.0</v>
      </c>
      <c r="B103" s="200">
        <f t="shared" si="6"/>
        <v>3046.641421</v>
      </c>
      <c r="C103" s="200">
        <f>'Deal Analysis'!$D$24/12*E102</f>
        <v>2320.29988</v>
      </c>
      <c r="D103" s="200">
        <f t="shared" si="1"/>
        <v>726.3415406</v>
      </c>
      <c r="E103" s="200">
        <f t="shared" si="2"/>
        <v>308646.9758</v>
      </c>
      <c r="F103" s="1"/>
      <c r="G103" s="199">
        <v>100.0</v>
      </c>
      <c r="H103" s="200">
        <f>if(AND('Deal Analysis'!$D$37*12&lt;G103,'Deal Analysis'!$D$37&gt;0),0,H102)</f>
        <v>333.3333333</v>
      </c>
      <c r="I103" s="200">
        <f>if(H103&gt;0,'Deal Analysis'!$D$35/12*K102,0)</f>
        <v>333.3333333</v>
      </c>
      <c r="J103" s="200">
        <f t="shared" si="3"/>
        <v>0</v>
      </c>
      <c r="K103" s="200">
        <f>if(AND('Deal Analysis'!$D$37*12&lt;G103,'Deal Analysis'!$D$37&gt;0),0,K102-J103)</f>
        <v>50000</v>
      </c>
      <c r="L103" s="1"/>
      <c r="M103" s="199">
        <v>100.0</v>
      </c>
      <c r="N103" s="200">
        <f>if('Deal Analysis'!D141="Yes",'Deal Analysis'!D148,0)</f>
        <v>0</v>
      </c>
      <c r="O103" s="200">
        <f t="shared" si="4"/>
        <v>0</v>
      </c>
      <c r="P103" s="200">
        <f t="shared" si="5"/>
        <v>0</v>
      </c>
      <c r="Q103" s="200">
        <f>if(AND('Deal Analysis'!$D$47*12&lt;M103,'Deal Analysis'!$D$47&gt;0),0,Q102-P103)</f>
        <v>0</v>
      </c>
      <c r="R103" s="1"/>
      <c r="S103" s="1"/>
      <c r="T103" s="1"/>
      <c r="U103" s="1"/>
      <c r="V103" s="1"/>
      <c r="W103" s="1"/>
      <c r="X103" s="1"/>
      <c r="Y103" s="1"/>
      <c r="Z103" s="1"/>
      <c r="AA103" s="1"/>
    </row>
    <row r="104">
      <c r="A104" s="199">
        <v>101.0</v>
      </c>
      <c r="B104" s="200">
        <f t="shared" si="6"/>
        <v>3046.641421</v>
      </c>
      <c r="C104" s="200">
        <f>'Deal Analysis'!$D$24/12*E103</f>
        <v>2314.852319</v>
      </c>
      <c r="D104" s="200">
        <f t="shared" si="1"/>
        <v>731.7891022</v>
      </c>
      <c r="E104" s="200">
        <f t="shared" si="2"/>
        <v>307915.1867</v>
      </c>
      <c r="F104" s="1"/>
      <c r="G104" s="199">
        <v>101.0</v>
      </c>
      <c r="H104" s="200">
        <f>if(AND('Deal Analysis'!$D$37*12&lt;G104,'Deal Analysis'!$D$37&gt;0),0,H103)</f>
        <v>333.3333333</v>
      </c>
      <c r="I104" s="200">
        <f>if(H104&gt;0,'Deal Analysis'!$D$35/12*K103,0)</f>
        <v>333.3333333</v>
      </c>
      <c r="J104" s="200">
        <f t="shared" si="3"/>
        <v>0</v>
      </c>
      <c r="K104" s="200">
        <f>if(AND('Deal Analysis'!$D$37*12&lt;G104,'Deal Analysis'!$D$37&gt;0),0,K103-J104)</f>
        <v>50000</v>
      </c>
      <c r="L104" s="1"/>
      <c r="M104" s="199">
        <v>101.0</v>
      </c>
      <c r="N104" s="200">
        <f>if('Deal Analysis'!D142="Yes",'Deal Analysis'!D149,0)</f>
        <v>0</v>
      </c>
      <c r="O104" s="200">
        <f t="shared" si="4"/>
        <v>0</v>
      </c>
      <c r="P104" s="200">
        <f t="shared" si="5"/>
        <v>0</v>
      </c>
      <c r="Q104" s="200">
        <f>if(AND('Deal Analysis'!$D$47*12&lt;M104,'Deal Analysis'!$D$47&gt;0),0,Q103-P104)</f>
        <v>0</v>
      </c>
      <c r="R104" s="1"/>
      <c r="S104" s="1"/>
      <c r="T104" s="1"/>
      <c r="U104" s="1"/>
      <c r="V104" s="1"/>
      <c r="W104" s="1"/>
      <c r="X104" s="1"/>
      <c r="Y104" s="1"/>
      <c r="Z104" s="1"/>
      <c r="AA104" s="1"/>
    </row>
    <row r="105">
      <c r="A105" s="199">
        <v>102.0</v>
      </c>
      <c r="B105" s="200">
        <f t="shared" si="6"/>
        <v>3046.641421</v>
      </c>
      <c r="C105" s="200">
        <f>'Deal Analysis'!$D$24/12*E104</f>
        <v>2309.363901</v>
      </c>
      <c r="D105" s="200">
        <f t="shared" si="1"/>
        <v>737.2775204</v>
      </c>
      <c r="E105" s="200">
        <f t="shared" si="2"/>
        <v>307177.9092</v>
      </c>
      <c r="F105" s="1"/>
      <c r="G105" s="199">
        <v>102.0</v>
      </c>
      <c r="H105" s="200">
        <f>if(AND('Deal Analysis'!$D$37*12&lt;G105,'Deal Analysis'!$D$37&gt;0),0,H104)</f>
        <v>333.3333333</v>
      </c>
      <c r="I105" s="200">
        <f>if(H105&gt;0,'Deal Analysis'!$D$35/12*K104,0)</f>
        <v>333.3333333</v>
      </c>
      <c r="J105" s="200">
        <f t="shared" si="3"/>
        <v>0</v>
      </c>
      <c r="K105" s="200">
        <f>if(AND('Deal Analysis'!$D$37*12&lt;G105,'Deal Analysis'!$D$37&gt;0),0,K104-J105)</f>
        <v>50000</v>
      </c>
      <c r="L105" s="1"/>
      <c r="M105" s="199">
        <v>102.0</v>
      </c>
      <c r="N105" s="200">
        <f>if('Deal Analysis'!D143="Yes",'Deal Analysis'!D150,0)</f>
        <v>0</v>
      </c>
      <c r="O105" s="200">
        <f t="shared" si="4"/>
        <v>0</v>
      </c>
      <c r="P105" s="200">
        <f t="shared" si="5"/>
        <v>0</v>
      </c>
      <c r="Q105" s="200">
        <f>if(AND('Deal Analysis'!$D$47*12&lt;M105,'Deal Analysis'!$D$47&gt;0),0,Q104-P105)</f>
        <v>0</v>
      </c>
      <c r="R105" s="1"/>
      <c r="S105" s="1"/>
      <c r="T105" s="1"/>
      <c r="U105" s="1"/>
      <c r="V105" s="1"/>
      <c r="W105" s="1"/>
      <c r="X105" s="1"/>
      <c r="Y105" s="1"/>
      <c r="Z105" s="1"/>
      <c r="AA105" s="1"/>
    </row>
    <row r="106">
      <c r="A106" s="199">
        <v>103.0</v>
      </c>
      <c r="B106" s="200">
        <f t="shared" si="6"/>
        <v>3046.641421</v>
      </c>
      <c r="C106" s="200">
        <f>'Deal Analysis'!$D$24/12*E105</f>
        <v>2303.834319</v>
      </c>
      <c r="D106" s="200">
        <f t="shared" si="1"/>
        <v>742.8071018</v>
      </c>
      <c r="E106" s="200">
        <f t="shared" si="2"/>
        <v>306435.1021</v>
      </c>
      <c r="F106" s="1"/>
      <c r="G106" s="199">
        <v>103.0</v>
      </c>
      <c r="H106" s="200">
        <f>if(AND('Deal Analysis'!$D$37*12&lt;G106,'Deal Analysis'!$D$37&gt;0),0,H105)</f>
        <v>333.3333333</v>
      </c>
      <c r="I106" s="200">
        <f>if(H106&gt;0,'Deal Analysis'!$D$35/12*K105,0)</f>
        <v>333.3333333</v>
      </c>
      <c r="J106" s="200">
        <f t="shared" si="3"/>
        <v>0</v>
      </c>
      <c r="K106" s="200">
        <f>if(AND('Deal Analysis'!$D$37*12&lt;G106,'Deal Analysis'!$D$37&gt;0),0,K105-J106)</f>
        <v>50000</v>
      </c>
      <c r="L106" s="1"/>
      <c r="M106" s="199">
        <v>103.0</v>
      </c>
      <c r="N106" s="200">
        <f>if('Deal Analysis'!D144="Yes",'Deal Analysis'!D151,0)</f>
        <v>0</v>
      </c>
      <c r="O106" s="200">
        <f t="shared" si="4"/>
        <v>0</v>
      </c>
      <c r="P106" s="200">
        <f t="shared" si="5"/>
        <v>0</v>
      </c>
      <c r="Q106" s="200">
        <f>if(AND('Deal Analysis'!$D$47*12&lt;M106,'Deal Analysis'!$D$47&gt;0),0,Q105-P106)</f>
        <v>0</v>
      </c>
      <c r="R106" s="1"/>
      <c r="S106" s="1"/>
      <c r="T106" s="1"/>
      <c r="U106" s="1"/>
      <c r="V106" s="1"/>
      <c r="W106" s="1"/>
      <c r="X106" s="1"/>
      <c r="Y106" s="1"/>
      <c r="Z106" s="1"/>
      <c r="AA106" s="1"/>
    </row>
    <row r="107">
      <c r="A107" s="199">
        <v>104.0</v>
      </c>
      <c r="B107" s="200">
        <f t="shared" si="6"/>
        <v>3046.641421</v>
      </c>
      <c r="C107" s="200">
        <f>'Deal Analysis'!$D$24/12*E106</f>
        <v>2298.263266</v>
      </c>
      <c r="D107" s="200">
        <f t="shared" si="1"/>
        <v>748.3781551</v>
      </c>
      <c r="E107" s="200">
        <f t="shared" si="2"/>
        <v>305686.724</v>
      </c>
      <c r="F107" s="1"/>
      <c r="G107" s="199">
        <v>104.0</v>
      </c>
      <c r="H107" s="200">
        <f>if(AND('Deal Analysis'!$D$37*12&lt;G107,'Deal Analysis'!$D$37&gt;0),0,H106)</f>
        <v>333.3333333</v>
      </c>
      <c r="I107" s="200">
        <f>if(H107&gt;0,'Deal Analysis'!$D$35/12*K106,0)</f>
        <v>333.3333333</v>
      </c>
      <c r="J107" s="200">
        <f t="shared" si="3"/>
        <v>0</v>
      </c>
      <c r="K107" s="200">
        <f>if(AND('Deal Analysis'!$D$37*12&lt;G107,'Deal Analysis'!$D$37&gt;0),0,K106-J107)</f>
        <v>50000</v>
      </c>
      <c r="L107" s="1"/>
      <c r="M107" s="199">
        <v>104.0</v>
      </c>
      <c r="N107" s="200">
        <f>if('Deal Analysis'!D145="Yes",'Deal Analysis'!D152,0)</f>
        <v>0</v>
      </c>
      <c r="O107" s="200">
        <f t="shared" si="4"/>
        <v>0</v>
      </c>
      <c r="P107" s="200">
        <f t="shared" si="5"/>
        <v>0</v>
      </c>
      <c r="Q107" s="200">
        <f>if(AND('Deal Analysis'!$D$47*12&lt;M107,'Deal Analysis'!$D$47&gt;0),0,Q106-P107)</f>
        <v>0</v>
      </c>
      <c r="R107" s="1"/>
      <c r="S107" s="1"/>
      <c r="T107" s="1"/>
      <c r="U107" s="1"/>
      <c r="V107" s="1"/>
      <c r="W107" s="1"/>
      <c r="X107" s="1"/>
      <c r="Y107" s="1"/>
      <c r="Z107" s="1"/>
      <c r="AA107" s="1"/>
    </row>
    <row r="108">
      <c r="A108" s="199">
        <v>105.0</v>
      </c>
      <c r="B108" s="200">
        <f t="shared" si="6"/>
        <v>3046.641421</v>
      </c>
      <c r="C108" s="200">
        <f>'Deal Analysis'!$D$24/12*E107</f>
        <v>2292.65043</v>
      </c>
      <c r="D108" s="200">
        <f t="shared" si="1"/>
        <v>753.9909913</v>
      </c>
      <c r="E108" s="200">
        <f t="shared" si="2"/>
        <v>304932.733</v>
      </c>
      <c r="F108" s="1"/>
      <c r="G108" s="199">
        <v>105.0</v>
      </c>
      <c r="H108" s="200">
        <f>if(AND('Deal Analysis'!$D$37*12&lt;G108,'Deal Analysis'!$D$37&gt;0),0,H107)</f>
        <v>333.3333333</v>
      </c>
      <c r="I108" s="200">
        <f>if(H108&gt;0,'Deal Analysis'!$D$35/12*K107,0)</f>
        <v>333.3333333</v>
      </c>
      <c r="J108" s="200">
        <f t="shared" si="3"/>
        <v>0</v>
      </c>
      <c r="K108" s="200">
        <f>if(AND('Deal Analysis'!$D$37*12&lt;G108,'Deal Analysis'!$D$37&gt;0),0,K107-J108)</f>
        <v>50000</v>
      </c>
      <c r="L108" s="1"/>
      <c r="M108" s="199">
        <v>105.0</v>
      </c>
      <c r="N108" s="200">
        <f>if('Deal Analysis'!D146="Yes",'Deal Analysis'!D153,0)</f>
        <v>0</v>
      </c>
      <c r="O108" s="200">
        <f t="shared" si="4"/>
        <v>0</v>
      </c>
      <c r="P108" s="200">
        <f t="shared" si="5"/>
        <v>0</v>
      </c>
      <c r="Q108" s="200">
        <f>if(AND('Deal Analysis'!$D$47*12&lt;M108,'Deal Analysis'!$D$47&gt;0),0,Q107-P108)</f>
        <v>0</v>
      </c>
      <c r="R108" s="1"/>
      <c r="S108" s="1"/>
      <c r="T108" s="1"/>
      <c r="U108" s="1"/>
      <c r="V108" s="1"/>
      <c r="W108" s="1"/>
      <c r="X108" s="1"/>
      <c r="Y108" s="1"/>
      <c r="Z108" s="1"/>
      <c r="AA108" s="1"/>
    </row>
    <row r="109">
      <c r="A109" s="199">
        <v>106.0</v>
      </c>
      <c r="B109" s="200">
        <f t="shared" si="6"/>
        <v>3046.641421</v>
      </c>
      <c r="C109" s="200">
        <f>'Deal Analysis'!$D$24/12*E108</f>
        <v>2286.995497</v>
      </c>
      <c r="D109" s="200">
        <f t="shared" si="1"/>
        <v>759.6459237</v>
      </c>
      <c r="E109" s="200">
        <f t="shared" si="2"/>
        <v>304173.0871</v>
      </c>
      <c r="F109" s="1"/>
      <c r="G109" s="199">
        <v>106.0</v>
      </c>
      <c r="H109" s="200">
        <f>if(AND('Deal Analysis'!$D$37*12&lt;G109,'Deal Analysis'!$D$37&gt;0),0,H108)</f>
        <v>333.3333333</v>
      </c>
      <c r="I109" s="200">
        <f>if(H109&gt;0,'Deal Analysis'!$D$35/12*K108,0)</f>
        <v>333.3333333</v>
      </c>
      <c r="J109" s="200">
        <f t="shared" si="3"/>
        <v>0</v>
      </c>
      <c r="K109" s="200">
        <f>if(AND('Deal Analysis'!$D$37*12&lt;G109,'Deal Analysis'!$D$37&gt;0),0,K108-J109)</f>
        <v>50000</v>
      </c>
      <c r="L109" s="1"/>
      <c r="M109" s="199">
        <v>106.0</v>
      </c>
      <c r="N109" s="200">
        <f>if('Deal Analysis'!D147="Yes",'Deal Analysis'!D154,0)</f>
        <v>0</v>
      </c>
      <c r="O109" s="200">
        <f t="shared" si="4"/>
        <v>0</v>
      </c>
      <c r="P109" s="200">
        <f t="shared" si="5"/>
        <v>0</v>
      </c>
      <c r="Q109" s="200">
        <f>if(AND('Deal Analysis'!$D$47*12&lt;M109,'Deal Analysis'!$D$47&gt;0),0,Q108-P109)</f>
        <v>0</v>
      </c>
      <c r="R109" s="1"/>
      <c r="S109" s="1"/>
      <c r="T109" s="1"/>
      <c r="U109" s="1"/>
      <c r="V109" s="1"/>
      <c r="W109" s="1"/>
      <c r="X109" s="1"/>
      <c r="Y109" s="1"/>
      <c r="Z109" s="1"/>
      <c r="AA109" s="1"/>
    </row>
    <row r="110">
      <c r="A110" s="199">
        <v>107.0</v>
      </c>
      <c r="B110" s="200">
        <f t="shared" si="6"/>
        <v>3046.641421</v>
      </c>
      <c r="C110" s="200">
        <f>'Deal Analysis'!$D$24/12*E109</f>
        <v>2281.298153</v>
      </c>
      <c r="D110" s="200">
        <f t="shared" si="1"/>
        <v>765.3432681</v>
      </c>
      <c r="E110" s="200">
        <f t="shared" si="2"/>
        <v>303407.7438</v>
      </c>
      <c r="F110" s="1"/>
      <c r="G110" s="199">
        <v>107.0</v>
      </c>
      <c r="H110" s="200">
        <f>if(AND('Deal Analysis'!$D$37*12&lt;G110,'Deal Analysis'!$D$37&gt;0),0,H109)</f>
        <v>333.3333333</v>
      </c>
      <c r="I110" s="200">
        <f>if(H110&gt;0,'Deal Analysis'!$D$35/12*K109,0)</f>
        <v>333.3333333</v>
      </c>
      <c r="J110" s="200">
        <f t="shared" si="3"/>
        <v>0</v>
      </c>
      <c r="K110" s="200">
        <f>if(AND('Deal Analysis'!$D$37*12&lt;G110,'Deal Analysis'!$D$37&gt;0),0,K109-J110)</f>
        <v>50000</v>
      </c>
      <c r="L110" s="1"/>
      <c r="M110" s="199">
        <v>107.0</v>
      </c>
      <c r="N110" s="200">
        <f>if('Deal Analysis'!D148="Yes",'Deal Analysis'!D155,0)</f>
        <v>0</v>
      </c>
      <c r="O110" s="200">
        <f t="shared" si="4"/>
        <v>0</v>
      </c>
      <c r="P110" s="200">
        <f t="shared" si="5"/>
        <v>0</v>
      </c>
      <c r="Q110" s="200">
        <f>if(AND('Deal Analysis'!$D$47*12&lt;M110,'Deal Analysis'!$D$47&gt;0),0,Q109-P110)</f>
        <v>0</v>
      </c>
      <c r="R110" s="1"/>
      <c r="S110" s="1"/>
      <c r="T110" s="1"/>
      <c r="U110" s="1"/>
      <c r="V110" s="1"/>
      <c r="W110" s="1"/>
      <c r="X110" s="1"/>
      <c r="Y110" s="1"/>
      <c r="Z110" s="1"/>
      <c r="AA110" s="1"/>
    </row>
    <row r="111">
      <c r="A111" s="199">
        <v>108.0</v>
      </c>
      <c r="B111" s="200">
        <f t="shared" si="6"/>
        <v>3046.641421</v>
      </c>
      <c r="C111" s="200">
        <f>'Deal Analysis'!$D$24/12*E110</f>
        <v>2275.558078</v>
      </c>
      <c r="D111" s="200">
        <f t="shared" si="1"/>
        <v>771.0833426</v>
      </c>
      <c r="E111" s="200">
        <f t="shared" si="2"/>
        <v>302636.6604</v>
      </c>
      <c r="F111" s="1"/>
      <c r="G111" s="199">
        <v>108.0</v>
      </c>
      <c r="H111" s="200">
        <f>if(AND('Deal Analysis'!$D$37*12&lt;G111,'Deal Analysis'!$D$37&gt;0),0,H110)</f>
        <v>333.3333333</v>
      </c>
      <c r="I111" s="200">
        <f>if(H111&gt;0,'Deal Analysis'!$D$35/12*K110,0)</f>
        <v>333.3333333</v>
      </c>
      <c r="J111" s="200">
        <f t="shared" si="3"/>
        <v>0</v>
      </c>
      <c r="K111" s="200">
        <f>if(AND('Deal Analysis'!$D$37*12&lt;G111,'Deal Analysis'!$D$37&gt;0),0,K110-J111)</f>
        <v>50000</v>
      </c>
      <c r="L111" s="1"/>
      <c r="M111" s="199">
        <v>108.0</v>
      </c>
      <c r="N111" s="200">
        <f>if('Deal Analysis'!D149="Yes",'Deal Analysis'!D156,0)</f>
        <v>0</v>
      </c>
      <c r="O111" s="200">
        <f t="shared" si="4"/>
        <v>0</v>
      </c>
      <c r="P111" s="200">
        <f t="shared" si="5"/>
        <v>0</v>
      </c>
      <c r="Q111" s="200">
        <f>if(AND('Deal Analysis'!$D$47*12&lt;M111,'Deal Analysis'!$D$47&gt;0),0,Q110-P111)</f>
        <v>0</v>
      </c>
      <c r="R111" s="1"/>
      <c r="S111" s="1"/>
      <c r="T111" s="1"/>
      <c r="U111" s="1"/>
      <c r="V111" s="1"/>
      <c r="W111" s="1"/>
      <c r="X111" s="1"/>
      <c r="Y111" s="1"/>
      <c r="Z111" s="1"/>
      <c r="AA111" s="1"/>
    </row>
    <row r="112">
      <c r="A112" s="199">
        <v>109.0</v>
      </c>
      <c r="B112" s="200">
        <f t="shared" si="6"/>
        <v>3046.641421</v>
      </c>
      <c r="C112" s="200">
        <f>'Deal Analysis'!$D$24/12*E111</f>
        <v>2269.774953</v>
      </c>
      <c r="D112" s="200">
        <f t="shared" si="1"/>
        <v>776.8664677</v>
      </c>
      <c r="E112" s="200">
        <f t="shared" si="2"/>
        <v>301859.794</v>
      </c>
      <c r="F112" s="1"/>
      <c r="G112" s="199">
        <v>109.0</v>
      </c>
      <c r="H112" s="200">
        <f>if(AND('Deal Analysis'!$D$37*12&lt;G112,'Deal Analysis'!$D$37&gt;0),0,H111)</f>
        <v>333.3333333</v>
      </c>
      <c r="I112" s="200">
        <f>if(H112&gt;0,'Deal Analysis'!$D$35/12*K111,0)</f>
        <v>333.3333333</v>
      </c>
      <c r="J112" s="200">
        <f t="shared" si="3"/>
        <v>0</v>
      </c>
      <c r="K112" s="200">
        <f>if(AND('Deal Analysis'!$D$37*12&lt;G112,'Deal Analysis'!$D$37&gt;0),0,K111-J112)</f>
        <v>50000</v>
      </c>
      <c r="L112" s="1"/>
      <c r="M112" s="199">
        <v>109.0</v>
      </c>
      <c r="N112" s="200">
        <f>if('Deal Analysis'!D150="Yes",'Deal Analysis'!D157,0)</f>
        <v>0</v>
      </c>
      <c r="O112" s="200">
        <f t="shared" si="4"/>
        <v>0</v>
      </c>
      <c r="P112" s="200">
        <f t="shared" si="5"/>
        <v>0</v>
      </c>
      <c r="Q112" s="200">
        <f>if(AND('Deal Analysis'!$D$47*12&lt;M112,'Deal Analysis'!$D$47&gt;0),0,Q111-P112)</f>
        <v>0</v>
      </c>
      <c r="R112" s="1"/>
      <c r="S112" s="1"/>
      <c r="T112" s="1"/>
      <c r="U112" s="1"/>
      <c r="V112" s="1"/>
      <c r="W112" s="1"/>
      <c r="X112" s="1"/>
      <c r="Y112" s="1"/>
      <c r="Z112" s="1"/>
      <c r="AA112" s="1"/>
    </row>
    <row r="113">
      <c r="A113" s="199">
        <v>110.0</v>
      </c>
      <c r="B113" s="200">
        <f t="shared" si="6"/>
        <v>3046.641421</v>
      </c>
      <c r="C113" s="200">
        <f>'Deal Analysis'!$D$24/12*E112</f>
        <v>2263.948455</v>
      </c>
      <c r="D113" s="200">
        <f t="shared" si="1"/>
        <v>782.6929662</v>
      </c>
      <c r="E113" s="200">
        <f t="shared" si="2"/>
        <v>301077.101</v>
      </c>
      <c r="F113" s="1"/>
      <c r="G113" s="199">
        <v>110.0</v>
      </c>
      <c r="H113" s="200">
        <f>if(AND('Deal Analysis'!$D$37*12&lt;G113,'Deal Analysis'!$D$37&gt;0),0,H112)</f>
        <v>333.3333333</v>
      </c>
      <c r="I113" s="200">
        <f>if(H113&gt;0,'Deal Analysis'!$D$35/12*K112,0)</f>
        <v>333.3333333</v>
      </c>
      <c r="J113" s="200">
        <f t="shared" si="3"/>
        <v>0</v>
      </c>
      <c r="K113" s="200">
        <f>if(AND('Deal Analysis'!$D$37*12&lt;G113,'Deal Analysis'!$D$37&gt;0),0,K112-J113)</f>
        <v>50000</v>
      </c>
      <c r="L113" s="1"/>
      <c r="M113" s="199">
        <v>110.0</v>
      </c>
      <c r="N113" s="200">
        <f>if('Deal Analysis'!D151="Yes",'Deal Analysis'!D158,0)</f>
        <v>0</v>
      </c>
      <c r="O113" s="200">
        <f t="shared" si="4"/>
        <v>0</v>
      </c>
      <c r="P113" s="200">
        <f t="shared" si="5"/>
        <v>0</v>
      </c>
      <c r="Q113" s="200">
        <f>if(AND('Deal Analysis'!$D$47*12&lt;M113,'Deal Analysis'!$D$47&gt;0),0,Q112-P113)</f>
        <v>0</v>
      </c>
      <c r="R113" s="1"/>
      <c r="S113" s="1"/>
      <c r="T113" s="1"/>
      <c r="U113" s="1"/>
      <c r="V113" s="1"/>
      <c r="W113" s="1"/>
      <c r="X113" s="1"/>
      <c r="Y113" s="1"/>
      <c r="Z113" s="1"/>
      <c r="AA113" s="1"/>
    </row>
    <row r="114">
      <c r="A114" s="199">
        <v>111.0</v>
      </c>
      <c r="B114" s="200">
        <f t="shared" si="6"/>
        <v>3046.641421</v>
      </c>
      <c r="C114" s="200">
        <f>'Deal Analysis'!$D$24/12*E113</f>
        <v>2258.078258</v>
      </c>
      <c r="D114" s="200">
        <f t="shared" si="1"/>
        <v>788.5631635</v>
      </c>
      <c r="E114" s="200">
        <f t="shared" si="2"/>
        <v>300288.5378</v>
      </c>
      <c r="F114" s="1"/>
      <c r="G114" s="199">
        <v>111.0</v>
      </c>
      <c r="H114" s="200">
        <f>if(AND('Deal Analysis'!$D$37*12&lt;G114,'Deal Analysis'!$D$37&gt;0),0,H113)</f>
        <v>333.3333333</v>
      </c>
      <c r="I114" s="200">
        <f>if(H114&gt;0,'Deal Analysis'!$D$35/12*K113,0)</f>
        <v>333.3333333</v>
      </c>
      <c r="J114" s="200">
        <f t="shared" si="3"/>
        <v>0</v>
      </c>
      <c r="K114" s="200">
        <f>if(AND('Deal Analysis'!$D$37*12&lt;G114,'Deal Analysis'!$D$37&gt;0),0,K113-J114)</f>
        <v>50000</v>
      </c>
      <c r="L114" s="1"/>
      <c r="M114" s="199">
        <v>111.0</v>
      </c>
      <c r="N114" s="200">
        <f>if('Deal Analysis'!D152="Yes",'Deal Analysis'!D159,0)</f>
        <v>0</v>
      </c>
      <c r="O114" s="200">
        <f t="shared" si="4"/>
        <v>0</v>
      </c>
      <c r="P114" s="200">
        <f t="shared" si="5"/>
        <v>0</v>
      </c>
      <c r="Q114" s="200">
        <f>if(AND('Deal Analysis'!$D$47*12&lt;M114,'Deal Analysis'!$D$47&gt;0),0,Q113-P114)</f>
        <v>0</v>
      </c>
      <c r="R114" s="1"/>
      <c r="S114" s="1"/>
      <c r="T114" s="1"/>
      <c r="U114" s="1"/>
      <c r="V114" s="1"/>
      <c r="W114" s="1"/>
      <c r="X114" s="1"/>
      <c r="Y114" s="1"/>
      <c r="Z114" s="1"/>
      <c r="AA114" s="1"/>
    </row>
    <row r="115">
      <c r="A115" s="199">
        <v>112.0</v>
      </c>
      <c r="B115" s="200">
        <f t="shared" si="6"/>
        <v>3046.641421</v>
      </c>
      <c r="C115" s="200">
        <f>'Deal Analysis'!$D$24/12*E114</f>
        <v>2252.164034</v>
      </c>
      <c r="D115" s="200">
        <f t="shared" si="1"/>
        <v>794.4773872</v>
      </c>
      <c r="E115" s="200">
        <f t="shared" si="2"/>
        <v>299494.0605</v>
      </c>
      <c r="F115" s="1"/>
      <c r="G115" s="199">
        <v>112.0</v>
      </c>
      <c r="H115" s="200">
        <f>if(AND('Deal Analysis'!$D$37*12&lt;G115,'Deal Analysis'!$D$37&gt;0),0,H114)</f>
        <v>333.3333333</v>
      </c>
      <c r="I115" s="200">
        <f>if(H115&gt;0,'Deal Analysis'!$D$35/12*K114,0)</f>
        <v>333.3333333</v>
      </c>
      <c r="J115" s="200">
        <f t="shared" si="3"/>
        <v>0</v>
      </c>
      <c r="K115" s="200">
        <f>if(AND('Deal Analysis'!$D$37*12&lt;G115,'Deal Analysis'!$D$37&gt;0),0,K114-J115)</f>
        <v>50000</v>
      </c>
      <c r="L115" s="1"/>
      <c r="M115" s="199">
        <v>112.0</v>
      </c>
      <c r="N115" s="200">
        <f>if('Deal Analysis'!D153="Yes",'Deal Analysis'!D160,0)</f>
        <v>0</v>
      </c>
      <c r="O115" s="200">
        <f t="shared" si="4"/>
        <v>0</v>
      </c>
      <c r="P115" s="200">
        <f t="shared" si="5"/>
        <v>0</v>
      </c>
      <c r="Q115" s="200">
        <f>if(AND('Deal Analysis'!$D$47*12&lt;M115,'Deal Analysis'!$D$47&gt;0),0,Q114-P115)</f>
        <v>0</v>
      </c>
      <c r="R115" s="1"/>
      <c r="S115" s="1"/>
      <c r="T115" s="1"/>
      <c r="U115" s="1"/>
      <c r="V115" s="1"/>
      <c r="W115" s="1"/>
      <c r="X115" s="1"/>
      <c r="Y115" s="1"/>
      <c r="Z115" s="1"/>
      <c r="AA115" s="1"/>
    </row>
    <row r="116">
      <c r="A116" s="199">
        <v>113.0</v>
      </c>
      <c r="B116" s="200">
        <f t="shared" si="6"/>
        <v>3046.641421</v>
      </c>
      <c r="C116" s="200">
        <f>'Deal Analysis'!$D$24/12*E115</f>
        <v>2246.205453</v>
      </c>
      <c r="D116" s="200">
        <f t="shared" si="1"/>
        <v>800.4359676</v>
      </c>
      <c r="E116" s="200">
        <f t="shared" si="2"/>
        <v>298693.6245</v>
      </c>
      <c r="F116" s="1"/>
      <c r="G116" s="199">
        <v>113.0</v>
      </c>
      <c r="H116" s="200">
        <f>if(AND('Deal Analysis'!$D$37*12&lt;G116,'Deal Analysis'!$D$37&gt;0),0,H115)</f>
        <v>333.3333333</v>
      </c>
      <c r="I116" s="200">
        <f>if(H116&gt;0,'Deal Analysis'!$D$35/12*K115,0)</f>
        <v>333.3333333</v>
      </c>
      <c r="J116" s="200">
        <f t="shared" si="3"/>
        <v>0</v>
      </c>
      <c r="K116" s="200">
        <f>if(AND('Deal Analysis'!$D$37*12&lt;G116,'Deal Analysis'!$D$37&gt;0),0,K115-J116)</f>
        <v>50000</v>
      </c>
      <c r="L116" s="1"/>
      <c r="M116" s="199">
        <v>113.0</v>
      </c>
      <c r="N116" s="200">
        <f>if('Deal Analysis'!D154="Yes",'Deal Analysis'!D161,0)</f>
        <v>0</v>
      </c>
      <c r="O116" s="200">
        <f t="shared" si="4"/>
        <v>0</v>
      </c>
      <c r="P116" s="200">
        <f t="shared" si="5"/>
        <v>0</v>
      </c>
      <c r="Q116" s="200">
        <f>if(AND('Deal Analysis'!$D$47*12&lt;M116,'Deal Analysis'!$D$47&gt;0),0,Q115-P116)</f>
        <v>0</v>
      </c>
      <c r="R116" s="1"/>
      <c r="S116" s="1"/>
      <c r="T116" s="1"/>
      <c r="U116" s="1"/>
      <c r="V116" s="1"/>
      <c r="W116" s="1"/>
      <c r="X116" s="1"/>
      <c r="Y116" s="1"/>
      <c r="Z116" s="1"/>
      <c r="AA116" s="1"/>
    </row>
    <row r="117">
      <c r="A117" s="199">
        <v>114.0</v>
      </c>
      <c r="B117" s="200">
        <f t="shared" si="6"/>
        <v>3046.641421</v>
      </c>
      <c r="C117" s="200">
        <f>'Deal Analysis'!$D$24/12*E116</f>
        <v>2240.202184</v>
      </c>
      <c r="D117" s="200">
        <f t="shared" si="1"/>
        <v>806.4392373</v>
      </c>
      <c r="E117" s="200">
        <f t="shared" si="2"/>
        <v>297887.1853</v>
      </c>
      <c r="F117" s="1"/>
      <c r="G117" s="199">
        <v>114.0</v>
      </c>
      <c r="H117" s="200">
        <f>if(AND('Deal Analysis'!$D$37*12&lt;G117,'Deal Analysis'!$D$37&gt;0),0,H116)</f>
        <v>333.3333333</v>
      </c>
      <c r="I117" s="200">
        <f>if(H117&gt;0,'Deal Analysis'!$D$35/12*K116,0)</f>
        <v>333.3333333</v>
      </c>
      <c r="J117" s="200">
        <f t="shared" si="3"/>
        <v>0</v>
      </c>
      <c r="K117" s="200">
        <f>if(AND('Deal Analysis'!$D$37*12&lt;G117,'Deal Analysis'!$D$37&gt;0),0,K116-J117)</f>
        <v>50000</v>
      </c>
      <c r="L117" s="1"/>
      <c r="M117" s="199">
        <v>114.0</v>
      </c>
      <c r="N117" s="200">
        <f>if('Deal Analysis'!D155="Yes",'Deal Analysis'!D162,0)</f>
        <v>0</v>
      </c>
      <c r="O117" s="200">
        <f t="shared" si="4"/>
        <v>0</v>
      </c>
      <c r="P117" s="200">
        <f t="shared" si="5"/>
        <v>0</v>
      </c>
      <c r="Q117" s="200">
        <f>if(AND('Deal Analysis'!$D$47*12&lt;M117,'Deal Analysis'!$D$47&gt;0),0,Q116-P117)</f>
        <v>0</v>
      </c>
      <c r="R117" s="1"/>
      <c r="S117" s="1"/>
      <c r="T117" s="1"/>
      <c r="U117" s="1"/>
      <c r="V117" s="1"/>
      <c r="W117" s="1"/>
      <c r="X117" s="1"/>
      <c r="Y117" s="1"/>
      <c r="Z117" s="1"/>
      <c r="AA117" s="1"/>
    </row>
    <row r="118">
      <c r="A118" s="199">
        <v>115.0</v>
      </c>
      <c r="B118" s="200">
        <f t="shared" si="6"/>
        <v>3046.641421</v>
      </c>
      <c r="C118" s="200">
        <f>'Deal Analysis'!$D$24/12*E117</f>
        <v>2234.153889</v>
      </c>
      <c r="D118" s="200">
        <f t="shared" si="1"/>
        <v>812.4875316</v>
      </c>
      <c r="E118" s="200">
        <f t="shared" si="2"/>
        <v>297074.6977</v>
      </c>
      <c r="F118" s="1"/>
      <c r="G118" s="199">
        <v>115.0</v>
      </c>
      <c r="H118" s="200">
        <f>if(AND('Deal Analysis'!$D$37*12&lt;G118,'Deal Analysis'!$D$37&gt;0),0,H117)</f>
        <v>333.3333333</v>
      </c>
      <c r="I118" s="200">
        <f>if(H118&gt;0,'Deal Analysis'!$D$35/12*K117,0)</f>
        <v>333.3333333</v>
      </c>
      <c r="J118" s="200">
        <f t="shared" si="3"/>
        <v>0</v>
      </c>
      <c r="K118" s="200">
        <f>if(AND('Deal Analysis'!$D$37*12&lt;G118,'Deal Analysis'!$D$37&gt;0),0,K117-J118)</f>
        <v>50000</v>
      </c>
      <c r="L118" s="1"/>
      <c r="M118" s="199">
        <v>115.0</v>
      </c>
      <c r="N118" s="200">
        <f>if('Deal Analysis'!D156="Yes",'Deal Analysis'!D163,0)</f>
        <v>0</v>
      </c>
      <c r="O118" s="200">
        <f t="shared" si="4"/>
        <v>0</v>
      </c>
      <c r="P118" s="200">
        <f t="shared" si="5"/>
        <v>0</v>
      </c>
      <c r="Q118" s="200">
        <f>if(AND('Deal Analysis'!$D$47*12&lt;M118,'Deal Analysis'!$D$47&gt;0),0,Q117-P118)</f>
        <v>0</v>
      </c>
      <c r="R118" s="1"/>
      <c r="S118" s="1"/>
      <c r="T118" s="1"/>
      <c r="U118" s="1"/>
      <c r="V118" s="1"/>
      <c r="W118" s="1"/>
      <c r="X118" s="1"/>
      <c r="Y118" s="1"/>
      <c r="Z118" s="1"/>
      <c r="AA118" s="1"/>
    </row>
    <row r="119">
      <c r="A119" s="199">
        <v>116.0</v>
      </c>
      <c r="B119" s="200">
        <f t="shared" si="6"/>
        <v>3046.641421</v>
      </c>
      <c r="C119" s="200">
        <f>'Deal Analysis'!$D$24/12*E118</f>
        <v>2228.060233</v>
      </c>
      <c r="D119" s="200">
        <f t="shared" si="1"/>
        <v>818.5811881</v>
      </c>
      <c r="E119" s="200">
        <f t="shared" si="2"/>
        <v>296256.1165</v>
      </c>
      <c r="F119" s="1"/>
      <c r="G119" s="199">
        <v>116.0</v>
      </c>
      <c r="H119" s="200">
        <f>if(AND('Deal Analysis'!$D$37*12&lt;G119,'Deal Analysis'!$D$37&gt;0),0,H118)</f>
        <v>333.3333333</v>
      </c>
      <c r="I119" s="200">
        <f>if(H119&gt;0,'Deal Analysis'!$D$35/12*K118,0)</f>
        <v>333.3333333</v>
      </c>
      <c r="J119" s="200">
        <f t="shared" si="3"/>
        <v>0</v>
      </c>
      <c r="K119" s="200">
        <f>if(AND('Deal Analysis'!$D$37*12&lt;G119,'Deal Analysis'!$D$37&gt;0),0,K118-J119)</f>
        <v>50000</v>
      </c>
      <c r="L119" s="1"/>
      <c r="M119" s="199">
        <v>116.0</v>
      </c>
      <c r="N119" s="200">
        <f>if('Deal Analysis'!D157="Yes",'Deal Analysis'!D164,0)</f>
        <v>0</v>
      </c>
      <c r="O119" s="200">
        <f t="shared" si="4"/>
        <v>0</v>
      </c>
      <c r="P119" s="200">
        <f t="shared" si="5"/>
        <v>0</v>
      </c>
      <c r="Q119" s="200">
        <f>if(AND('Deal Analysis'!$D$47*12&lt;M119,'Deal Analysis'!$D$47&gt;0),0,Q118-P119)</f>
        <v>0</v>
      </c>
      <c r="R119" s="1"/>
      <c r="S119" s="1"/>
      <c r="T119" s="1"/>
      <c r="U119" s="1"/>
      <c r="V119" s="1"/>
      <c r="W119" s="1"/>
      <c r="X119" s="1"/>
      <c r="Y119" s="1"/>
      <c r="Z119" s="1"/>
      <c r="AA119" s="1"/>
    </row>
    <row r="120">
      <c r="A120" s="199">
        <v>117.0</v>
      </c>
      <c r="B120" s="200">
        <f t="shared" si="6"/>
        <v>3046.641421</v>
      </c>
      <c r="C120" s="200">
        <f>'Deal Analysis'!$D$24/12*E119</f>
        <v>2221.920874</v>
      </c>
      <c r="D120" s="200">
        <f t="shared" si="1"/>
        <v>824.720547</v>
      </c>
      <c r="E120" s="200">
        <f t="shared" si="2"/>
        <v>295431.396</v>
      </c>
      <c r="F120" s="1"/>
      <c r="G120" s="199">
        <v>117.0</v>
      </c>
      <c r="H120" s="200">
        <f>if(AND('Deal Analysis'!$D$37*12&lt;G120,'Deal Analysis'!$D$37&gt;0),0,H119)</f>
        <v>333.3333333</v>
      </c>
      <c r="I120" s="200">
        <f>if(H120&gt;0,'Deal Analysis'!$D$35/12*K119,0)</f>
        <v>333.3333333</v>
      </c>
      <c r="J120" s="200">
        <f t="shared" si="3"/>
        <v>0</v>
      </c>
      <c r="K120" s="200">
        <f>if(AND('Deal Analysis'!$D$37*12&lt;G120,'Deal Analysis'!$D$37&gt;0),0,K119-J120)</f>
        <v>50000</v>
      </c>
      <c r="L120" s="1"/>
      <c r="M120" s="199">
        <v>117.0</v>
      </c>
      <c r="N120" s="200">
        <f>if('Deal Analysis'!D158="Yes",'Deal Analysis'!D165,0)</f>
        <v>0</v>
      </c>
      <c r="O120" s="200">
        <f t="shared" si="4"/>
        <v>0</v>
      </c>
      <c r="P120" s="200">
        <f t="shared" si="5"/>
        <v>0</v>
      </c>
      <c r="Q120" s="200">
        <f>if(AND('Deal Analysis'!$D$47*12&lt;M120,'Deal Analysis'!$D$47&gt;0),0,Q119-P120)</f>
        <v>0</v>
      </c>
      <c r="R120" s="1"/>
      <c r="S120" s="1"/>
      <c r="T120" s="1"/>
      <c r="U120" s="1"/>
      <c r="V120" s="1"/>
      <c r="W120" s="1"/>
      <c r="X120" s="1"/>
      <c r="Y120" s="1"/>
      <c r="Z120" s="1"/>
      <c r="AA120" s="1"/>
    </row>
    <row r="121">
      <c r="A121" s="199">
        <v>118.0</v>
      </c>
      <c r="B121" s="200">
        <f t="shared" si="6"/>
        <v>3046.641421</v>
      </c>
      <c r="C121" s="200">
        <f>'Deal Analysis'!$D$24/12*E120</f>
        <v>2215.73547</v>
      </c>
      <c r="D121" s="200">
        <f t="shared" si="1"/>
        <v>830.9059511</v>
      </c>
      <c r="E121" s="200">
        <f t="shared" si="2"/>
        <v>294600.49</v>
      </c>
      <c r="F121" s="1"/>
      <c r="G121" s="199">
        <v>118.0</v>
      </c>
      <c r="H121" s="200">
        <f>if(AND('Deal Analysis'!$D$37*12&lt;G121,'Deal Analysis'!$D$37&gt;0),0,H120)</f>
        <v>333.3333333</v>
      </c>
      <c r="I121" s="200">
        <f>if(H121&gt;0,'Deal Analysis'!$D$35/12*K120,0)</f>
        <v>333.3333333</v>
      </c>
      <c r="J121" s="200">
        <f t="shared" si="3"/>
        <v>0</v>
      </c>
      <c r="K121" s="200">
        <f>if(AND('Deal Analysis'!$D$37*12&lt;G121,'Deal Analysis'!$D$37&gt;0),0,K120-J121)</f>
        <v>50000</v>
      </c>
      <c r="L121" s="1"/>
      <c r="M121" s="199">
        <v>118.0</v>
      </c>
      <c r="N121" s="200">
        <f>if('Deal Analysis'!D159="Yes",'Deal Analysis'!D166,0)</f>
        <v>0</v>
      </c>
      <c r="O121" s="200">
        <f t="shared" si="4"/>
        <v>0</v>
      </c>
      <c r="P121" s="200">
        <f t="shared" si="5"/>
        <v>0</v>
      </c>
      <c r="Q121" s="200">
        <f>if(AND('Deal Analysis'!$D$47*12&lt;M121,'Deal Analysis'!$D$47&gt;0),0,Q120-P121)</f>
        <v>0</v>
      </c>
      <c r="R121" s="1"/>
      <c r="S121" s="1"/>
      <c r="T121" s="1"/>
      <c r="U121" s="1"/>
      <c r="V121" s="1"/>
      <c r="W121" s="1"/>
      <c r="X121" s="1"/>
      <c r="Y121" s="1"/>
      <c r="Z121" s="1"/>
      <c r="AA121" s="1"/>
    </row>
    <row r="122">
      <c r="A122" s="199">
        <v>119.0</v>
      </c>
      <c r="B122" s="200">
        <f t="shared" si="6"/>
        <v>3046.641421</v>
      </c>
      <c r="C122" s="200">
        <f>'Deal Analysis'!$D$24/12*E121</f>
        <v>2209.503675</v>
      </c>
      <c r="D122" s="200">
        <f t="shared" si="1"/>
        <v>837.1377458</v>
      </c>
      <c r="E122" s="200">
        <f t="shared" si="2"/>
        <v>293763.3523</v>
      </c>
      <c r="F122" s="1"/>
      <c r="G122" s="199">
        <v>119.0</v>
      </c>
      <c r="H122" s="200">
        <f>if(AND('Deal Analysis'!$D$37*12&lt;G122,'Deal Analysis'!$D$37&gt;0),0,H121)</f>
        <v>333.3333333</v>
      </c>
      <c r="I122" s="200">
        <f>if(H122&gt;0,'Deal Analysis'!$D$35/12*K121,0)</f>
        <v>333.3333333</v>
      </c>
      <c r="J122" s="200">
        <f t="shared" si="3"/>
        <v>0</v>
      </c>
      <c r="K122" s="200">
        <f>if(AND('Deal Analysis'!$D$37*12&lt;G122,'Deal Analysis'!$D$37&gt;0),0,K121-J122)</f>
        <v>50000</v>
      </c>
      <c r="L122" s="1"/>
      <c r="M122" s="199">
        <v>119.0</v>
      </c>
      <c r="N122" s="200">
        <f>if('Deal Analysis'!D160="Yes",'Deal Analysis'!D167,0)</f>
        <v>0</v>
      </c>
      <c r="O122" s="200">
        <f t="shared" si="4"/>
        <v>0</v>
      </c>
      <c r="P122" s="200">
        <f t="shared" si="5"/>
        <v>0</v>
      </c>
      <c r="Q122" s="200">
        <f>if(AND('Deal Analysis'!$D$47*12&lt;M122,'Deal Analysis'!$D$47&gt;0),0,Q121-P122)</f>
        <v>0</v>
      </c>
      <c r="R122" s="1"/>
      <c r="S122" s="1"/>
      <c r="T122" s="1"/>
      <c r="U122" s="1"/>
      <c r="V122" s="1"/>
      <c r="W122" s="1"/>
      <c r="X122" s="1"/>
      <c r="Y122" s="1"/>
      <c r="Z122" s="1"/>
      <c r="AA122" s="1"/>
    </row>
    <row r="123">
      <c r="A123" s="199">
        <v>120.0</v>
      </c>
      <c r="B123" s="200">
        <f t="shared" si="6"/>
        <v>3046.641421</v>
      </c>
      <c r="C123" s="200">
        <f>'Deal Analysis'!$D$24/12*E122</f>
        <v>2203.225142</v>
      </c>
      <c r="D123" s="200">
        <f t="shared" si="1"/>
        <v>843.4162789</v>
      </c>
      <c r="E123" s="200">
        <f t="shared" si="2"/>
        <v>292919.936</v>
      </c>
      <c r="F123" s="1"/>
      <c r="G123" s="199">
        <v>120.0</v>
      </c>
      <c r="H123" s="200">
        <f>if(AND('Deal Analysis'!$D$37*12&lt;G123,'Deal Analysis'!$D$37&gt;0),0,H122)</f>
        <v>333.3333333</v>
      </c>
      <c r="I123" s="200">
        <f>if(H123&gt;0,'Deal Analysis'!$D$35/12*K122,0)</f>
        <v>333.3333333</v>
      </c>
      <c r="J123" s="200">
        <f t="shared" si="3"/>
        <v>0</v>
      </c>
      <c r="K123" s="200">
        <f>if(AND('Deal Analysis'!$D$37*12&lt;G123,'Deal Analysis'!$D$37&gt;0),0,K122-J123)</f>
        <v>50000</v>
      </c>
      <c r="L123" s="1"/>
      <c r="M123" s="199">
        <v>120.0</v>
      </c>
      <c r="N123" s="200">
        <f>if('Deal Analysis'!D161="Yes",'Deal Analysis'!D168,0)</f>
        <v>0</v>
      </c>
      <c r="O123" s="200">
        <f t="shared" si="4"/>
        <v>0</v>
      </c>
      <c r="P123" s="200">
        <f t="shared" si="5"/>
        <v>0</v>
      </c>
      <c r="Q123" s="200">
        <f>if(AND('Deal Analysis'!$D$47*12&lt;M123,'Deal Analysis'!$D$47&gt;0),0,Q122-P123)</f>
        <v>0</v>
      </c>
      <c r="R123" s="1"/>
      <c r="S123" s="1"/>
      <c r="T123" s="1"/>
      <c r="U123" s="1"/>
      <c r="V123" s="1"/>
      <c r="W123" s="1"/>
      <c r="X123" s="1"/>
      <c r="Y123" s="1"/>
      <c r="Z123" s="1"/>
      <c r="AA123" s="1"/>
    </row>
    <row r="124">
      <c r="A124" s="199">
        <v>121.0</v>
      </c>
      <c r="B124" s="200">
        <f t="shared" si="6"/>
        <v>3046.641421</v>
      </c>
      <c r="C124" s="200">
        <f>'Deal Analysis'!$D$24/12*E123</f>
        <v>2196.89952</v>
      </c>
      <c r="D124" s="200">
        <f t="shared" si="1"/>
        <v>849.7419009</v>
      </c>
      <c r="E124" s="200">
        <f t="shared" si="2"/>
        <v>292070.1941</v>
      </c>
      <c r="F124" s="1"/>
      <c r="G124" s="199">
        <v>121.0</v>
      </c>
      <c r="H124" s="200">
        <f>if(AND('Deal Analysis'!$D$37*12&lt;G124,'Deal Analysis'!$D$37&gt;0),0,H123)</f>
        <v>333.3333333</v>
      </c>
      <c r="I124" s="200">
        <f>if(H124&gt;0,'Deal Analysis'!$D$35/12*K123,0)</f>
        <v>333.3333333</v>
      </c>
      <c r="J124" s="200">
        <f t="shared" si="3"/>
        <v>0</v>
      </c>
      <c r="K124" s="200">
        <f>if(AND('Deal Analysis'!$D$37*12&lt;G124,'Deal Analysis'!$D$37&gt;0),0,K123-J124)</f>
        <v>50000</v>
      </c>
      <c r="L124" s="1"/>
      <c r="M124" s="199">
        <v>121.0</v>
      </c>
      <c r="N124" s="200">
        <f>if('Deal Analysis'!D162="Yes",'Deal Analysis'!D169,0)</f>
        <v>0</v>
      </c>
      <c r="O124" s="200">
        <f t="shared" si="4"/>
        <v>0</v>
      </c>
      <c r="P124" s="200">
        <f t="shared" si="5"/>
        <v>0</v>
      </c>
      <c r="Q124" s="200">
        <f>if(AND('Deal Analysis'!$D$47*12&lt;M124,'Deal Analysis'!$D$47&gt;0),0,Q123-P124)</f>
        <v>0</v>
      </c>
      <c r="R124" s="1"/>
      <c r="S124" s="1"/>
      <c r="T124" s="1"/>
      <c r="U124" s="1"/>
      <c r="V124" s="1"/>
      <c r="W124" s="1"/>
      <c r="X124" s="1"/>
      <c r="Y124" s="1"/>
      <c r="Z124" s="1"/>
      <c r="AA124" s="1"/>
    </row>
    <row r="125">
      <c r="A125" s="199">
        <v>122.0</v>
      </c>
      <c r="B125" s="200">
        <f t="shared" si="6"/>
        <v>3046.641421</v>
      </c>
      <c r="C125" s="200">
        <f>'Deal Analysis'!$D$24/12*E124</f>
        <v>2190.526456</v>
      </c>
      <c r="D125" s="200">
        <f t="shared" si="1"/>
        <v>856.1149652</v>
      </c>
      <c r="E125" s="200">
        <f t="shared" si="2"/>
        <v>291214.0791</v>
      </c>
      <c r="F125" s="1"/>
      <c r="G125" s="199">
        <v>122.0</v>
      </c>
      <c r="H125" s="200">
        <f>if(AND('Deal Analysis'!$D$37*12&lt;G125,'Deal Analysis'!$D$37&gt;0),0,H124)</f>
        <v>333.3333333</v>
      </c>
      <c r="I125" s="200">
        <f>if(H125&gt;0,'Deal Analysis'!$D$35/12*K124,0)</f>
        <v>333.3333333</v>
      </c>
      <c r="J125" s="200">
        <f t="shared" si="3"/>
        <v>0</v>
      </c>
      <c r="K125" s="200">
        <f>if(AND('Deal Analysis'!$D$37*12&lt;G125,'Deal Analysis'!$D$37&gt;0),0,K124-J125)</f>
        <v>50000</v>
      </c>
      <c r="L125" s="1"/>
      <c r="M125" s="199">
        <v>122.0</v>
      </c>
      <c r="N125" s="200">
        <f>if('Deal Analysis'!D163="Yes",'Deal Analysis'!D170,0)</f>
        <v>0</v>
      </c>
      <c r="O125" s="200">
        <f t="shared" si="4"/>
        <v>0</v>
      </c>
      <c r="P125" s="200">
        <f t="shared" si="5"/>
        <v>0</v>
      </c>
      <c r="Q125" s="200">
        <f>if(AND('Deal Analysis'!$D$47*12&lt;M125,'Deal Analysis'!$D$47&gt;0),0,Q124-P125)</f>
        <v>0</v>
      </c>
      <c r="R125" s="1"/>
      <c r="S125" s="1"/>
      <c r="T125" s="1"/>
      <c r="U125" s="1"/>
      <c r="V125" s="1"/>
      <c r="W125" s="1"/>
      <c r="X125" s="1"/>
      <c r="Y125" s="1"/>
      <c r="Z125" s="1"/>
      <c r="AA125" s="1"/>
    </row>
    <row r="126">
      <c r="A126" s="199">
        <v>123.0</v>
      </c>
      <c r="B126" s="200">
        <f t="shared" si="6"/>
        <v>3046.641421</v>
      </c>
      <c r="C126" s="200">
        <f>'Deal Analysis'!$D$24/12*E125</f>
        <v>2184.105594</v>
      </c>
      <c r="D126" s="200">
        <f t="shared" si="1"/>
        <v>862.5358274</v>
      </c>
      <c r="E126" s="200">
        <f t="shared" si="2"/>
        <v>290351.5433</v>
      </c>
      <c r="F126" s="1"/>
      <c r="G126" s="199">
        <v>123.0</v>
      </c>
      <c r="H126" s="200">
        <f>if(AND('Deal Analysis'!$D$37*12&lt;G126,'Deal Analysis'!$D$37&gt;0),0,H125)</f>
        <v>333.3333333</v>
      </c>
      <c r="I126" s="200">
        <f>if(H126&gt;0,'Deal Analysis'!$D$35/12*K125,0)</f>
        <v>333.3333333</v>
      </c>
      <c r="J126" s="200">
        <f t="shared" si="3"/>
        <v>0</v>
      </c>
      <c r="K126" s="200">
        <f>if(AND('Deal Analysis'!$D$37*12&lt;G126,'Deal Analysis'!$D$37&gt;0),0,K125-J126)</f>
        <v>50000</v>
      </c>
      <c r="L126" s="1"/>
      <c r="M126" s="199">
        <v>123.0</v>
      </c>
      <c r="N126" s="200">
        <f>if('Deal Analysis'!D164="Yes",'Deal Analysis'!D171,0)</f>
        <v>0</v>
      </c>
      <c r="O126" s="200">
        <f t="shared" si="4"/>
        <v>0</v>
      </c>
      <c r="P126" s="200">
        <f t="shared" si="5"/>
        <v>0</v>
      </c>
      <c r="Q126" s="200">
        <f>if(AND('Deal Analysis'!$D$47*12&lt;M126,'Deal Analysis'!$D$47&gt;0),0,Q125-P126)</f>
        <v>0</v>
      </c>
      <c r="R126" s="1"/>
      <c r="S126" s="1"/>
      <c r="T126" s="1"/>
      <c r="U126" s="1"/>
      <c r="V126" s="1"/>
      <c r="W126" s="1"/>
      <c r="X126" s="1"/>
      <c r="Y126" s="1"/>
      <c r="Z126" s="1"/>
      <c r="AA126" s="1"/>
    </row>
    <row r="127">
      <c r="A127" s="199">
        <v>124.0</v>
      </c>
      <c r="B127" s="200">
        <f t="shared" si="6"/>
        <v>3046.641421</v>
      </c>
      <c r="C127" s="200">
        <f>'Deal Analysis'!$D$24/12*E126</f>
        <v>2177.636575</v>
      </c>
      <c r="D127" s="200">
        <f t="shared" si="1"/>
        <v>869.0048461</v>
      </c>
      <c r="E127" s="200">
        <f t="shared" si="2"/>
        <v>289482.5385</v>
      </c>
      <c r="F127" s="1"/>
      <c r="G127" s="199">
        <v>124.0</v>
      </c>
      <c r="H127" s="200">
        <f>if(AND('Deal Analysis'!$D$37*12&lt;G127,'Deal Analysis'!$D$37&gt;0),0,H126)</f>
        <v>333.3333333</v>
      </c>
      <c r="I127" s="200">
        <f>if(H127&gt;0,'Deal Analysis'!$D$35/12*K126,0)</f>
        <v>333.3333333</v>
      </c>
      <c r="J127" s="200">
        <f t="shared" si="3"/>
        <v>0</v>
      </c>
      <c r="K127" s="200">
        <f>if(AND('Deal Analysis'!$D$37*12&lt;G127,'Deal Analysis'!$D$37&gt;0),0,K126-J127)</f>
        <v>50000</v>
      </c>
      <c r="L127" s="1"/>
      <c r="M127" s="199">
        <v>124.0</v>
      </c>
      <c r="N127" s="200">
        <f>if('Deal Analysis'!D165="Yes",'Deal Analysis'!D172,0)</f>
        <v>0</v>
      </c>
      <c r="O127" s="200">
        <f t="shared" si="4"/>
        <v>0</v>
      </c>
      <c r="P127" s="200">
        <f t="shared" si="5"/>
        <v>0</v>
      </c>
      <c r="Q127" s="200">
        <f>if(AND('Deal Analysis'!$D$47*12&lt;M127,'Deal Analysis'!$D$47&gt;0),0,Q126-P127)</f>
        <v>0</v>
      </c>
      <c r="R127" s="1"/>
      <c r="S127" s="1"/>
      <c r="T127" s="1"/>
      <c r="U127" s="1"/>
      <c r="V127" s="1"/>
      <c r="W127" s="1"/>
      <c r="X127" s="1"/>
      <c r="Y127" s="1"/>
      <c r="Z127" s="1"/>
      <c r="AA127" s="1"/>
    </row>
    <row r="128">
      <c r="A128" s="199">
        <v>125.0</v>
      </c>
      <c r="B128" s="200">
        <f t="shared" si="6"/>
        <v>3046.641421</v>
      </c>
      <c r="C128" s="200">
        <f>'Deal Analysis'!$D$24/12*E127</f>
        <v>2171.119039</v>
      </c>
      <c r="D128" s="200">
        <f t="shared" si="1"/>
        <v>875.5223825</v>
      </c>
      <c r="E128" s="200">
        <f t="shared" si="2"/>
        <v>288607.0161</v>
      </c>
      <c r="F128" s="1"/>
      <c r="G128" s="199">
        <v>125.0</v>
      </c>
      <c r="H128" s="200">
        <f>if(AND('Deal Analysis'!$D$37*12&lt;G128,'Deal Analysis'!$D$37&gt;0),0,H127)</f>
        <v>333.3333333</v>
      </c>
      <c r="I128" s="200">
        <f>if(H128&gt;0,'Deal Analysis'!$D$35/12*K127,0)</f>
        <v>333.3333333</v>
      </c>
      <c r="J128" s="200">
        <f t="shared" si="3"/>
        <v>0</v>
      </c>
      <c r="K128" s="200">
        <f>if(AND('Deal Analysis'!$D$37*12&lt;G128,'Deal Analysis'!$D$37&gt;0),0,K127-J128)</f>
        <v>50000</v>
      </c>
      <c r="L128" s="1"/>
      <c r="M128" s="199">
        <v>125.0</v>
      </c>
      <c r="N128" s="200">
        <f>if('Deal Analysis'!D166="Yes",'Deal Analysis'!D173,0)</f>
        <v>0</v>
      </c>
      <c r="O128" s="200">
        <f t="shared" si="4"/>
        <v>0</v>
      </c>
      <c r="P128" s="200">
        <f t="shared" si="5"/>
        <v>0</v>
      </c>
      <c r="Q128" s="200">
        <f>if(AND('Deal Analysis'!$D$47*12&lt;M128,'Deal Analysis'!$D$47&gt;0),0,Q127-P128)</f>
        <v>0</v>
      </c>
      <c r="R128" s="1"/>
      <c r="S128" s="1"/>
      <c r="T128" s="1"/>
      <c r="U128" s="1"/>
      <c r="V128" s="1"/>
      <c r="W128" s="1"/>
      <c r="X128" s="1"/>
      <c r="Y128" s="1"/>
      <c r="Z128" s="1"/>
      <c r="AA128" s="1"/>
    </row>
    <row r="129">
      <c r="A129" s="199">
        <v>126.0</v>
      </c>
      <c r="B129" s="200">
        <f t="shared" si="6"/>
        <v>3046.641421</v>
      </c>
      <c r="C129" s="200">
        <f>'Deal Analysis'!$D$24/12*E128</f>
        <v>2164.552621</v>
      </c>
      <c r="D129" s="200">
        <f t="shared" si="1"/>
        <v>882.0888004</v>
      </c>
      <c r="E129" s="200">
        <f t="shared" si="2"/>
        <v>287724.9273</v>
      </c>
      <c r="F129" s="1"/>
      <c r="G129" s="199">
        <v>126.0</v>
      </c>
      <c r="H129" s="200">
        <f>if(AND('Deal Analysis'!$D$37*12&lt;G129,'Deal Analysis'!$D$37&gt;0),0,H128)</f>
        <v>333.3333333</v>
      </c>
      <c r="I129" s="200">
        <f>if(H129&gt;0,'Deal Analysis'!$D$35/12*K128,0)</f>
        <v>333.3333333</v>
      </c>
      <c r="J129" s="200">
        <f t="shared" si="3"/>
        <v>0</v>
      </c>
      <c r="K129" s="200">
        <f>if(AND('Deal Analysis'!$D$37*12&lt;G129,'Deal Analysis'!$D$37&gt;0),0,K128-J129)</f>
        <v>50000</v>
      </c>
      <c r="L129" s="1"/>
      <c r="M129" s="199">
        <v>126.0</v>
      </c>
      <c r="N129" s="200">
        <f>if('Deal Analysis'!D167="Yes",'Deal Analysis'!D174,0)</f>
        <v>0</v>
      </c>
      <c r="O129" s="200">
        <f t="shared" si="4"/>
        <v>0</v>
      </c>
      <c r="P129" s="200">
        <f t="shared" si="5"/>
        <v>0</v>
      </c>
      <c r="Q129" s="200">
        <f>if(AND('Deal Analysis'!$D$47*12&lt;M129,'Deal Analysis'!$D$47&gt;0),0,Q128-P129)</f>
        <v>0</v>
      </c>
      <c r="R129" s="1"/>
      <c r="S129" s="1"/>
      <c r="T129" s="1"/>
      <c r="U129" s="1"/>
      <c r="V129" s="1"/>
      <c r="W129" s="1"/>
      <c r="X129" s="1"/>
      <c r="Y129" s="1"/>
      <c r="Z129" s="1"/>
      <c r="AA129" s="1"/>
    </row>
    <row r="130">
      <c r="A130" s="199">
        <v>127.0</v>
      </c>
      <c r="B130" s="200">
        <f t="shared" si="6"/>
        <v>3046.641421</v>
      </c>
      <c r="C130" s="200">
        <f>'Deal Analysis'!$D$24/12*E129</f>
        <v>2157.936955</v>
      </c>
      <c r="D130" s="200">
        <f t="shared" si="1"/>
        <v>888.7044664</v>
      </c>
      <c r="E130" s="200">
        <f t="shared" si="2"/>
        <v>286836.2228</v>
      </c>
      <c r="F130" s="1"/>
      <c r="G130" s="199">
        <v>127.0</v>
      </c>
      <c r="H130" s="200">
        <f>if(AND('Deal Analysis'!$D$37*12&lt;G130,'Deal Analysis'!$D$37&gt;0),0,H129)</f>
        <v>333.3333333</v>
      </c>
      <c r="I130" s="200">
        <f>if(H130&gt;0,'Deal Analysis'!$D$35/12*K129,0)</f>
        <v>333.3333333</v>
      </c>
      <c r="J130" s="200">
        <f t="shared" si="3"/>
        <v>0</v>
      </c>
      <c r="K130" s="200">
        <f>if(AND('Deal Analysis'!$D$37*12&lt;G130,'Deal Analysis'!$D$37&gt;0),0,K129-J130)</f>
        <v>50000</v>
      </c>
      <c r="L130" s="1"/>
      <c r="M130" s="199">
        <v>127.0</v>
      </c>
      <c r="N130" s="200">
        <f>if('Deal Analysis'!D168="Yes",'Deal Analysis'!D175,0)</f>
        <v>0</v>
      </c>
      <c r="O130" s="200">
        <f t="shared" si="4"/>
        <v>0</v>
      </c>
      <c r="P130" s="200">
        <f t="shared" si="5"/>
        <v>0</v>
      </c>
      <c r="Q130" s="200">
        <f>if(AND('Deal Analysis'!$D$47*12&lt;M130,'Deal Analysis'!$D$47&gt;0),0,Q129-P130)</f>
        <v>0</v>
      </c>
      <c r="R130" s="1"/>
      <c r="S130" s="1"/>
      <c r="T130" s="1"/>
      <c r="U130" s="1"/>
      <c r="V130" s="1"/>
      <c r="W130" s="1"/>
      <c r="X130" s="1"/>
      <c r="Y130" s="1"/>
      <c r="Z130" s="1"/>
      <c r="AA130" s="1"/>
    </row>
    <row r="131">
      <c r="A131" s="199">
        <v>128.0</v>
      </c>
      <c r="B131" s="200">
        <f t="shared" si="6"/>
        <v>3046.641421</v>
      </c>
      <c r="C131" s="200">
        <f>'Deal Analysis'!$D$24/12*E130</f>
        <v>2151.271671</v>
      </c>
      <c r="D131" s="200">
        <f t="shared" si="1"/>
        <v>895.3697499</v>
      </c>
      <c r="E131" s="200">
        <f t="shared" si="2"/>
        <v>285940.8531</v>
      </c>
      <c r="F131" s="1"/>
      <c r="G131" s="199">
        <v>128.0</v>
      </c>
      <c r="H131" s="200">
        <f>if(AND('Deal Analysis'!$D$37*12&lt;G131,'Deal Analysis'!$D$37&gt;0),0,H130)</f>
        <v>333.3333333</v>
      </c>
      <c r="I131" s="200">
        <f>if(H131&gt;0,'Deal Analysis'!$D$35/12*K130,0)</f>
        <v>333.3333333</v>
      </c>
      <c r="J131" s="200">
        <f t="shared" si="3"/>
        <v>0</v>
      </c>
      <c r="K131" s="200">
        <f>if(AND('Deal Analysis'!$D$37*12&lt;G131,'Deal Analysis'!$D$37&gt;0),0,K130-J131)</f>
        <v>50000</v>
      </c>
      <c r="L131" s="1"/>
      <c r="M131" s="199">
        <v>128.0</v>
      </c>
      <c r="N131" s="200">
        <f>if('Deal Analysis'!D169="Yes",'Deal Analysis'!D176,0)</f>
        <v>0</v>
      </c>
      <c r="O131" s="200">
        <f t="shared" si="4"/>
        <v>0</v>
      </c>
      <c r="P131" s="200">
        <f t="shared" si="5"/>
        <v>0</v>
      </c>
      <c r="Q131" s="200">
        <f>if(AND('Deal Analysis'!$D$47*12&lt;M131,'Deal Analysis'!$D$47&gt;0),0,Q130-P131)</f>
        <v>0</v>
      </c>
      <c r="R131" s="1"/>
      <c r="S131" s="1"/>
      <c r="T131" s="1"/>
      <c r="U131" s="1"/>
      <c r="V131" s="1"/>
      <c r="W131" s="1"/>
      <c r="X131" s="1"/>
      <c r="Y131" s="1"/>
      <c r="Z131" s="1"/>
      <c r="AA131" s="1"/>
    </row>
    <row r="132">
      <c r="A132" s="199">
        <v>129.0</v>
      </c>
      <c r="B132" s="200">
        <f t="shared" si="6"/>
        <v>3046.641421</v>
      </c>
      <c r="C132" s="200">
        <f>'Deal Analysis'!$D$24/12*E131</f>
        <v>2144.556398</v>
      </c>
      <c r="D132" s="200">
        <f t="shared" si="1"/>
        <v>902.085023</v>
      </c>
      <c r="E132" s="200">
        <f t="shared" si="2"/>
        <v>285038.768</v>
      </c>
      <c r="F132" s="1"/>
      <c r="G132" s="199">
        <v>129.0</v>
      </c>
      <c r="H132" s="200">
        <f>if(AND('Deal Analysis'!$D$37*12&lt;G132,'Deal Analysis'!$D$37&gt;0),0,H131)</f>
        <v>333.3333333</v>
      </c>
      <c r="I132" s="200">
        <f>if(H132&gt;0,'Deal Analysis'!$D$35/12*K131,0)</f>
        <v>333.3333333</v>
      </c>
      <c r="J132" s="200">
        <f t="shared" si="3"/>
        <v>0</v>
      </c>
      <c r="K132" s="200">
        <f>if(AND('Deal Analysis'!$D$37*12&lt;G132,'Deal Analysis'!$D$37&gt;0),0,K131-J132)</f>
        <v>50000</v>
      </c>
      <c r="L132" s="1"/>
      <c r="M132" s="199">
        <v>129.0</v>
      </c>
      <c r="N132" s="200">
        <f>if('Deal Analysis'!D170="Yes",'Deal Analysis'!D177,0)</f>
        <v>0</v>
      </c>
      <c r="O132" s="200">
        <f t="shared" si="4"/>
        <v>0</v>
      </c>
      <c r="P132" s="200">
        <f t="shared" si="5"/>
        <v>0</v>
      </c>
      <c r="Q132" s="200">
        <f>if(AND('Deal Analysis'!$D$47*12&lt;M132,'Deal Analysis'!$D$47&gt;0),0,Q131-P132)</f>
        <v>0</v>
      </c>
      <c r="R132" s="1"/>
      <c r="S132" s="1"/>
      <c r="T132" s="1"/>
      <c r="U132" s="1"/>
      <c r="V132" s="1"/>
      <c r="W132" s="1"/>
      <c r="X132" s="1"/>
      <c r="Y132" s="1"/>
      <c r="Z132" s="1"/>
      <c r="AA132" s="1"/>
    </row>
    <row r="133">
      <c r="A133" s="199">
        <v>130.0</v>
      </c>
      <c r="B133" s="200">
        <f t="shared" si="6"/>
        <v>3046.641421</v>
      </c>
      <c r="C133" s="200">
        <f>'Deal Analysis'!$D$24/12*E132</f>
        <v>2137.79076</v>
      </c>
      <c r="D133" s="200">
        <f t="shared" si="1"/>
        <v>908.8506607</v>
      </c>
      <c r="E133" s="200">
        <f t="shared" si="2"/>
        <v>284129.9174</v>
      </c>
      <c r="F133" s="1"/>
      <c r="G133" s="199">
        <v>130.0</v>
      </c>
      <c r="H133" s="200">
        <f>if(AND('Deal Analysis'!$D$37*12&lt;G133,'Deal Analysis'!$D$37&gt;0),0,H132)</f>
        <v>333.3333333</v>
      </c>
      <c r="I133" s="200">
        <f>if(H133&gt;0,'Deal Analysis'!$D$35/12*K132,0)</f>
        <v>333.3333333</v>
      </c>
      <c r="J133" s="200">
        <f t="shared" si="3"/>
        <v>0</v>
      </c>
      <c r="K133" s="200">
        <f>if(AND('Deal Analysis'!$D$37*12&lt;G133,'Deal Analysis'!$D$37&gt;0),0,K132-J133)</f>
        <v>50000</v>
      </c>
      <c r="L133" s="1"/>
      <c r="M133" s="199">
        <v>130.0</v>
      </c>
      <c r="N133" s="200">
        <f>if('Deal Analysis'!D171="Yes",'Deal Analysis'!D178,0)</f>
        <v>0</v>
      </c>
      <c r="O133" s="200">
        <f t="shared" si="4"/>
        <v>0</v>
      </c>
      <c r="P133" s="200">
        <f t="shared" si="5"/>
        <v>0</v>
      </c>
      <c r="Q133" s="200">
        <f>if(AND('Deal Analysis'!$D$47*12&lt;M133,'Deal Analysis'!$D$47&gt;0),0,Q132-P133)</f>
        <v>0</v>
      </c>
      <c r="R133" s="1"/>
      <c r="S133" s="1"/>
      <c r="T133" s="1"/>
      <c r="U133" s="1"/>
      <c r="V133" s="1"/>
      <c r="W133" s="1"/>
      <c r="X133" s="1"/>
      <c r="Y133" s="1"/>
      <c r="Z133" s="1"/>
      <c r="AA133" s="1"/>
    </row>
    <row r="134">
      <c r="A134" s="199">
        <v>131.0</v>
      </c>
      <c r="B134" s="200">
        <f t="shared" si="6"/>
        <v>3046.641421</v>
      </c>
      <c r="C134" s="200">
        <f>'Deal Analysis'!$D$24/12*E133</f>
        <v>2130.97438</v>
      </c>
      <c r="D134" s="200">
        <f t="shared" si="1"/>
        <v>915.6670406</v>
      </c>
      <c r="E134" s="200">
        <f t="shared" si="2"/>
        <v>283214.2503</v>
      </c>
      <c r="F134" s="1"/>
      <c r="G134" s="199">
        <v>131.0</v>
      </c>
      <c r="H134" s="200">
        <f>if(AND('Deal Analysis'!$D$37*12&lt;G134,'Deal Analysis'!$D$37&gt;0),0,H133)</f>
        <v>333.3333333</v>
      </c>
      <c r="I134" s="200">
        <f>if(H134&gt;0,'Deal Analysis'!$D$35/12*K133,0)</f>
        <v>333.3333333</v>
      </c>
      <c r="J134" s="200">
        <f t="shared" si="3"/>
        <v>0</v>
      </c>
      <c r="K134" s="200">
        <f>if(AND('Deal Analysis'!$D$37*12&lt;G134,'Deal Analysis'!$D$37&gt;0),0,K133-J134)</f>
        <v>50000</v>
      </c>
      <c r="L134" s="1"/>
      <c r="M134" s="199">
        <v>131.0</v>
      </c>
      <c r="N134" s="200">
        <f>if('Deal Analysis'!D172="Yes",'Deal Analysis'!D179,0)</f>
        <v>0</v>
      </c>
      <c r="O134" s="200">
        <f t="shared" si="4"/>
        <v>0</v>
      </c>
      <c r="P134" s="200">
        <f t="shared" si="5"/>
        <v>0</v>
      </c>
      <c r="Q134" s="200">
        <f>if(AND('Deal Analysis'!$D$47*12&lt;M134,'Deal Analysis'!$D$47&gt;0),0,Q133-P134)</f>
        <v>0</v>
      </c>
      <c r="R134" s="1"/>
      <c r="S134" s="1"/>
      <c r="T134" s="1"/>
      <c r="U134" s="1"/>
      <c r="V134" s="1"/>
      <c r="W134" s="1"/>
      <c r="X134" s="1"/>
      <c r="Y134" s="1"/>
      <c r="Z134" s="1"/>
      <c r="AA134" s="1"/>
    </row>
    <row r="135">
      <c r="A135" s="199">
        <v>132.0</v>
      </c>
      <c r="B135" s="200">
        <f t="shared" si="6"/>
        <v>3046.641421</v>
      </c>
      <c r="C135" s="200">
        <f>'Deal Analysis'!$D$24/12*E134</f>
        <v>2124.106878</v>
      </c>
      <c r="D135" s="200">
        <f t="shared" si="1"/>
        <v>922.5345434</v>
      </c>
      <c r="E135" s="200">
        <f t="shared" si="2"/>
        <v>282291.7158</v>
      </c>
      <c r="F135" s="1"/>
      <c r="G135" s="199">
        <v>132.0</v>
      </c>
      <c r="H135" s="200">
        <f>if(AND('Deal Analysis'!$D$37*12&lt;G135,'Deal Analysis'!$D$37&gt;0),0,H134)</f>
        <v>333.3333333</v>
      </c>
      <c r="I135" s="200">
        <f>if(H135&gt;0,'Deal Analysis'!$D$35/12*K134,0)</f>
        <v>333.3333333</v>
      </c>
      <c r="J135" s="200">
        <f t="shared" si="3"/>
        <v>0</v>
      </c>
      <c r="K135" s="200">
        <f>if(AND('Deal Analysis'!$D$37*12&lt;G135,'Deal Analysis'!$D$37&gt;0),0,K134-J135)</f>
        <v>50000</v>
      </c>
      <c r="L135" s="1"/>
      <c r="M135" s="199">
        <v>132.0</v>
      </c>
      <c r="N135" s="200">
        <f>if('Deal Analysis'!D173="Yes",'Deal Analysis'!D180,0)</f>
        <v>0</v>
      </c>
      <c r="O135" s="200">
        <f t="shared" si="4"/>
        <v>0</v>
      </c>
      <c r="P135" s="200">
        <f t="shared" si="5"/>
        <v>0</v>
      </c>
      <c r="Q135" s="200">
        <f>if(AND('Deal Analysis'!$D$47*12&lt;M135,'Deal Analysis'!$D$47&gt;0),0,Q134-P135)</f>
        <v>0</v>
      </c>
      <c r="R135" s="1"/>
      <c r="S135" s="1"/>
      <c r="T135" s="1"/>
      <c r="U135" s="1"/>
      <c r="V135" s="1"/>
      <c r="W135" s="1"/>
      <c r="X135" s="1"/>
      <c r="Y135" s="1"/>
      <c r="Z135" s="1"/>
      <c r="AA135" s="1"/>
    </row>
    <row r="136">
      <c r="A136" s="199">
        <v>133.0</v>
      </c>
      <c r="B136" s="200">
        <f t="shared" si="6"/>
        <v>3046.641421</v>
      </c>
      <c r="C136" s="200">
        <f>'Deal Analysis'!$D$24/12*E135</f>
        <v>2117.187869</v>
      </c>
      <c r="D136" s="200">
        <f t="shared" si="1"/>
        <v>929.4535525</v>
      </c>
      <c r="E136" s="200">
        <f t="shared" si="2"/>
        <v>281362.2622</v>
      </c>
      <c r="F136" s="1"/>
      <c r="G136" s="199">
        <v>133.0</v>
      </c>
      <c r="H136" s="200">
        <f>if(AND('Deal Analysis'!$D$37*12&lt;G136,'Deal Analysis'!$D$37&gt;0),0,H135)</f>
        <v>333.3333333</v>
      </c>
      <c r="I136" s="200">
        <f>if(H136&gt;0,'Deal Analysis'!$D$35/12*K135,0)</f>
        <v>333.3333333</v>
      </c>
      <c r="J136" s="200">
        <f t="shared" si="3"/>
        <v>0</v>
      </c>
      <c r="K136" s="200">
        <f>if(AND('Deal Analysis'!$D$37*12&lt;G136,'Deal Analysis'!$D$37&gt;0),0,K135-J136)</f>
        <v>50000</v>
      </c>
      <c r="L136" s="1"/>
      <c r="M136" s="199">
        <v>133.0</v>
      </c>
      <c r="N136" s="200">
        <f>if('Deal Analysis'!D174="Yes",'Deal Analysis'!D181,0)</f>
        <v>0</v>
      </c>
      <c r="O136" s="200">
        <f t="shared" si="4"/>
        <v>0</v>
      </c>
      <c r="P136" s="200">
        <f t="shared" si="5"/>
        <v>0</v>
      </c>
      <c r="Q136" s="200">
        <f>if(AND('Deal Analysis'!$D$47*12&lt;M136,'Deal Analysis'!$D$47&gt;0),0,Q135-P136)</f>
        <v>0</v>
      </c>
      <c r="R136" s="1"/>
      <c r="S136" s="1"/>
      <c r="T136" s="1"/>
      <c r="U136" s="1"/>
      <c r="V136" s="1"/>
      <c r="W136" s="1"/>
      <c r="X136" s="1"/>
      <c r="Y136" s="1"/>
      <c r="Z136" s="1"/>
      <c r="AA136" s="1"/>
    </row>
    <row r="137">
      <c r="A137" s="199">
        <v>134.0</v>
      </c>
      <c r="B137" s="200">
        <f t="shared" si="6"/>
        <v>3046.641421</v>
      </c>
      <c r="C137" s="200">
        <f>'Deal Analysis'!$D$24/12*E136</f>
        <v>2110.216967</v>
      </c>
      <c r="D137" s="200">
        <f t="shared" si="1"/>
        <v>936.4244541</v>
      </c>
      <c r="E137" s="200">
        <f t="shared" si="2"/>
        <v>280425.8378</v>
      </c>
      <c r="F137" s="1"/>
      <c r="G137" s="199">
        <v>134.0</v>
      </c>
      <c r="H137" s="200">
        <f>if(AND('Deal Analysis'!$D$37*12&lt;G137,'Deal Analysis'!$D$37&gt;0),0,H136)</f>
        <v>333.3333333</v>
      </c>
      <c r="I137" s="200">
        <f>if(H137&gt;0,'Deal Analysis'!$D$35/12*K136,0)</f>
        <v>333.3333333</v>
      </c>
      <c r="J137" s="200">
        <f t="shared" si="3"/>
        <v>0</v>
      </c>
      <c r="K137" s="200">
        <f>if(AND('Deal Analysis'!$D$37*12&lt;G137,'Deal Analysis'!$D$37&gt;0),0,K136-J137)</f>
        <v>50000</v>
      </c>
      <c r="L137" s="1"/>
      <c r="M137" s="199">
        <v>134.0</v>
      </c>
      <c r="N137" s="200">
        <f>if('Deal Analysis'!D175="Yes",'Deal Analysis'!D182,0)</f>
        <v>0</v>
      </c>
      <c r="O137" s="200">
        <f t="shared" si="4"/>
        <v>0</v>
      </c>
      <c r="P137" s="200">
        <f t="shared" si="5"/>
        <v>0</v>
      </c>
      <c r="Q137" s="200">
        <f>if(AND('Deal Analysis'!$D$47*12&lt;M137,'Deal Analysis'!$D$47&gt;0),0,Q136-P137)</f>
        <v>0</v>
      </c>
      <c r="R137" s="1"/>
      <c r="S137" s="1"/>
      <c r="T137" s="1"/>
      <c r="U137" s="1"/>
      <c r="V137" s="1"/>
      <c r="W137" s="1"/>
      <c r="X137" s="1"/>
      <c r="Y137" s="1"/>
      <c r="Z137" s="1"/>
      <c r="AA137" s="1"/>
    </row>
    <row r="138">
      <c r="A138" s="199">
        <v>135.0</v>
      </c>
      <c r="B138" s="200">
        <f t="shared" si="6"/>
        <v>3046.641421</v>
      </c>
      <c r="C138" s="200">
        <f>'Deal Analysis'!$D$24/12*E137</f>
        <v>2103.193783</v>
      </c>
      <c r="D138" s="200">
        <f t="shared" si="1"/>
        <v>943.4476375</v>
      </c>
      <c r="E138" s="200">
        <f t="shared" si="2"/>
        <v>279482.3902</v>
      </c>
      <c r="F138" s="1"/>
      <c r="G138" s="199">
        <v>135.0</v>
      </c>
      <c r="H138" s="200">
        <f>if(AND('Deal Analysis'!$D$37*12&lt;G138,'Deal Analysis'!$D$37&gt;0),0,H137)</f>
        <v>333.3333333</v>
      </c>
      <c r="I138" s="200">
        <f>if(H138&gt;0,'Deal Analysis'!$D$35/12*K137,0)</f>
        <v>333.3333333</v>
      </c>
      <c r="J138" s="200">
        <f t="shared" si="3"/>
        <v>0</v>
      </c>
      <c r="K138" s="200">
        <f>if(AND('Deal Analysis'!$D$37*12&lt;G138,'Deal Analysis'!$D$37&gt;0),0,K137-J138)</f>
        <v>50000</v>
      </c>
      <c r="L138" s="1"/>
      <c r="M138" s="199">
        <v>135.0</v>
      </c>
      <c r="N138" s="200">
        <f>if('Deal Analysis'!D176="Yes",'Deal Analysis'!D183,0)</f>
        <v>0</v>
      </c>
      <c r="O138" s="200">
        <f t="shared" si="4"/>
        <v>0</v>
      </c>
      <c r="P138" s="200">
        <f t="shared" si="5"/>
        <v>0</v>
      </c>
      <c r="Q138" s="200">
        <f>if(AND('Deal Analysis'!$D$47*12&lt;M138,'Deal Analysis'!$D$47&gt;0),0,Q137-P138)</f>
        <v>0</v>
      </c>
      <c r="R138" s="1"/>
      <c r="S138" s="1"/>
      <c r="T138" s="1"/>
      <c r="U138" s="1"/>
      <c r="V138" s="1"/>
      <c r="W138" s="1"/>
      <c r="X138" s="1"/>
      <c r="Y138" s="1"/>
      <c r="Z138" s="1"/>
      <c r="AA138" s="1"/>
    </row>
    <row r="139">
      <c r="A139" s="199">
        <v>136.0</v>
      </c>
      <c r="B139" s="200">
        <f t="shared" si="6"/>
        <v>3046.641421</v>
      </c>
      <c r="C139" s="200">
        <f>'Deal Analysis'!$D$24/12*E138</f>
        <v>2096.117926</v>
      </c>
      <c r="D139" s="200">
        <f t="shared" si="1"/>
        <v>950.5234948</v>
      </c>
      <c r="E139" s="200">
        <f t="shared" si="2"/>
        <v>278531.8667</v>
      </c>
      <c r="F139" s="1"/>
      <c r="G139" s="199">
        <v>136.0</v>
      </c>
      <c r="H139" s="200">
        <f>if(AND('Deal Analysis'!$D$37*12&lt;G139,'Deal Analysis'!$D$37&gt;0),0,H138)</f>
        <v>333.3333333</v>
      </c>
      <c r="I139" s="200">
        <f>if(H139&gt;0,'Deal Analysis'!$D$35/12*K138,0)</f>
        <v>333.3333333</v>
      </c>
      <c r="J139" s="200">
        <f t="shared" si="3"/>
        <v>0</v>
      </c>
      <c r="K139" s="200">
        <f>if(AND('Deal Analysis'!$D$37*12&lt;G139,'Deal Analysis'!$D$37&gt;0),0,K138-J139)</f>
        <v>50000</v>
      </c>
      <c r="L139" s="1"/>
      <c r="M139" s="199">
        <v>136.0</v>
      </c>
      <c r="N139" s="200">
        <f>if('Deal Analysis'!D177="Yes",'Deal Analysis'!D184,0)</f>
        <v>0</v>
      </c>
      <c r="O139" s="200">
        <f t="shared" si="4"/>
        <v>0</v>
      </c>
      <c r="P139" s="200">
        <f t="shared" si="5"/>
        <v>0</v>
      </c>
      <c r="Q139" s="200">
        <f>if(AND('Deal Analysis'!$D$47*12&lt;M139,'Deal Analysis'!$D$47&gt;0),0,Q138-P139)</f>
        <v>0</v>
      </c>
      <c r="R139" s="1"/>
      <c r="S139" s="1"/>
      <c r="T139" s="1"/>
      <c r="U139" s="1"/>
      <c r="V139" s="1"/>
      <c r="W139" s="1"/>
      <c r="X139" s="1"/>
      <c r="Y139" s="1"/>
      <c r="Z139" s="1"/>
      <c r="AA139" s="1"/>
    </row>
    <row r="140">
      <c r="A140" s="199">
        <v>137.0</v>
      </c>
      <c r="B140" s="200">
        <f t="shared" si="6"/>
        <v>3046.641421</v>
      </c>
      <c r="C140" s="200">
        <f>'Deal Analysis'!$D$24/12*E139</f>
        <v>2088.989</v>
      </c>
      <c r="D140" s="200">
        <f t="shared" si="1"/>
        <v>957.652421</v>
      </c>
      <c r="E140" s="200">
        <f t="shared" si="2"/>
        <v>277574.2142</v>
      </c>
      <c r="F140" s="1"/>
      <c r="G140" s="199">
        <v>137.0</v>
      </c>
      <c r="H140" s="200">
        <f>if(AND('Deal Analysis'!$D$37*12&lt;G140,'Deal Analysis'!$D$37&gt;0),0,H139)</f>
        <v>333.3333333</v>
      </c>
      <c r="I140" s="200">
        <f>if(H140&gt;0,'Deal Analysis'!$D$35/12*K139,0)</f>
        <v>333.3333333</v>
      </c>
      <c r="J140" s="200">
        <f t="shared" si="3"/>
        <v>0</v>
      </c>
      <c r="K140" s="200">
        <f>if(AND('Deal Analysis'!$D$37*12&lt;G140,'Deal Analysis'!$D$37&gt;0),0,K139-J140)</f>
        <v>50000</v>
      </c>
      <c r="L140" s="1"/>
      <c r="M140" s="199">
        <v>137.0</v>
      </c>
      <c r="N140" s="200">
        <f>if('Deal Analysis'!D178="Yes",'Deal Analysis'!D185,0)</f>
        <v>0</v>
      </c>
      <c r="O140" s="200">
        <f t="shared" si="4"/>
        <v>0</v>
      </c>
      <c r="P140" s="200">
        <f t="shared" si="5"/>
        <v>0</v>
      </c>
      <c r="Q140" s="200">
        <f>if(AND('Deal Analysis'!$D$47*12&lt;M140,'Deal Analysis'!$D$47&gt;0),0,Q139-P140)</f>
        <v>0</v>
      </c>
      <c r="R140" s="1"/>
      <c r="S140" s="1"/>
      <c r="T140" s="1"/>
      <c r="U140" s="1"/>
      <c r="V140" s="1"/>
      <c r="W140" s="1"/>
      <c r="X140" s="1"/>
      <c r="Y140" s="1"/>
      <c r="Z140" s="1"/>
      <c r="AA140" s="1"/>
    </row>
    <row r="141">
      <c r="A141" s="199">
        <v>138.0</v>
      </c>
      <c r="B141" s="200">
        <f t="shared" si="6"/>
        <v>3046.641421</v>
      </c>
      <c r="C141" s="200">
        <f>'Deal Analysis'!$D$24/12*E140</f>
        <v>2081.806607</v>
      </c>
      <c r="D141" s="200">
        <f t="shared" si="1"/>
        <v>964.8348142</v>
      </c>
      <c r="E141" s="200">
        <f t="shared" si="2"/>
        <v>276609.3794</v>
      </c>
      <c r="F141" s="1"/>
      <c r="G141" s="199">
        <v>138.0</v>
      </c>
      <c r="H141" s="200">
        <f>if(AND('Deal Analysis'!$D$37*12&lt;G141,'Deal Analysis'!$D$37&gt;0),0,H140)</f>
        <v>333.3333333</v>
      </c>
      <c r="I141" s="200">
        <f>if(H141&gt;0,'Deal Analysis'!$D$35/12*K140,0)</f>
        <v>333.3333333</v>
      </c>
      <c r="J141" s="200">
        <f t="shared" si="3"/>
        <v>0</v>
      </c>
      <c r="K141" s="200">
        <f>if(AND('Deal Analysis'!$D$37*12&lt;G141,'Deal Analysis'!$D$37&gt;0),0,K140-J141)</f>
        <v>50000</v>
      </c>
      <c r="L141" s="1"/>
      <c r="M141" s="199">
        <v>138.0</v>
      </c>
      <c r="N141" s="200">
        <f>if('Deal Analysis'!D179="Yes",'Deal Analysis'!D186,0)</f>
        <v>0</v>
      </c>
      <c r="O141" s="200">
        <f t="shared" si="4"/>
        <v>0</v>
      </c>
      <c r="P141" s="200">
        <f t="shared" si="5"/>
        <v>0</v>
      </c>
      <c r="Q141" s="200">
        <f>if(AND('Deal Analysis'!$D$47*12&lt;M141,'Deal Analysis'!$D$47&gt;0),0,Q140-P141)</f>
        <v>0</v>
      </c>
      <c r="R141" s="1"/>
      <c r="S141" s="1"/>
      <c r="T141" s="1"/>
      <c r="U141" s="1"/>
      <c r="V141" s="1"/>
      <c r="W141" s="1"/>
      <c r="X141" s="1"/>
      <c r="Y141" s="1"/>
      <c r="Z141" s="1"/>
      <c r="AA141" s="1"/>
    </row>
    <row r="142">
      <c r="A142" s="199">
        <v>139.0</v>
      </c>
      <c r="B142" s="200">
        <f t="shared" si="6"/>
        <v>3046.641421</v>
      </c>
      <c r="C142" s="200">
        <f>'Deal Analysis'!$D$24/12*E141</f>
        <v>2074.570346</v>
      </c>
      <c r="D142" s="200">
        <f t="shared" si="1"/>
        <v>972.0710753</v>
      </c>
      <c r="E142" s="200">
        <f t="shared" si="2"/>
        <v>275637.3084</v>
      </c>
      <c r="F142" s="1"/>
      <c r="G142" s="199">
        <v>139.0</v>
      </c>
      <c r="H142" s="200">
        <f>if(AND('Deal Analysis'!$D$37*12&lt;G142,'Deal Analysis'!$D$37&gt;0),0,H141)</f>
        <v>333.3333333</v>
      </c>
      <c r="I142" s="200">
        <f>if(H142&gt;0,'Deal Analysis'!$D$35/12*K141,0)</f>
        <v>333.3333333</v>
      </c>
      <c r="J142" s="200">
        <f t="shared" si="3"/>
        <v>0</v>
      </c>
      <c r="K142" s="200">
        <f>if(AND('Deal Analysis'!$D$37*12&lt;G142,'Deal Analysis'!$D$37&gt;0),0,K141-J142)</f>
        <v>50000</v>
      </c>
      <c r="L142" s="1"/>
      <c r="M142" s="199">
        <v>139.0</v>
      </c>
      <c r="N142" s="200">
        <f>if('Deal Analysis'!D180="Yes",'Deal Analysis'!D187,0)</f>
        <v>0</v>
      </c>
      <c r="O142" s="200">
        <f t="shared" si="4"/>
        <v>0</v>
      </c>
      <c r="P142" s="200">
        <f t="shared" si="5"/>
        <v>0</v>
      </c>
      <c r="Q142" s="200">
        <f>if(AND('Deal Analysis'!$D$47*12&lt;M142,'Deal Analysis'!$D$47&gt;0),0,Q141-P142)</f>
        <v>0</v>
      </c>
      <c r="R142" s="1"/>
      <c r="S142" s="1"/>
      <c r="T142" s="1"/>
      <c r="U142" s="1"/>
      <c r="V142" s="1"/>
      <c r="W142" s="1"/>
      <c r="X142" s="1"/>
      <c r="Y142" s="1"/>
      <c r="Z142" s="1"/>
      <c r="AA142" s="1"/>
    </row>
    <row r="143">
      <c r="A143" s="199">
        <v>140.0</v>
      </c>
      <c r="B143" s="200">
        <f t="shared" si="6"/>
        <v>3046.641421</v>
      </c>
      <c r="C143" s="200">
        <f>'Deal Analysis'!$D$24/12*E142</f>
        <v>2067.279813</v>
      </c>
      <c r="D143" s="200">
        <f t="shared" si="1"/>
        <v>979.3616084</v>
      </c>
      <c r="E143" s="200">
        <f t="shared" si="2"/>
        <v>274657.9467</v>
      </c>
      <c r="F143" s="1"/>
      <c r="G143" s="199">
        <v>140.0</v>
      </c>
      <c r="H143" s="200">
        <f>if(AND('Deal Analysis'!$D$37*12&lt;G143,'Deal Analysis'!$D$37&gt;0),0,H142)</f>
        <v>333.3333333</v>
      </c>
      <c r="I143" s="200">
        <f>if(H143&gt;0,'Deal Analysis'!$D$35/12*K142,0)</f>
        <v>333.3333333</v>
      </c>
      <c r="J143" s="200">
        <f t="shared" si="3"/>
        <v>0</v>
      </c>
      <c r="K143" s="200">
        <f>if(AND('Deal Analysis'!$D$37*12&lt;G143,'Deal Analysis'!$D$37&gt;0),0,K142-J143)</f>
        <v>50000</v>
      </c>
      <c r="L143" s="1"/>
      <c r="M143" s="199">
        <v>140.0</v>
      </c>
      <c r="N143" s="200">
        <f>if('Deal Analysis'!D181="Yes",'Deal Analysis'!D188,0)</f>
        <v>0</v>
      </c>
      <c r="O143" s="200">
        <f t="shared" si="4"/>
        <v>0</v>
      </c>
      <c r="P143" s="200">
        <f t="shared" si="5"/>
        <v>0</v>
      </c>
      <c r="Q143" s="200">
        <f>if(AND('Deal Analysis'!$D$47*12&lt;M143,'Deal Analysis'!$D$47&gt;0),0,Q142-P143)</f>
        <v>0</v>
      </c>
      <c r="R143" s="1"/>
      <c r="S143" s="1"/>
      <c r="T143" s="1"/>
      <c r="U143" s="1"/>
      <c r="V143" s="1"/>
      <c r="W143" s="1"/>
      <c r="X143" s="1"/>
      <c r="Y143" s="1"/>
      <c r="Z143" s="1"/>
      <c r="AA143" s="1"/>
    </row>
    <row r="144">
      <c r="A144" s="199">
        <v>141.0</v>
      </c>
      <c r="B144" s="200">
        <f t="shared" si="6"/>
        <v>3046.641421</v>
      </c>
      <c r="C144" s="200">
        <f>'Deal Analysis'!$D$24/12*E143</f>
        <v>2059.934601</v>
      </c>
      <c r="D144" s="200">
        <f t="shared" si="1"/>
        <v>986.7068204</v>
      </c>
      <c r="E144" s="200">
        <f t="shared" si="2"/>
        <v>273671.2399</v>
      </c>
      <c r="F144" s="1"/>
      <c r="G144" s="199">
        <v>141.0</v>
      </c>
      <c r="H144" s="200">
        <f>if(AND('Deal Analysis'!$D$37*12&lt;G144,'Deal Analysis'!$D$37&gt;0),0,H143)</f>
        <v>333.3333333</v>
      </c>
      <c r="I144" s="200">
        <f>if(H144&gt;0,'Deal Analysis'!$D$35/12*K143,0)</f>
        <v>333.3333333</v>
      </c>
      <c r="J144" s="200">
        <f t="shared" si="3"/>
        <v>0</v>
      </c>
      <c r="K144" s="200">
        <f>if(AND('Deal Analysis'!$D$37*12&lt;G144,'Deal Analysis'!$D$37&gt;0),0,K143-J144)</f>
        <v>50000</v>
      </c>
      <c r="L144" s="1"/>
      <c r="M144" s="199">
        <v>141.0</v>
      </c>
      <c r="N144" s="200">
        <f>if('Deal Analysis'!D182="Yes",'Deal Analysis'!D189,0)</f>
        <v>0</v>
      </c>
      <c r="O144" s="200">
        <f t="shared" si="4"/>
        <v>0</v>
      </c>
      <c r="P144" s="200">
        <f t="shared" si="5"/>
        <v>0</v>
      </c>
      <c r="Q144" s="200">
        <f>if(AND('Deal Analysis'!$D$47*12&lt;M144,'Deal Analysis'!$D$47&gt;0),0,Q143-P144)</f>
        <v>0</v>
      </c>
      <c r="R144" s="1"/>
      <c r="S144" s="1"/>
      <c r="T144" s="1"/>
      <c r="U144" s="1"/>
      <c r="V144" s="1"/>
      <c r="W144" s="1"/>
      <c r="X144" s="1"/>
      <c r="Y144" s="1"/>
      <c r="Z144" s="1"/>
      <c r="AA144" s="1"/>
    </row>
    <row r="145">
      <c r="A145" s="199">
        <v>142.0</v>
      </c>
      <c r="B145" s="200">
        <f t="shared" si="6"/>
        <v>3046.641421</v>
      </c>
      <c r="C145" s="200">
        <f>'Deal Analysis'!$D$24/12*E144</f>
        <v>2052.534299</v>
      </c>
      <c r="D145" s="200">
        <f t="shared" si="1"/>
        <v>994.1071216</v>
      </c>
      <c r="E145" s="200">
        <f t="shared" si="2"/>
        <v>272677.1328</v>
      </c>
      <c r="F145" s="1"/>
      <c r="G145" s="199">
        <v>142.0</v>
      </c>
      <c r="H145" s="200">
        <f>if(AND('Deal Analysis'!$D$37*12&lt;G145,'Deal Analysis'!$D$37&gt;0),0,H144)</f>
        <v>333.3333333</v>
      </c>
      <c r="I145" s="200">
        <f>if(H145&gt;0,'Deal Analysis'!$D$35/12*K144,0)</f>
        <v>333.3333333</v>
      </c>
      <c r="J145" s="200">
        <f t="shared" si="3"/>
        <v>0</v>
      </c>
      <c r="K145" s="200">
        <f>if(AND('Deal Analysis'!$D$37*12&lt;G145,'Deal Analysis'!$D$37&gt;0),0,K144-J145)</f>
        <v>50000</v>
      </c>
      <c r="L145" s="1"/>
      <c r="M145" s="199">
        <v>142.0</v>
      </c>
      <c r="N145" s="200">
        <f>if('Deal Analysis'!D183="Yes",'Deal Analysis'!D190,0)</f>
        <v>0</v>
      </c>
      <c r="O145" s="200">
        <f t="shared" si="4"/>
        <v>0</v>
      </c>
      <c r="P145" s="200">
        <f t="shared" si="5"/>
        <v>0</v>
      </c>
      <c r="Q145" s="200">
        <f>if(AND('Deal Analysis'!$D$47*12&lt;M145,'Deal Analysis'!$D$47&gt;0),0,Q144-P145)</f>
        <v>0</v>
      </c>
      <c r="R145" s="1"/>
      <c r="S145" s="1"/>
      <c r="T145" s="1"/>
      <c r="U145" s="1"/>
      <c r="V145" s="1"/>
      <c r="W145" s="1"/>
      <c r="X145" s="1"/>
      <c r="Y145" s="1"/>
      <c r="Z145" s="1"/>
      <c r="AA145" s="1"/>
    </row>
    <row r="146">
      <c r="A146" s="199">
        <v>143.0</v>
      </c>
      <c r="B146" s="200">
        <f t="shared" si="6"/>
        <v>3046.641421</v>
      </c>
      <c r="C146" s="200">
        <f>'Deal Analysis'!$D$24/12*E145</f>
        <v>2045.078496</v>
      </c>
      <c r="D146" s="200">
        <f t="shared" si="1"/>
        <v>1001.562925</v>
      </c>
      <c r="E146" s="200">
        <f t="shared" si="2"/>
        <v>271675.5699</v>
      </c>
      <c r="F146" s="1"/>
      <c r="G146" s="199">
        <v>143.0</v>
      </c>
      <c r="H146" s="200">
        <f>if(AND('Deal Analysis'!$D$37*12&lt;G146,'Deal Analysis'!$D$37&gt;0),0,H145)</f>
        <v>333.3333333</v>
      </c>
      <c r="I146" s="200">
        <f>if(H146&gt;0,'Deal Analysis'!$D$35/12*K145,0)</f>
        <v>333.3333333</v>
      </c>
      <c r="J146" s="200">
        <f t="shared" si="3"/>
        <v>0</v>
      </c>
      <c r="K146" s="200">
        <f>if(AND('Deal Analysis'!$D$37*12&lt;G146,'Deal Analysis'!$D$37&gt;0),0,K145-J146)</f>
        <v>50000</v>
      </c>
      <c r="L146" s="1"/>
      <c r="M146" s="199">
        <v>143.0</v>
      </c>
      <c r="N146" s="200">
        <f>if('Deal Analysis'!D184="Yes",'Deal Analysis'!D191,0)</f>
        <v>0</v>
      </c>
      <c r="O146" s="200">
        <f t="shared" si="4"/>
        <v>0</v>
      </c>
      <c r="P146" s="200">
        <f t="shared" si="5"/>
        <v>0</v>
      </c>
      <c r="Q146" s="200">
        <f>if(AND('Deal Analysis'!$D$47*12&lt;M146,'Deal Analysis'!$D$47&gt;0),0,Q145-P146)</f>
        <v>0</v>
      </c>
      <c r="R146" s="1"/>
      <c r="S146" s="1"/>
      <c r="T146" s="1"/>
      <c r="U146" s="1"/>
      <c r="V146" s="1"/>
      <c r="W146" s="1"/>
      <c r="X146" s="1"/>
      <c r="Y146" s="1"/>
      <c r="Z146" s="1"/>
      <c r="AA146" s="1"/>
    </row>
    <row r="147">
      <c r="A147" s="199">
        <v>144.0</v>
      </c>
      <c r="B147" s="200">
        <f t="shared" si="6"/>
        <v>3046.641421</v>
      </c>
      <c r="C147" s="200">
        <f>'Deal Analysis'!$D$24/12*E146</f>
        <v>2037.566774</v>
      </c>
      <c r="D147" s="200">
        <f t="shared" si="1"/>
        <v>1009.074647</v>
      </c>
      <c r="E147" s="200">
        <f t="shared" si="2"/>
        <v>270666.4952</v>
      </c>
      <c r="F147" s="1"/>
      <c r="G147" s="199">
        <v>144.0</v>
      </c>
      <c r="H147" s="200">
        <f>if(AND('Deal Analysis'!$D$37*12&lt;G147,'Deal Analysis'!$D$37&gt;0),0,H146)</f>
        <v>333.3333333</v>
      </c>
      <c r="I147" s="200">
        <f>if(H147&gt;0,'Deal Analysis'!$D$35/12*K146,0)</f>
        <v>333.3333333</v>
      </c>
      <c r="J147" s="200">
        <f t="shared" si="3"/>
        <v>0</v>
      </c>
      <c r="K147" s="200">
        <f>if(AND('Deal Analysis'!$D$37*12&lt;G147,'Deal Analysis'!$D$37&gt;0),0,K146-J147)</f>
        <v>50000</v>
      </c>
      <c r="L147" s="1"/>
      <c r="M147" s="199">
        <v>144.0</v>
      </c>
      <c r="N147" s="200">
        <f>if('Deal Analysis'!D185="Yes",'Deal Analysis'!D192,0)</f>
        <v>0</v>
      </c>
      <c r="O147" s="200">
        <f t="shared" si="4"/>
        <v>0</v>
      </c>
      <c r="P147" s="200">
        <f t="shared" si="5"/>
        <v>0</v>
      </c>
      <c r="Q147" s="200">
        <f>if(AND('Deal Analysis'!$D$47*12&lt;M147,'Deal Analysis'!$D$47&gt;0),0,Q146-P147)</f>
        <v>0</v>
      </c>
      <c r="R147" s="1"/>
      <c r="S147" s="1"/>
      <c r="T147" s="1"/>
      <c r="U147" s="1"/>
      <c r="V147" s="1"/>
      <c r="W147" s="1"/>
      <c r="X147" s="1"/>
      <c r="Y147" s="1"/>
      <c r="Z147" s="1"/>
      <c r="AA147" s="1"/>
    </row>
    <row r="148">
      <c r="A148" s="199">
        <v>145.0</v>
      </c>
      <c r="B148" s="200">
        <f t="shared" si="6"/>
        <v>3046.641421</v>
      </c>
      <c r="C148" s="200">
        <f>'Deal Analysis'!$D$24/12*E147</f>
        <v>2029.998714</v>
      </c>
      <c r="D148" s="200">
        <f t="shared" si="1"/>
        <v>1016.642707</v>
      </c>
      <c r="E148" s="200">
        <f t="shared" si="2"/>
        <v>269649.8525</v>
      </c>
      <c r="F148" s="1"/>
      <c r="G148" s="199">
        <v>145.0</v>
      </c>
      <c r="H148" s="200">
        <f>if(AND('Deal Analysis'!$D$37*12&lt;G148,'Deal Analysis'!$D$37&gt;0),0,H147)</f>
        <v>333.3333333</v>
      </c>
      <c r="I148" s="200">
        <f>if(H148&gt;0,'Deal Analysis'!$D$35/12*K147,0)</f>
        <v>333.3333333</v>
      </c>
      <c r="J148" s="200">
        <f t="shared" si="3"/>
        <v>0</v>
      </c>
      <c r="K148" s="200">
        <f>if(AND('Deal Analysis'!$D$37*12&lt;G148,'Deal Analysis'!$D$37&gt;0),0,K147-J148)</f>
        <v>50000</v>
      </c>
      <c r="L148" s="1"/>
      <c r="M148" s="199">
        <v>145.0</v>
      </c>
      <c r="N148" s="200">
        <f>if('Deal Analysis'!D186="Yes",'Deal Analysis'!D193,0)</f>
        <v>0</v>
      </c>
      <c r="O148" s="200">
        <f t="shared" si="4"/>
        <v>0</v>
      </c>
      <c r="P148" s="200">
        <f t="shared" si="5"/>
        <v>0</v>
      </c>
      <c r="Q148" s="200">
        <f>if(AND('Deal Analysis'!$D$47*12&lt;M148,'Deal Analysis'!$D$47&gt;0),0,Q147-P148)</f>
        <v>0</v>
      </c>
      <c r="R148" s="1"/>
      <c r="S148" s="1"/>
      <c r="T148" s="1"/>
      <c r="U148" s="1"/>
      <c r="V148" s="1"/>
      <c r="W148" s="1"/>
      <c r="X148" s="1"/>
      <c r="Y148" s="1"/>
      <c r="Z148" s="1"/>
      <c r="AA148" s="1"/>
    </row>
    <row r="149">
      <c r="A149" s="199">
        <v>146.0</v>
      </c>
      <c r="B149" s="200">
        <f t="shared" si="6"/>
        <v>3046.641421</v>
      </c>
      <c r="C149" s="200">
        <f>'Deal Analysis'!$D$24/12*E148</f>
        <v>2022.373894</v>
      </c>
      <c r="D149" s="200">
        <f t="shared" si="1"/>
        <v>1024.267527</v>
      </c>
      <c r="E149" s="200">
        <f t="shared" si="2"/>
        <v>268625.585</v>
      </c>
      <c r="F149" s="1"/>
      <c r="G149" s="199">
        <v>146.0</v>
      </c>
      <c r="H149" s="200">
        <f>if(AND('Deal Analysis'!$D$37*12&lt;G149,'Deal Analysis'!$D$37&gt;0),0,H148)</f>
        <v>333.3333333</v>
      </c>
      <c r="I149" s="200">
        <f>if(H149&gt;0,'Deal Analysis'!$D$35/12*K148,0)</f>
        <v>333.3333333</v>
      </c>
      <c r="J149" s="200">
        <f t="shared" si="3"/>
        <v>0</v>
      </c>
      <c r="K149" s="200">
        <f>if(AND('Deal Analysis'!$D$37*12&lt;G149,'Deal Analysis'!$D$37&gt;0),0,K148-J149)</f>
        <v>50000</v>
      </c>
      <c r="L149" s="1"/>
      <c r="M149" s="199">
        <v>146.0</v>
      </c>
      <c r="N149" s="200">
        <f>if('Deal Analysis'!D187="Yes",'Deal Analysis'!D194,0)</f>
        <v>0</v>
      </c>
      <c r="O149" s="200">
        <f t="shared" si="4"/>
        <v>0</v>
      </c>
      <c r="P149" s="200">
        <f t="shared" si="5"/>
        <v>0</v>
      </c>
      <c r="Q149" s="200">
        <f>if(AND('Deal Analysis'!$D$47*12&lt;M149,'Deal Analysis'!$D$47&gt;0),0,Q148-P149)</f>
        <v>0</v>
      </c>
      <c r="R149" s="1"/>
      <c r="S149" s="1"/>
      <c r="T149" s="1"/>
      <c r="U149" s="1"/>
      <c r="V149" s="1"/>
      <c r="W149" s="1"/>
      <c r="X149" s="1"/>
      <c r="Y149" s="1"/>
      <c r="Z149" s="1"/>
      <c r="AA149" s="1"/>
    </row>
    <row r="150">
      <c r="A150" s="199">
        <v>147.0</v>
      </c>
      <c r="B150" s="200">
        <f t="shared" si="6"/>
        <v>3046.641421</v>
      </c>
      <c r="C150" s="200">
        <f>'Deal Analysis'!$D$24/12*E149</f>
        <v>2014.691887</v>
      </c>
      <c r="D150" s="200">
        <f t="shared" si="1"/>
        <v>1031.949534</v>
      </c>
      <c r="E150" s="200">
        <f t="shared" si="2"/>
        <v>267593.6355</v>
      </c>
      <c r="F150" s="1"/>
      <c r="G150" s="199">
        <v>147.0</v>
      </c>
      <c r="H150" s="200">
        <f>if(AND('Deal Analysis'!$D$37*12&lt;G150,'Deal Analysis'!$D$37&gt;0),0,H149)</f>
        <v>333.3333333</v>
      </c>
      <c r="I150" s="200">
        <f>if(H150&gt;0,'Deal Analysis'!$D$35/12*K149,0)</f>
        <v>333.3333333</v>
      </c>
      <c r="J150" s="200">
        <f t="shared" si="3"/>
        <v>0</v>
      </c>
      <c r="K150" s="200">
        <f>if(AND('Deal Analysis'!$D$37*12&lt;G150,'Deal Analysis'!$D$37&gt;0),0,K149-J150)</f>
        <v>50000</v>
      </c>
      <c r="L150" s="1"/>
      <c r="M150" s="199">
        <v>147.0</v>
      </c>
      <c r="N150" s="200">
        <f>if('Deal Analysis'!D188="Yes",'Deal Analysis'!D195,0)</f>
        <v>0</v>
      </c>
      <c r="O150" s="200">
        <f t="shared" si="4"/>
        <v>0</v>
      </c>
      <c r="P150" s="200">
        <f t="shared" si="5"/>
        <v>0</v>
      </c>
      <c r="Q150" s="200">
        <f>if(AND('Deal Analysis'!$D$47*12&lt;M150,'Deal Analysis'!$D$47&gt;0),0,Q149-P150)</f>
        <v>0</v>
      </c>
      <c r="R150" s="1"/>
      <c r="S150" s="1"/>
      <c r="T150" s="1"/>
      <c r="U150" s="1"/>
      <c r="V150" s="1"/>
      <c r="W150" s="1"/>
      <c r="X150" s="1"/>
      <c r="Y150" s="1"/>
      <c r="Z150" s="1"/>
      <c r="AA150" s="1"/>
    </row>
    <row r="151">
      <c r="A151" s="199">
        <v>148.0</v>
      </c>
      <c r="B151" s="200">
        <f t="shared" si="6"/>
        <v>3046.641421</v>
      </c>
      <c r="C151" s="200">
        <f>'Deal Analysis'!$D$24/12*E150</f>
        <v>2006.952266</v>
      </c>
      <c r="D151" s="200">
        <f t="shared" si="1"/>
        <v>1039.689155</v>
      </c>
      <c r="E151" s="200">
        <f t="shared" si="2"/>
        <v>266553.9463</v>
      </c>
      <c r="F151" s="1"/>
      <c r="G151" s="199">
        <v>148.0</v>
      </c>
      <c r="H151" s="200">
        <f>if(AND('Deal Analysis'!$D$37*12&lt;G151,'Deal Analysis'!$D$37&gt;0),0,H150)</f>
        <v>333.3333333</v>
      </c>
      <c r="I151" s="200">
        <f>if(H151&gt;0,'Deal Analysis'!$D$35/12*K150,0)</f>
        <v>333.3333333</v>
      </c>
      <c r="J151" s="200">
        <f t="shared" si="3"/>
        <v>0</v>
      </c>
      <c r="K151" s="200">
        <f>if(AND('Deal Analysis'!$D$37*12&lt;G151,'Deal Analysis'!$D$37&gt;0),0,K150-J151)</f>
        <v>50000</v>
      </c>
      <c r="L151" s="1"/>
      <c r="M151" s="199">
        <v>148.0</v>
      </c>
      <c r="N151" s="200">
        <f>if('Deal Analysis'!D189="Yes",'Deal Analysis'!D196,0)</f>
        <v>0</v>
      </c>
      <c r="O151" s="200">
        <f t="shared" si="4"/>
        <v>0</v>
      </c>
      <c r="P151" s="200">
        <f t="shared" si="5"/>
        <v>0</v>
      </c>
      <c r="Q151" s="200">
        <f>if(AND('Deal Analysis'!$D$47*12&lt;M151,'Deal Analysis'!$D$47&gt;0),0,Q150-P151)</f>
        <v>0</v>
      </c>
      <c r="R151" s="1"/>
      <c r="S151" s="1"/>
      <c r="T151" s="1"/>
      <c r="U151" s="1"/>
      <c r="V151" s="1"/>
      <c r="W151" s="1"/>
      <c r="X151" s="1"/>
      <c r="Y151" s="1"/>
      <c r="Z151" s="1"/>
      <c r="AA151" s="1"/>
    </row>
    <row r="152">
      <c r="A152" s="199">
        <v>149.0</v>
      </c>
      <c r="B152" s="200">
        <f t="shared" si="6"/>
        <v>3046.641421</v>
      </c>
      <c r="C152" s="200">
        <f>'Deal Analysis'!$D$24/12*E151</f>
        <v>1999.154597</v>
      </c>
      <c r="D152" s="200">
        <f t="shared" si="1"/>
        <v>1047.486824</v>
      </c>
      <c r="E152" s="200">
        <f t="shared" si="2"/>
        <v>265506.4595</v>
      </c>
      <c r="F152" s="1"/>
      <c r="G152" s="199">
        <v>149.0</v>
      </c>
      <c r="H152" s="200">
        <f>if(AND('Deal Analysis'!$D$37*12&lt;G152,'Deal Analysis'!$D$37&gt;0),0,H151)</f>
        <v>333.3333333</v>
      </c>
      <c r="I152" s="200">
        <f>if(H152&gt;0,'Deal Analysis'!$D$35/12*K151,0)</f>
        <v>333.3333333</v>
      </c>
      <c r="J152" s="200">
        <f t="shared" si="3"/>
        <v>0</v>
      </c>
      <c r="K152" s="200">
        <f>if(AND('Deal Analysis'!$D$37*12&lt;G152,'Deal Analysis'!$D$37&gt;0),0,K151-J152)</f>
        <v>50000</v>
      </c>
      <c r="L152" s="1"/>
      <c r="M152" s="199">
        <v>149.0</v>
      </c>
      <c r="N152" s="200">
        <f>if('Deal Analysis'!D190="Yes",'Deal Analysis'!D197,0)</f>
        <v>0</v>
      </c>
      <c r="O152" s="200">
        <f t="shared" si="4"/>
        <v>0</v>
      </c>
      <c r="P152" s="200">
        <f t="shared" si="5"/>
        <v>0</v>
      </c>
      <c r="Q152" s="200">
        <f>if(AND('Deal Analysis'!$D$47*12&lt;M152,'Deal Analysis'!$D$47&gt;0),0,Q151-P152)</f>
        <v>0</v>
      </c>
      <c r="R152" s="1"/>
      <c r="S152" s="1"/>
      <c r="T152" s="1"/>
      <c r="U152" s="1"/>
      <c r="V152" s="1"/>
      <c r="W152" s="1"/>
      <c r="X152" s="1"/>
      <c r="Y152" s="1"/>
      <c r="Z152" s="1"/>
      <c r="AA152" s="1"/>
    </row>
    <row r="153">
      <c r="A153" s="199">
        <v>150.0</v>
      </c>
      <c r="B153" s="200">
        <f t="shared" si="6"/>
        <v>3046.641421</v>
      </c>
      <c r="C153" s="200">
        <f>'Deal Analysis'!$D$24/12*E152</f>
        <v>1991.298446</v>
      </c>
      <c r="D153" s="200">
        <f t="shared" si="1"/>
        <v>1055.342975</v>
      </c>
      <c r="E153" s="200">
        <f t="shared" si="2"/>
        <v>264451.1165</v>
      </c>
      <c r="F153" s="1"/>
      <c r="G153" s="199">
        <v>150.0</v>
      </c>
      <c r="H153" s="200">
        <f>if(AND('Deal Analysis'!$D$37*12&lt;G153,'Deal Analysis'!$D$37&gt;0),0,H152)</f>
        <v>333.3333333</v>
      </c>
      <c r="I153" s="200">
        <f>if(H153&gt;0,'Deal Analysis'!$D$35/12*K152,0)</f>
        <v>333.3333333</v>
      </c>
      <c r="J153" s="200">
        <f t="shared" si="3"/>
        <v>0</v>
      </c>
      <c r="K153" s="200">
        <f>if(AND('Deal Analysis'!$D$37*12&lt;G153,'Deal Analysis'!$D$37&gt;0),0,K152-J153)</f>
        <v>50000</v>
      </c>
      <c r="L153" s="1"/>
      <c r="M153" s="199">
        <v>150.0</v>
      </c>
      <c r="N153" s="200">
        <f>if('Deal Analysis'!D191="Yes",'Deal Analysis'!D198,0)</f>
        <v>0</v>
      </c>
      <c r="O153" s="200">
        <f t="shared" si="4"/>
        <v>0</v>
      </c>
      <c r="P153" s="200">
        <f t="shared" si="5"/>
        <v>0</v>
      </c>
      <c r="Q153" s="200">
        <f>if(AND('Deal Analysis'!$D$47*12&lt;M153,'Deal Analysis'!$D$47&gt;0),0,Q152-P153)</f>
        <v>0</v>
      </c>
      <c r="R153" s="1"/>
      <c r="S153" s="1"/>
      <c r="T153" s="1"/>
      <c r="U153" s="1"/>
      <c r="V153" s="1"/>
      <c r="W153" s="1"/>
      <c r="X153" s="1"/>
      <c r="Y153" s="1"/>
      <c r="Z153" s="1"/>
      <c r="AA153" s="1"/>
    </row>
    <row r="154">
      <c r="A154" s="199">
        <v>151.0</v>
      </c>
      <c r="B154" s="200">
        <f t="shared" si="6"/>
        <v>3046.641421</v>
      </c>
      <c r="C154" s="200">
        <f>'Deal Analysis'!$D$24/12*E153</f>
        <v>1983.383374</v>
      </c>
      <c r="D154" s="200">
        <f t="shared" si="1"/>
        <v>1063.258047</v>
      </c>
      <c r="E154" s="200">
        <f t="shared" si="2"/>
        <v>263387.8585</v>
      </c>
      <c r="F154" s="1"/>
      <c r="G154" s="199">
        <v>151.0</v>
      </c>
      <c r="H154" s="200">
        <f>if(AND('Deal Analysis'!$D$37*12&lt;G154,'Deal Analysis'!$D$37&gt;0),0,H153)</f>
        <v>333.3333333</v>
      </c>
      <c r="I154" s="200">
        <f>if(H154&gt;0,'Deal Analysis'!$D$35/12*K153,0)</f>
        <v>333.3333333</v>
      </c>
      <c r="J154" s="200">
        <f t="shared" si="3"/>
        <v>0</v>
      </c>
      <c r="K154" s="200">
        <f>if(AND('Deal Analysis'!$D$37*12&lt;G154,'Deal Analysis'!$D$37&gt;0),0,K153-J154)</f>
        <v>50000</v>
      </c>
      <c r="L154" s="1"/>
      <c r="M154" s="199">
        <v>151.0</v>
      </c>
      <c r="N154" s="200">
        <f>if('Deal Analysis'!D192="Yes",'Deal Analysis'!D199,0)</f>
        <v>0</v>
      </c>
      <c r="O154" s="200">
        <f t="shared" si="4"/>
        <v>0</v>
      </c>
      <c r="P154" s="200">
        <f t="shared" si="5"/>
        <v>0</v>
      </c>
      <c r="Q154" s="200">
        <f>if(AND('Deal Analysis'!$D$47*12&lt;M154,'Deal Analysis'!$D$47&gt;0),0,Q153-P154)</f>
        <v>0</v>
      </c>
      <c r="R154" s="1"/>
      <c r="S154" s="1"/>
      <c r="T154" s="1"/>
      <c r="U154" s="1"/>
      <c r="V154" s="1"/>
      <c r="W154" s="1"/>
      <c r="X154" s="1"/>
      <c r="Y154" s="1"/>
      <c r="Z154" s="1"/>
      <c r="AA154" s="1"/>
    </row>
    <row r="155">
      <c r="A155" s="199">
        <v>152.0</v>
      </c>
      <c r="B155" s="200">
        <f t="shared" si="6"/>
        <v>3046.641421</v>
      </c>
      <c r="C155" s="200">
        <f>'Deal Analysis'!$D$24/12*E154</f>
        <v>1975.408938</v>
      </c>
      <c r="D155" s="200">
        <f t="shared" si="1"/>
        <v>1071.232483</v>
      </c>
      <c r="E155" s="200">
        <f t="shared" si="2"/>
        <v>262316.626</v>
      </c>
      <c r="F155" s="1"/>
      <c r="G155" s="199">
        <v>152.0</v>
      </c>
      <c r="H155" s="200">
        <f>if(AND('Deal Analysis'!$D$37*12&lt;G155,'Deal Analysis'!$D$37&gt;0),0,H154)</f>
        <v>333.3333333</v>
      </c>
      <c r="I155" s="200">
        <f>if(H155&gt;0,'Deal Analysis'!$D$35/12*K154,0)</f>
        <v>333.3333333</v>
      </c>
      <c r="J155" s="200">
        <f t="shared" si="3"/>
        <v>0</v>
      </c>
      <c r="K155" s="200">
        <f>if(AND('Deal Analysis'!$D$37*12&lt;G155,'Deal Analysis'!$D$37&gt;0),0,K154-J155)</f>
        <v>50000</v>
      </c>
      <c r="L155" s="1"/>
      <c r="M155" s="199">
        <v>152.0</v>
      </c>
      <c r="N155" s="200">
        <f>if('Deal Analysis'!D193="Yes",'Deal Analysis'!D200,0)</f>
        <v>0</v>
      </c>
      <c r="O155" s="200">
        <f t="shared" si="4"/>
        <v>0</v>
      </c>
      <c r="P155" s="200">
        <f t="shared" si="5"/>
        <v>0</v>
      </c>
      <c r="Q155" s="200">
        <f>if(AND('Deal Analysis'!$D$47*12&lt;M155,'Deal Analysis'!$D$47&gt;0),0,Q154-P155)</f>
        <v>0</v>
      </c>
      <c r="R155" s="1"/>
      <c r="S155" s="1"/>
      <c r="T155" s="1"/>
      <c r="U155" s="1"/>
      <c r="V155" s="1"/>
      <c r="W155" s="1"/>
      <c r="X155" s="1"/>
      <c r="Y155" s="1"/>
      <c r="Z155" s="1"/>
      <c r="AA155" s="1"/>
    </row>
    <row r="156">
      <c r="A156" s="199">
        <v>153.0</v>
      </c>
      <c r="B156" s="200">
        <f t="shared" si="6"/>
        <v>3046.641421</v>
      </c>
      <c r="C156" s="200">
        <f>'Deal Analysis'!$D$24/12*E155</f>
        <v>1967.374695</v>
      </c>
      <c r="D156" s="200">
        <f t="shared" si="1"/>
        <v>1079.266726</v>
      </c>
      <c r="E156" s="200">
        <f t="shared" si="2"/>
        <v>261237.3593</v>
      </c>
      <c r="F156" s="1"/>
      <c r="G156" s="199">
        <v>153.0</v>
      </c>
      <c r="H156" s="200">
        <f>if(AND('Deal Analysis'!$D$37*12&lt;G156,'Deal Analysis'!$D$37&gt;0),0,H155)</f>
        <v>333.3333333</v>
      </c>
      <c r="I156" s="200">
        <f>if(H156&gt;0,'Deal Analysis'!$D$35/12*K155,0)</f>
        <v>333.3333333</v>
      </c>
      <c r="J156" s="200">
        <f t="shared" si="3"/>
        <v>0</v>
      </c>
      <c r="K156" s="200">
        <f>if(AND('Deal Analysis'!$D$37*12&lt;G156,'Deal Analysis'!$D$37&gt;0),0,K155-J156)</f>
        <v>50000</v>
      </c>
      <c r="L156" s="1"/>
      <c r="M156" s="199">
        <v>153.0</v>
      </c>
      <c r="N156" s="200">
        <f>if('Deal Analysis'!D194="Yes",'Deal Analysis'!D201,0)</f>
        <v>0</v>
      </c>
      <c r="O156" s="200">
        <f t="shared" si="4"/>
        <v>0</v>
      </c>
      <c r="P156" s="200">
        <f t="shared" si="5"/>
        <v>0</v>
      </c>
      <c r="Q156" s="200">
        <f>if(AND('Deal Analysis'!$D$47*12&lt;M156,'Deal Analysis'!$D$47&gt;0),0,Q155-P156)</f>
        <v>0</v>
      </c>
      <c r="R156" s="1"/>
      <c r="S156" s="1"/>
      <c r="T156" s="1"/>
      <c r="U156" s="1"/>
      <c r="V156" s="1"/>
      <c r="W156" s="1"/>
      <c r="X156" s="1"/>
      <c r="Y156" s="1"/>
      <c r="Z156" s="1"/>
      <c r="AA156" s="1"/>
    </row>
    <row r="157">
      <c r="A157" s="199">
        <v>154.0</v>
      </c>
      <c r="B157" s="200">
        <f t="shared" si="6"/>
        <v>3046.641421</v>
      </c>
      <c r="C157" s="200">
        <f>'Deal Analysis'!$D$24/12*E156</f>
        <v>1959.280194</v>
      </c>
      <c r="D157" s="200">
        <f t="shared" si="1"/>
        <v>1087.361227</v>
      </c>
      <c r="E157" s="200">
        <f t="shared" si="2"/>
        <v>260149.998</v>
      </c>
      <c r="F157" s="1"/>
      <c r="G157" s="199">
        <v>154.0</v>
      </c>
      <c r="H157" s="200">
        <f>if(AND('Deal Analysis'!$D$37*12&lt;G157,'Deal Analysis'!$D$37&gt;0),0,H156)</f>
        <v>333.3333333</v>
      </c>
      <c r="I157" s="200">
        <f>if(H157&gt;0,'Deal Analysis'!$D$35/12*K156,0)</f>
        <v>333.3333333</v>
      </c>
      <c r="J157" s="200">
        <f t="shared" si="3"/>
        <v>0</v>
      </c>
      <c r="K157" s="200">
        <f>if(AND('Deal Analysis'!$D$37*12&lt;G157,'Deal Analysis'!$D$37&gt;0),0,K156-J157)</f>
        <v>50000</v>
      </c>
      <c r="L157" s="1"/>
      <c r="M157" s="199">
        <v>154.0</v>
      </c>
      <c r="N157" s="200">
        <f>if('Deal Analysis'!D195="Yes",'Deal Analysis'!D202,0)</f>
        <v>0</v>
      </c>
      <c r="O157" s="200">
        <f t="shared" si="4"/>
        <v>0</v>
      </c>
      <c r="P157" s="200">
        <f t="shared" si="5"/>
        <v>0</v>
      </c>
      <c r="Q157" s="200">
        <f>if(AND('Deal Analysis'!$D$47*12&lt;M157,'Deal Analysis'!$D$47&gt;0),0,Q156-P157)</f>
        <v>0</v>
      </c>
      <c r="R157" s="1"/>
      <c r="S157" s="1"/>
      <c r="T157" s="1"/>
      <c r="U157" s="1"/>
      <c r="V157" s="1"/>
      <c r="W157" s="1"/>
      <c r="X157" s="1"/>
      <c r="Y157" s="1"/>
      <c r="Z157" s="1"/>
      <c r="AA157" s="1"/>
    </row>
    <row r="158">
      <c r="A158" s="199">
        <v>155.0</v>
      </c>
      <c r="B158" s="200">
        <f t="shared" si="6"/>
        <v>3046.641421</v>
      </c>
      <c r="C158" s="200">
        <f>'Deal Analysis'!$D$24/12*E157</f>
        <v>1951.124985</v>
      </c>
      <c r="D158" s="200">
        <f t="shared" si="1"/>
        <v>1095.516436</v>
      </c>
      <c r="E158" s="200">
        <f t="shared" si="2"/>
        <v>259054.4816</v>
      </c>
      <c r="F158" s="1"/>
      <c r="G158" s="199">
        <v>155.0</v>
      </c>
      <c r="H158" s="200">
        <f>if(AND('Deal Analysis'!$D$37*12&lt;G158,'Deal Analysis'!$D$37&gt;0),0,H157)</f>
        <v>333.3333333</v>
      </c>
      <c r="I158" s="200">
        <f>if(H158&gt;0,'Deal Analysis'!$D$35/12*K157,0)</f>
        <v>333.3333333</v>
      </c>
      <c r="J158" s="200">
        <f t="shared" si="3"/>
        <v>0</v>
      </c>
      <c r="K158" s="200">
        <f>if(AND('Deal Analysis'!$D$37*12&lt;G158,'Deal Analysis'!$D$37&gt;0),0,K157-J158)</f>
        <v>50000</v>
      </c>
      <c r="L158" s="1"/>
      <c r="M158" s="199">
        <v>155.0</v>
      </c>
      <c r="N158" s="200">
        <f>if('Deal Analysis'!D196="Yes",'Deal Analysis'!D203,0)</f>
        <v>0</v>
      </c>
      <c r="O158" s="200">
        <f t="shared" si="4"/>
        <v>0</v>
      </c>
      <c r="P158" s="200">
        <f t="shared" si="5"/>
        <v>0</v>
      </c>
      <c r="Q158" s="200">
        <f>if(AND('Deal Analysis'!$D$47*12&lt;M158,'Deal Analysis'!$D$47&gt;0),0,Q157-P158)</f>
        <v>0</v>
      </c>
      <c r="R158" s="1"/>
      <c r="S158" s="1"/>
      <c r="T158" s="1"/>
      <c r="U158" s="1"/>
      <c r="V158" s="1"/>
      <c r="W158" s="1"/>
      <c r="X158" s="1"/>
      <c r="Y158" s="1"/>
      <c r="Z158" s="1"/>
      <c r="AA158" s="1"/>
    </row>
    <row r="159">
      <c r="A159" s="199">
        <v>156.0</v>
      </c>
      <c r="B159" s="200">
        <f t="shared" si="6"/>
        <v>3046.641421</v>
      </c>
      <c r="C159" s="200">
        <f>'Deal Analysis'!$D$24/12*E158</f>
        <v>1942.908612</v>
      </c>
      <c r="D159" s="200">
        <f t="shared" si="1"/>
        <v>1103.732809</v>
      </c>
      <c r="E159" s="200">
        <f t="shared" si="2"/>
        <v>257950.7488</v>
      </c>
      <c r="F159" s="1"/>
      <c r="G159" s="199">
        <v>156.0</v>
      </c>
      <c r="H159" s="200">
        <f>if(AND('Deal Analysis'!$D$37*12&lt;G159,'Deal Analysis'!$D$37&gt;0),0,H158)</f>
        <v>333.3333333</v>
      </c>
      <c r="I159" s="200">
        <f>if(H159&gt;0,'Deal Analysis'!$D$35/12*K158,0)</f>
        <v>333.3333333</v>
      </c>
      <c r="J159" s="200">
        <f t="shared" si="3"/>
        <v>0</v>
      </c>
      <c r="K159" s="200">
        <f>if(AND('Deal Analysis'!$D$37*12&lt;G159,'Deal Analysis'!$D$37&gt;0),0,K158-J159)</f>
        <v>50000</v>
      </c>
      <c r="L159" s="1"/>
      <c r="M159" s="199">
        <v>156.0</v>
      </c>
      <c r="N159" s="200">
        <f>if('Deal Analysis'!D197="Yes",'Deal Analysis'!D204,0)</f>
        <v>0</v>
      </c>
      <c r="O159" s="200">
        <f t="shared" si="4"/>
        <v>0</v>
      </c>
      <c r="P159" s="200">
        <f t="shared" si="5"/>
        <v>0</v>
      </c>
      <c r="Q159" s="200">
        <f>if(AND('Deal Analysis'!$D$47*12&lt;M159,'Deal Analysis'!$D$47&gt;0),0,Q158-P159)</f>
        <v>0</v>
      </c>
      <c r="R159" s="1"/>
      <c r="S159" s="1"/>
      <c r="T159" s="1"/>
      <c r="U159" s="1"/>
      <c r="V159" s="1"/>
      <c r="W159" s="1"/>
      <c r="X159" s="1"/>
      <c r="Y159" s="1"/>
      <c r="Z159" s="1"/>
      <c r="AA159" s="1"/>
    </row>
    <row r="160">
      <c r="A160" s="199">
        <v>157.0</v>
      </c>
      <c r="B160" s="200">
        <f t="shared" si="6"/>
        <v>3046.641421</v>
      </c>
      <c r="C160" s="200">
        <f>'Deal Analysis'!$D$24/12*E159</f>
        <v>1934.630616</v>
      </c>
      <c r="D160" s="200">
        <f t="shared" si="1"/>
        <v>1112.010805</v>
      </c>
      <c r="E160" s="200">
        <f t="shared" si="2"/>
        <v>256838.738</v>
      </c>
      <c r="F160" s="1"/>
      <c r="G160" s="199">
        <v>157.0</v>
      </c>
      <c r="H160" s="200">
        <f>if(AND('Deal Analysis'!$D$37*12&lt;G160,'Deal Analysis'!$D$37&gt;0),0,H159)</f>
        <v>333.3333333</v>
      </c>
      <c r="I160" s="200">
        <f>if(H160&gt;0,'Deal Analysis'!$D$35/12*K159,0)</f>
        <v>333.3333333</v>
      </c>
      <c r="J160" s="200">
        <f t="shared" si="3"/>
        <v>0</v>
      </c>
      <c r="K160" s="200">
        <f>if(AND('Deal Analysis'!$D$37*12&lt;G160,'Deal Analysis'!$D$37&gt;0),0,K159-J160)</f>
        <v>50000</v>
      </c>
      <c r="L160" s="1"/>
      <c r="M160" s="199">
        <v>157.0</v>
      </c>
      <c r="N160" s="200">
        <f>if('Deal Analysis'!D198="Yes",'Deal Analysis'!D205,0)</f>
        <v>0</v>
      </c>
      <c r="O160" s="200">
        <f t="shared" si="4"/>
        <v>0</v>
      </c>
      <c r="P160" s="200">
        <f t="shared" si="5"/>
        <v>0</v>
      </c>
      <c r="Q160" s="200">
        <f>if(AND('Deal Analysis'!$D$47*12&lt;M160,'Deal Analysis'!$D$47&gt;0),0,Q159-P160)</f>
        <v>0</v>
      </c>
      <c r="R160" s="1"/>
      <c r="S160" s="1"/>
      <c r="T160" s="1"/>
      <c r="U160" s="1"/>
      <c r="V160" s="1"/>
      <c r="W160" s="1"/>
      <c r="X160" s="1"/>
      <c r="Y160" s="1"/>
      <c r="Z160" s="1"/>
      <c r="AA160" s="1"/>
    </row>
    <row r="161">
      <c r="A161" s="199">
        <v>158.0</v>
      </c>
      <c r="B161" s="200">
        <f t="shared" si="6"/>
        <v>3046.641421</v>
      </c>
      <c r="C161" s="200">
        <f>'Deal Analysis'!$D$24/12*E160</f>
        <v>1926.290535</v>
      </c>
      <c r="D161" s="200">
        <f t="shared" si="1"/>
        <v>1120.350886</v>
      </c>
      <c r="E161" s="200">
        <f t="shared" si="2"/>
        <v>255718.3871</v>
      </c>
      <c r="F161" s="1"/>
      <c r="G161" s="199">
        <v>158.0</v>
      </c>
      <c r="H161" s="200">
        <f>if(AND('Deal Analysis'!$D$37*12&lt;G161,'Deal Analysis'!$D$37&gt;0),0,H160)</f>
        <v>333.3333333</v>
      </c>
      <c r="I161" s="200">
        <f>if(H161&gt;0,'Deal Analysis'!$D$35/12*K160,0)</f>
        <v>333.3333333</v>
      </c>
      <c r="J161" s="200">
        <f t="shared" si="3"/>
        <v>0</v>
      </c>
      <c r="K161" s="200">
        <f>if(AND('Deal Analysis'!$D$37*12&lt;G161,'Deal Analysis'!$D$37&gt;0),0,K160-J161)</f>
        <v>50000</v>
      </c>
      <c r="L161" s="1"/>
      <c r="M161" s="199">
        <v>158.0</v>
      </c>
      <c r="N161" s="200">
        <f>if('Deal Analysis'!D199="Yes",'Deal Analysis'!D206,0)</f>
        <v>0</v>
      </c>
      <c r="O161" s="200">
        <f t="shared" si="4"/>
        <v>0</v>
      </c>
      <c r="P161" s="200">
        <f t="shared" si="5"/>
        <v>0</v>
      </c>
      <c r="Q161" s="200">
        <f>if(AND('Deal Analysis'!$D$47*12&lt;M161,'Deal Analysis'!$D$47&gt;0),0,Q160-P161)</f>
        <v>0</v>
      </c>
      <c r="R161" s="1"/>
      <c r="S161" s="1"/>
      <c r="T161" s="1"/>
      <c r="U161" s="1"/>
      <c r="V161" s="1"/>
      <c r="W161" s="1"/>
      <c r="X161" s="1"/>
      <c r="Y161" s="1"/>
      <c r="Z161" s="1"/>
      <c r="AA161" s="1"/>
    </row>
    <row r="162">
      <c r="A162" s="199">
        <v>159.0</v>
      </c>
      <c r="B162" s="200">
        <f t="shared" si="6"/>
        <v>3046.641421</v>
      </c>
      <c r="C162" s="200">
        <f>'Deal Analysis'!$D$24/12*E161</f>
        <v>1917.887903</v>
      </c>
      <c r="D162" s="200">
        <f t="shared" si="1"/>
        <v>1128.753518</v>
      </c>
      <c r="E162" s="200">
        <f t="shared" si="2"/>
        <v>254589.6336</v>
      </c>
      <c r="F162" s="1"/>
      <c r="G162" s="199">
        <v>159.0</v>
      </c>
      <c r="H162" s="200">
        <f>if(AND('Deal Analysis'!$D$37*12&lt;G162,'Deal Analysis'!$D$37&gt;0),0,H161)</f>
        <v>333.3333333</v>
      </c>
      <c r="I162" s="200">
        <f>if(H162&gt;0,'Deal Analysis'!$D$35/12*K161,0)</f>
        <v>333.3333333</v>
      </c>
      <c r="J162" s="200">
        <f t="shared" si="3"/>
        <v>0</v>
      </c>
      <c r="K162" s="200">
        <f>if(AND('Deal Analysis'!$D$37*12&lt;G162,'Deal Analysis'!$D$37&gt;0),0,K161-J162)</f>
        <v>50000</v>
      </c>
      <c r="L162" s="1"/>
      <c r="M162" s="199">
        <v>159.0</v>
      </c>
      <c r="N162" s="200">
        <f>if('Deal Analysis'!D200="Yes",'Deal Analysis'!D207,0)</f>
        <v>0</v>
      </c>
      <c r="O162" s="200">
        <f t="shared" si="4"/>
        <v>0</v>
      </c>
      <c r="P162" s="200">
        <f t="shared" si="5"/>
        <v>0</v>
      </c>
      <c r="Q162" s="200">
        <f>if(AND('Deal Analysis'!$D$47*12&lt;M162,'Deal Analysis'!$D$47&gt;0),0,Q161-P162)</f>
        <v>0</v>
      </c>
      <c r="R162" s="1"/>
      <c r="S162" s="1"/>
      <c r="T162" s="1"/>
      <c r="U162" s="1"/>
      <c r="V162" s="1"/>
      <c r="W162" s="1"/>
      <c r="X162" s="1"/>
      <c r="Y162" s="1"/>
      <c r="Z162" s="1"/>
      <c r="AA162" s="1"/>
    </row>
    <row r="163">
      <c r="A163" s="199">
        <v>160.0</v>
      </c>
      <c r="B163" s="200">
        <f t="shared" si="6"/>
        <v>3046.641421</v>
      </c>
      <c r="C163" s="200">
        <f>'Deal Analysis'!$D$24/12*E162</f>
        <v>1909.422252</v>
      </c>
      <c r="D163" s="200">
        <f t="shared" si="1"/>
        <v>1137.219169</v>
      </c>
      <c r="E163" s="200">
        <f t="shared" si="2"/>
        <v>253452.4144</v>
      </c>
      <c r="F163" s="1"/>
      <c r="G163" s="199">
        <v>160.0</v>
      </c>
      <c r="H163" s="200">
        <f>if(AND('Deal Analysis'!$D$37*12&lt;G163,'Deal Analysis'!$D$37&gt;0),0,H162)</f>
        <v>333.3333333</v>
      </c>
      <c r="I163" s="200">
        <f>if(H163&gt;0,'Deal Analysis'!$D$35/12*K162,0)</f>
        <v>333.3333333</v>
      </c>
      <c r="J163" s="200">
        <f t="shared" si="3"/>
        <v>0</v>
      </c>
      <c r="K163" s="200">
        <f>if(AND('Deal Analysis'!$D$37*12&lt;G163,'Deal Analysis'!$D$37&gt;0),0,K162-J163)</f>
        <v>50000</v>
      </c>
      <c r="L163" s="1"/>
      <c r="M163" s="199">
        <v>160.0</v>
      </c>
      <c r="N163" s="200">
        <f>if('Deal Analysis'!D201="Yes",'Deal Analysis'!D208,0)</f>
        <v>0</v>
      </c>
      <c r="O163" s="200">
        <f t="shared" si="4"/>
        <v>0</v>
      </c>
      <c r="P163" s="200">
        <f t="shared" si="5"/>
        <v>0</v>
      </c>
      <c r="Q163" s="200">
        <f>if(AND('Deal Analysis'!$D$47*12&lt;M163,'Deal Analysis'!$D$47&gt;0),0,Q162-P163)</f>
        <v>0</v>
      </c>
      <c r="R163" s="1"/>
      <c r="S163" s="1"/>
      <c r="T163" s="1"/>
      <c r="U163" s="1"/>
      <c r="V163" s="1"/>
      <c r="W163" s="1"/>
      <c r="X163" s="1"/>
      <c r="Y163" s="1"/>
      <c r="Z163" s="1"/>
      <c r="AA163" s="1"/>
    </row>
    <row r="164">
      <c r="A164" s="199">
        <v>161.0</v>
      </c>
      <c r="B164" s="200">
        <f t="shared" si="6"/>
        <v>3046.641421</v>
      </c>
      <c r="C164" s="200">
        <f>'Deal Analysis'!$D$24/12*E163</f>
        <v>1900.893108</v>
      </c>
      <c r="D164" s="200">
        <f t="shared" si="1"/>
        <v>1145.748313</v>
      </c>
      <c r="E164" s="200">
        <f t="shared" si="2"/>
        <v>252306.6661</v>
      </c>
      <c r="F164" s="1"/>
      <c r="G164" s="199">
        <v>161.0</v>
      </c>
      <c r="H164" s="200">
        <f>if(AND('Deal Analysis'!$D$37*12&lt;G164,'Deal Analysis'!$D$37&gt;0),0,H163)</f>
        <v>333.3333333</v>
      </c>
      <c r="I164" s="200">
        <f>if(H164&gt;0,'Deal Analysis'!$D$35/12*K163,0)</f>
        <v>333.3333333</v>
      </c>
      <c r="J164" s="200">
        <f t="shared" si="3"/>
        <v>0</v>
      </c>
      <c r="K164" s="200">
        <f>if(AND('Deal Analysis'!$D$37*12&lt;G164,'Deal Analysis'!$D$37&gt;0),0,K163-J164)</f>
        <v>50000</v>
      </c>
      <c r="L164" s="1"/>
      <c r="M164" s="199">
        <v>161.0</v>
      </c>
      <c r="N164" s="200">
        <f>if('Deal Analysis'!D202="Yes",'Deal Analysis'!D209,0)</f>
        <v>0</v>
      </c>
      <c r="O164" s="200">
        <f t="shared" si="4"/>
        <v>0</v>
      </c>
      <c r="P164" s="200">
        <f t="shared" si="5"/>
        <v>0</v>
      </c>
      <c r="Q164" s="200">
        <f>if(AND('Deal Analysis'!$D$47*12&lt;M164,'Deal Analysis'!$D$47&gt;0),0,Q163-P164)</f>
        <v>0</v>
      </c>
      <c r="R164" s="1"/>
      <c r="S164" s="1"/>
      <c r="T164" s="1"/>
      <c r="U164" s="1"/>
      <c r="V164" s="1"/>
      <c r="W164" s="1"/>
      <c r="X164" s="1"/>
      <c r="Y164" s="1"/>
      <c r="Z164" s="1"/>
      <c r="AA164" s="1"/>
    </row>
    <row r="165">
      <c r="A165" s="199">
        <v>162.0</v>
      </c>
      <c r="B165" s="200">
        <f t="shared" si="6"/>
        <v>3046.641421</v>
      </c>
      <c r="C165" s="200">
        <f>'Deal Analysis'!$D$24/12*E164</f>
        <v>1892.299996</v>
      </c>
      <c r="D165" s="200">
        <f t="shared" si="1"/>
        <v>1154.341425</v>
      </c>
      <c r="E165" s="200">
        <f t="shared" si="2"/>
        <v>251152.3247</v>
      </c>
      <c r="F165" s="1"/>
      <c r="G165" s="199">
        <v>162.0</v>
      </c>
      <c r="H165" s="200">
        <f>if(AND('Deal Analysis'!$D$37*12&lt;G165,'Deal Analysis'!$D$37&gt;0),0,H164)</f>
        <v>333.3333333</v>
      </c>
      <c r="I165" s="200">
        <f>if(H165&gt;0,'Deal Analysis'!$D$35/12*K164,0)</f>
        <v>333.3333333</v>
      </c>
      <c r="J165" s="200">
        <f t="shared" si="3"/>
        <v>0</v>
      </c>
      <c r="K165" s="200">
        <f>if(AND('Deal Analysis'!$D$37*12&lt;G165,'Deal Analysis'!$D$37&gt;0),0,K164-J165)</f>
        <v>50000</v>
      </c>
      <c r="L165" s="1"/>
      <c r="M165" s="199">
        <v>162.0</v>
      </c>
      <c r="N165" s="200">
        <f>if('Deal Analysis'!D203="Yes",'Deal Analysis'!D210,0)</f>
        <v>0</v>
      </c>
      <c r="O165" s="200">
        <f t="shared" si="4"/>
        <v>0</v>
      </c>
      <c r="P165" s="200">
        <f t="shared" si="5"/>
        <v>0</v>
      </c>
      <c r="Q165" s="200">
        <f>if(AND('Deal Analysis'!$D$47*12&lt;M165,'Deal Analysis'!$D$47&gt;0),0,Q164-P165)</f>
        <v>0</v>
      </c>
      <c r="R165" s="1"/>
      <c r="S165" s="1"/>
      <c r="T165" s="1"/>
      <c r="U165" s="1"/>
      <c r="V165" s="1"/>
      <c r="W165" s="1"/>
      <c r="X165" s="1"/>
      <c r="Y165" s="1"/>
      <c r="Z165" s="1"/>
      <c r="AA165" s="1"/>
    </row>
    <row r="166">
      <c r="A166" s="199">
        <v>163.0</v>
      </c>
      <c r="B166" s="200">
        <f t="shared" si="6"/>
        <v>3046.641421</v>
      </c>
      <c r="C166" s="200">
        <f>'Deal Analysis'!$D$24/12*E165</f>
        <v>1883.642435</v>
      </c>
      <c r="D166" s="200">
        <f t="shared" si="1"/>
        <v>1162.998986</v>
      </c>
      <c r="E166" s="200">
        <f t="shared" si="2"/>
        <v>249989.3257</v>
      </c>
      <c r="F166" s="1"/>
      <c r="G166" s="199">
        <v>163.0</v>
      </c>
      <c r="H166" s="200">
        <f>if(AND('Deal Analysis'!$D$37*12&lt;G166,'Deal Analysis'!$D$37&gt;0),0,H165)</f>
        <v>333.3333333</v>
      </c>
      <c r="I166" s="200">
        <f>if(H166&gt;0,'Deal Analysis'!$D$35/12*K165,0)</f>
        <v>333.3333333</v>
      </c>
      <c r="J166" s="200">
        <f t="shared" si="3"/>
        <v>0</v>
      </c>
      <c r="K166" s="200">
        <f>if(AND('Deal Analysis'!$D$37*12&lt;G166,'Deal Analysis'!$D$37&gt;0),0,K165-J166)</f>
        <v>50000</v>
      </c>
      <c r="L166" s="1"/>
      <c r="M166" s="199">
        <v>163.0</v>
      </c>
      <c r="N166" s="200">
        <f>if('Deal Analysis'!D204="Yes",'Deal Analysis'!D211,0)</f>
        <v>0</v>
      </c>
      <c r="O166" s="200">
        <f t="shared" si="4"/>
        <v>0</v>
      </c>
      <c r="P166" s="200">
        <f t="shared" si="5"/>
        <v>0</v>
      </c>
      <c r="Q166" s="200">
        <f>if(AND('Deal Analysis'!$D$47*12&lt;M166,'Deal Analysis'!$D$47&gt;0),0,Q165-P166)</f>
        <v>0</v>
      </c>
      <c r="R166" s="1"/>
      <c r="S166" s="1"/>
      <c r="T166" s="1"/>
      <c r="U166" s="1"/>
      <c r="V166" s="1"/>
      <c r="W166" s="1"/>
      <c r="X166" s="1"/>
      <c r="Y166" s="1"/>
      <c r="Z166" s="1"/>
      <c r="AA166" s="1"/>
    </row>
    <row r="167">
      <c r="A167" s="199">
        <v>164.0</v>
      </c>
      <c r="B167" s="200">
        <f t="shared" si="6"/>
        <v>3046.641421</v>
      </c>
      <c r="C167" s="200">
        <f>'Deal Analysis'!$D$24/12*E166</f>
        <v>1874.919943</v>
      </c>
      <c r="D167" s="200">
        <f t="shared" si="1"/>
        <v>1171.721478</v>
      </c>
      <c r="E167" s="200">
        <f t="shared" si="2"/>
        <v>248817.6042</v>
      </c>
      <c r="F167" s="1"/>
      <c r="G167" s="199">
        <v>164.0</v>
      </c>
      <c r="H167" s="200">
        <f>if(AND('Deal Analysis'!$D$37*12&lt;G167,'Deal Analysis'!$D$37&gt;0),0,H166)</f>
        <v>333.3333333</v>
      </c>
      <c r="I167" s="200">
        <f>if(H167&gt;0,'Deal Analysis'!$D$35/12*K166,0)</f>
        <v>333.3333333</v>
      </c>
      <c r="J167" s="200">
        <f t="shared" si="3"/>
        <v>0</v>
      </c>
      <c r="K167" s="200">
        <f>if(AND('Deal Analysis'!$D$37*12&lt;G167,'Deal Analysis'!$D$37&gt;0),0,K166-J167)</f>
        <v>50000</v>
      </c>
      <c r="L167" s="1"/>
      <c r="M167" s="199">
        <v>164.0</v>
      </c>
      <c r="N167" s="200">
        <f>if('Deal Analysis'!D205="Yes",'Deal Analysis'!D212,0)</f>
        <v>0</v>
      </c>
      <c r="O167" s="200">
        <f t="shared" si="4"/>
        <v>0</v>
      </c>
      <c r="P167" s="200">
        <f t="shared" si="5"/>
        <v>0</v>
      </c>
      <c r="Q167" s="200">
        <f>if(AND('Deal Analysis'!$D$47*12&lt;M167,'Deal Analysis'!$D$47&gt;0),0,Q166-P167)</f>
        <v>0</v>
      </c>
      <c r="R167" s="1"/>
      <c r="S167" s="1"/>
      <c r="T167" s="1"/>
      <c r="U167" s="1"/>
      <c r="V167" s="1"/>
      <c r="W167" s="1"/>
      <c r="X167" s="1"/>
      <c r="Y167" s="1"/>
      <c r="Z167" s="1"/>
      <c r="AA167" s="1"/>
    </row>
    <row r="168">
      <c r="A168" s="199">
        <v>165.0</v>
      </c>
      <c r="B168" s="200">
        <f t="shared" si="6"/>
        <v>3046.641421</v>
      </c>
      <c r="C168" s="200">
        <f>'Deal Analysis'!$D$24/12*E167</f>
        <v>1866.132032</v>
      </c>
      <c r="D168" s="200">
        <f t="shared" si="1"/>
        <v>1180.50939</v>
      </c>
      <c r="E168" s="200">
        <f t="shared" si="2"/>
        <v>247637.0948</v>
      </c>
      <c r="F168" s="1"/>
      <c r="G168" s="199">
        <v>165.0</v>
      </c>
      <c r="H168" s="200">
        <f>if(AND('Deal Analysis'!$D$37*12&lt;G168,'Deal Analysis'!$D$37&gt;0),0,H167)</f>
        <v>333.3333333</v>
      </c>
      <c r="I168" s="200">
        <f>if(H168&gt;0,'Deal Analysis'!$D$35/12*K167,0)</f>
        <v>333.3333333</v>
      </c>
      <c r="J168" s="200">
        <f t="shared" si="3"/>
        <v>0</v>
      </c>
      <c r="K168" s="200">
        <f>if(AND('Deal Analysis'!$D$37*12&lt;G168,'Deal Analysis'!$D$37&gt;0),0,K167-J168)</f>
        <v>50000</v>
      </c>
      <c r="L168" s="1"/>
      <c r="M168" s="199">
        <v>165.0</v>
      </c>
      <c r="N168" s="200">
        <f>if('Deal Analysis'!D206="Yes",'Deal Analysis'!D213,0)</f>
        <v>0</v>
      </c>
      <c r="O168" s="200">
        <f t="shared" si="4"/>
        <v>0</v>
      </c>
      <c r="P168" s="200">
        <f t="shared" si="5"/>
        <v>0</v>
      </c>
      <c r="Q168" s="200">
        <f>if(AND('Deal Analysis'!$D$47*12&lt;M168,'Deal Analysis'!$D$47&gt;0),0,Q167-P168)</f>
        <v>0</v>
      </c>
      <c r="R168" s="1"/>
      <c r="S168" s="1"/>
      <c r="T168" s="1"/>
      <c r="U168" s="1"/>
      <c r="V168" s="1"/>
      <c r="W168" s="1"/>
      <c r="X168" s="1"/>
      <c r="Y168" s="1"/>
      <c r="Z168" s="1"/>
      <c r="AA168" s="1"/>
    </row>
    <row r="169">
      <c r="A169" s="199">
        <v>166.0</v>
      </c>
      <c r="B169" s="200">
        <f t="shared" si="6"/>
        <v>3046.641421</v>
      </c>
      <c r="C169" s="200">
        <f>'Deal Analysis'!$D$24/12*E168</f>
        <v>1857.278211</v>
      </c>
      <c r="D169" s="200">
        <f t="shared" si="1"/>
        <v>1189.36321</v>
      </c>
      <c r="E169" s="200">
        <f t="shared" si="2"/>
        <v>246447.7316</v>
      </c>
      <c r="F169" s="1"/>
      <c r="G169" s="199">
        <v>166.0</v>
      </c>
      <c r="H169" s="200">
        <f>if(AND('Deal Analysis'!$D$37*12&lt;G169,'Deal Analysis'!$D$37&gt;0),0,H168)</f>
        <v>333.3333333</v>
      </c>
      <c r="I169" s="200">
        <f>if(H169&gt;0,'Deal Analysis'!$D$35/12*K168,0)</f>
        <v>333.3333333</v>
      </c>
      <c r="J169" s="200">
        <f t="shared" si="3"/>
        <v>0</v>
      </c>
      <c r="K169" s="200">
        <f>if(AND('Deal Analysis'!$D$37*12&lt;G169,'Deal Analysis'!$D$37&gt;0),0,K168-J169)</f>
        <v>50000</v>
      </c>
      <c r="L169" s="1"/>
      <c r="M169" s="199">
        <v>166.0</v>
      </c>
      <c r="N169" s="200">
        <f>if('Deal Analysis'!D207="Yes",'Deal Analysis'!D214,0)</f>
        <v>0</v>
      </c>
      <c r="O169" s="200">
        <f t="shared" si="4"/>
        <v>0</v>
      </c>
      <c r="P169" s="200">
        <f t="shared" si="5"/>
        <v>0</v>
      </c>
      <c r="Q169" s="200">
        <f>if(AND('Deal Analysis'!$D$47*12&lt;M169,'Deal Analysis'!$D$47&gt;0),0,Q168-P169)</f>
        <v>0</v>
      </c>
      <c r="R169" s="1"/>
      <c r="S169" s="1"/>
      <c r="T169" s="1"/>
      <c r="U169" s="1"/>
      <c r="V169" s="1"/>
      <c r="W169" s="1"/>
      <c r="X169" s="1"/>
      <c r="Y169" s="1"/>
      <c r="Z169" s="1"/>
      <c r="AA169" s="1"/>
    </row>
    <row r="170">
      <c r="A170" s="199">
        <v>167.0</v>
      </c>
      <c r="B170" s="200">
        <f t="shared" si="6"/>
        <v>3046.641421</v>
      </c>
      <c r="C170" s="200">
        <f>'Deal Analysis'!$D$24/12*E169</f>
        <v>1848.357987</v>
      </c>
      <c r="D170" s="200">
        <f t="shared" si="1"/>
        <v>1198.283434</v>
      </c>
      <c r="E170" s="200">
        <f t="shared" si="2"/>
        <v>245249.4482</v>
      </c>
      <c r="F170" s="1"/>
      <c r="G170" s="199">
        <v>167.0</v>
      </c>
      <c r="H170" s="200">
        <f>if(AND('Deal Analysis'!$D$37*12&lt;G170,'Deal Analysis'!$D$37&gt;0),0,H169)</f>
        <v>333.3333333</v>
      </c>
      <c r="I170" s="200">
        <f>if(H170&gt;0,'Deal Analysis'!$D$35/12*K169,0)</f>
        <v>333.3333333</v>
      </c>
      <c r="J170" s="200">
        <f t="shared" si="3"/>
        <v>0</v>
      </c>
      <c r="K170" s="200">
        <f>if(AND('Deal Analysis'!$D$37*12&lt;G170,'Deal Analysis'!$D$37&gt;0),0,K169-J170)</f>
        <v>50000</v>
      </c>
      <c r="L170" s="1"/>
      <c r="M170" s="199">
        <v>167.0</v>
      </c>
      <c r="N170" s="200">
        <f>if('Deal Analysis'!D208="Yes",'Deal Analysis'!D215,0)</f>
        <v>0</v>
      </c>
      <c r="O170" s="200">
        <f t="shared" si="4"/>
        <v>0</v>
      </c>
      <c r="P170" s="200">
        <f t="shared" si="5"/>
        <v>0</v>
      </c>
      <c r="Q170" s="200">
        <f>if(AND('Deal Analysis'!$D$47*12&lt;M170,'Deal Analysis'!$D$47&gt;0),0,Q169-P170)</f>
        <v>0</v>
      </c>
      <c r="R170" s="1"/>
      <c r="S170" s="1"/>
      <c r="T170" s="1"/>
      <c r="U170" s="1"/>
      <c r="V170" s="1"/>
      <c r="W170" s="1"/>
      <c r="X170" s="1"/>
      <c r="Y170" s="1"/>
      <c r="Z170" s="1"/>
      <c r="AA170" s="1"/>
    </row>
    <row r="171">
      <c r="A171" s="199">
        <v>168.0</v>
      </c>
      <c r="B171" s="200">
        <f t="shared" si="6"/>
        <v>3046.641421</v>
      </c>
      <c r="C171" s="200">
        <f>'Deal Analysis'!$D$24/12*E170</f>
        <v>1839.370861</v>
      </c>
      <c r="D171" s="200">
        <f t="shared" si="1"/>
        <v>1207.27056</v>
      </c>
      <c r="E171" s="200">
        <f t="shared" si="2"/>
        <v>244042.1776</v>
      </c>
      <c r="F171" s="1"/>
      <c r="G171" s="199">
        <v>168.0</v>
      </c>
      <c r="H171" s="200">
        <f>if(AND('Deal Analysis'!$D$37*12&lt;G171,'Deal Analysis'!$D$37&gt;0),0,H170)</f>
        <v>333.3333333</v>
      </c>
      <c r="I171" s="200">
        <f>if(H171&gt;0,'Deal Analysis'!$D$35/12*K170,0)</f>
        <v>333.3333333</v>
      </c>
      <c r="J171" s="200">
        <f t="shared" si="3"/>
        <v>0</v>
      </c>
      <c r="K171" s="200">
        <f>if(AND('Deal Analysis'!$D$37*12&lt;G171,'Deal Analysis'!$D$37&gt;0),0,K170-J171)</f>
        <v>50000</v>
      </c>
      <c r="L171" s="1"/>
      <c r="M171" s="199">
        <v>168.0</v>
      </c>
      <c r="N171" s="200">
        <f>if('Deal Analysis'!D209="Yes",'Deal Analysis'!D216,0)</f>
        <v>0</v>
      </c>
      <c r="O171" s="200">
        <f t="shared" si="4"/>
        <v>0</v>
      </c>
      <c r="P171" s="200">
        <f t="shared" si="5"/>
        <v>0</v>
      </c>
      <c r="Q171" s="200">
        <f>if(AND('Deal Analysis'!$D$47*12&lt;M171,'Deal Analysis'!$D$47&gt;0),0,Q170-P171)</f>
        <v>0</v>
      </c>
      <c r="R171" s="1"/>
      <c r="S171" s="1"/>
      <c r="T171" s="1"/>
      <c r="U171" s="1"/>
      <c r="V171" s="1"/>
      <c r="W171" s="1"/>
      <c r="X171" s="1"/>
      <c r="Y171" s="1"/>
      <c r="Z171" s="1"/>
      <c r="AA171" s="1"/>
    </row>
    <row r="172">
      <c r="A172" s="199">
        <v>169.0</v>
      </c>
      <c r="B172" s="200">
        <f t="shared" si="6"/>
        <v>3046.641421</v>
      </c>
      <c r="C172" s="200">
        <f>'Deal Analysis'!$D$24/12*E171</f>
        <v>1830.316332</v>
      </c>
      <c r="D172" s="200">
        <f t="shared" si="1"/>
        <v>1216.325089</v>
      </c>
      <c r="E172" s="200">
        <f t="shared" si="2"/>
        <v>242825.8525</v>
      </c>
      <c r="F172" s="1"/>
      <c r="G172" s="199">
        <v>169.0</v>
      </c>
      <c r="H172" s="200">
        <f>if(AND('Deal Analysis'!$D$37*12&lt;G172,'Deal Analysis'!$D$37&gt;0),0,H171)</f>
        <v>333.3333333</v>
      </c>
      <c r="I172" s="200">
        <f>if(H172&gt;0,'Deal Analysis'!$D$35/12*K171,0)</f>
        <v>333.3333333</v>
      </c>
      <c r="J172" s="200">
        <f t="shared" si="3"/>
        <v>0</v>
      </c>
      <c r="K172" s="200">
        <f>if(AND('Deal Analysis'!$D$37*12&lt;G172,'Deal Analysis'!$D$37&gt;0),0,K171-J172)</f>
        <v>50000</v>
      </c>
      <c r="L172" s="1"/>
      <c r="M172" s="199">
        <v>169.0</v>
      </c>
      <c r="N172" s="200">
        <f>if('Deal Analysis'!D210="Yes",'Deal Analysis'!D217,0)</f>
        <v>0</v>
      </c>
      <c r="O172" s="200">
        <f t="shared" si="4"/>
        <v>0</v>
      </c>
      <c r="P172" s="200">
        <f t="shared" si="5"/>
        <v>0</v>
      </c>
      <c r="Q172" s="200">
        <f>if(AND('Deal Analysis'!$D$47*12&lt;M172,'Deal Analysis'!$D$47&gt;0),0,Q171-P172)</f>
        <v>0</v>
      </c>
      <c r="R172" s="1"/>
      <c r="S172" s="1"/>
      <c r="T172" s="1"/>
      <c r="U172" s="1"/>
      <c r="V172" s="1"/>
      <c r="W172" s="1"/>
      <c r="X172" s="1"/>
      <c r="Y172" s="1"/>
      <c r="Z172" s="1"/>
      <c r="AA172" s="1"/>
    </row>
    <row r="173">
      <c r="A173" s="199">
        <v>170.0</v>
      </c>
      <c r="B173" s="200">
        <f t="shared" si="6"/>
        <v>3046.641421</v>
      </c>
      <c r="C173" s="200">
        <f>'Deal Analysis'!$D$24/12*E172</f>
        <v>1821.193894</v>
      </c>
      <c r="D173" s="200">
        <f t="shared" si="1"/>
        <v>1225.447527</v>
      </c>
      <c r="E173" s="200">
        <f t="shared" si="2"/>
        <v>241600.405</v>
      </c>
      <c r="F173" s="1"/>
      <c r="G173" s="199">
        <v>170.0</v>
      </c>
      <c r="H173" s="200">
        <f>if(AND('Deal Analysis'!$D$37*12&lt;G173,'Deal Analysis'!$D$37&gt;0),0,H172)</f>
        <v>333.3333333</v>
      </c>
      <c r="I173" s="200">
        <f>if(H173&gt;0,'Deal Analysis'!$D$35/12*K172,0)</f>
        <v>333.3333333</v>
      </c>
      <c r="J173" s="200">
        <f t="shared" si="3"/>
        <v>0</v>
      </c>
      <c r="K173" s="200">
        <f>if(AND('Deal Analysis'!$D$37*12&lt;G173,'Deal Analysis'!$D$37&gt;0),0,K172-J173)</f>
        <v>50000</v>
      </c>
      <c r="L173" s="1"/>
      <c r="M173" s="199">
        <v>170.0</v>
      </c>
      <c r="N173" s="200">
        <f>if('Deal Analysis'!D211="Yes",'Deal Analysis'!D218,0)</f>
        <v>0</v>
      </c>
      <c r="O173" s="200">
        <f t="shared" si="4"/>
        <v>0</v>
      </c>
      <c r="P173" s="200">
        <f t="shared" si="5"/>
        <v>0</v>
      </c>
      <c r="Q173" s="200">
        <f>if(AND('Deal Analysis'!$D$47*12&lt;M173,'Deal Analysis'!$D$47&gt;0),0,Q172-P173)</f>
        <v>0</v>
      </c>
      <c r="R173" s="1"/>
      <c r="S173" s="1"/>
      <c r="T173" s="1"/>
      <c r="U173" s="1"/>
      <c r="V173" s="1"/>
      <c r="W173" s="1"/>
      <c r="X173" s="1"/>
      <c r="Y173" s="1"/>
      <c r="Z173" s="1"/>
      <c r="AA173" s="1"/>
    </row>
    <row r="174">
      <c r="A174" s="199">
        <v>171.0</v>
      </c>
      <c r="B174" s="200">
        <f t="shared" si="6"/>
        <v>3046.641421</v>
      </c>
      <c r="C174" s="200">
        <f>'Deal Analysis'!$D$24/12*E173</f>
        <v>1812.003037</v>
      </c>
      <c r="D174" s="200">
        <f t="shared" si="1"/>
        <v>1234.638384</v>
      </c>
      <c r="E174" s="200">
        <f t="shared" si="2"/>
        <v>240365.7666</v>
      </c>
      <c r="F174" s="1"/>
      <c r="G174" s="199">
        <v>171.0</v>
      </c>
      <c r="H174" s="200">
        <f>if(AND('Deal Analysis'!$D$37*12&lt;G174,'Deal Analysis'!$D$37&gt;0),0,H173)</f>
        <v>333.3333333</v>
      </c>
      <c r="I174" s="200">
        <f>if(H174&gt;0,'Deal Analysis'!$D$35/12*K173,0)</f>
        <v>333.3333333</v>
      </c>
      <c r="J174" s="200">
        <f t="shared" si="3"/>
        <v>0</v>
      </c>
      <c r="K174" s="200">
        <f>if(AND('Deal Analysis'!$D$37*12&lt;G174,'Deal Analysis'!$D$37&gt;0),0,K173-J174)</f>
        <v>50000</v>
      </c>
      <c r="L174" s="1"/>
      <c r="M174" s="199">
        <v>171.0</v>
      </c>
      <c r="N174" s="200">
        <f>if('Deal Analysis'!D212="Yes",'Deal Analysis'!D219,0)</f>
        <v>0</v>
      </c>
      <c r="O174" s="200">
        <f t="shared" si="4"/>
        <v>0</v>
      </c>
      <c r="P174" s="200">
        <f t="shared" si="5"/>
        <v>0</v>
      </c>
      <c r="Q174" s="200">
        <f>if(AND('Deal Analysis'!$D$47*12&lt;M174,'Deal Analysis'!$D$47&gt;0),0,Q173-P174)</f>
        <v>0</v>
      </c>
      <c r="R174" s="1"/>
      <c r="S174" s="1"/>
      <c r="T174" s="1"/>
      <c r="U174" s="1"/>
      <c r="V174" s="1"/>
      <c r="W174" s="1"/>
      <c r="X174" s="1"/>
      <c r="Y174" s="1"/>
      <c r="Z174" s="1"/>
      <c r="AA174" s="1"/>
    </row>
    <row r="175">
      <c r="A175" s="199">
        <v>172.0</v>
      </c>
      <c r="B175" s="200">
        <f t="shared" si="6"/>
        <v>3046.641421</v>
      </c>
      <c r="C175" s="200">
        <f>'Deal Analysis'!$D$24/12*E174</f>
        <v>1802.74325</v>
      </c>
      <c r="D175" s="200">
        <f t="shared" si="1"/>
        <v>1243.898171</v>
      </c>
      <c r="E175" s="200">
        <f t="shared" si="2"/>
        <v>239121.8684</v>
      </c>
      <c r="F175" s="1"/>
      <c r="G175" s="199">
        <v>172.0</v>
      </c>
      <c r="H175" s="200">
        <f>if(AND('Deal Analysis'!$D$37*12&lt;G175,'Deal Analysis'!$D$37&gt;0),0,H174)</f>
        <v>333.3333333</v>
      </c>
      <c r="I175" s="200">
        <f>if(H175&gt;0,'Deal Analysis'!$D$35/12*K174,0)</f>
        <v>333.3333333</v>
      </c>
      <c r="J175" s="200">
        <f t="shared" si="3"/>
        <v>0</v>
      </c>
      <c r="K175" s="200">
        <f>if(AND('Deal Analysis'!$D$37*12&lt;G175,'Deal Analysis'!$D$37&gt;0),0,K174-J175)</f>
        <v>50000</v>
      </c>
      <c r="L175" s="1"/>
      <c r="M175" s="199">
        <v>172.0</v>
      </c>
      <c r="N175" s="200">
        <f>if('Deal Analysis'!D213="Yes",'Deal Analysis'!D220,0)</f>
        <v>0</v>
      </c>
      <c r="O175" s="200">
        <f t="shared" si="4"/>
        <v>0</v>
      </c>
      <c r="P175" s="200">
        <f t="shared" si="5"/>
        <v>0</v>
      </c>
      <c r="Q175" s="200">
        <f>if(AND('Deal Analysis'!$D$47*12&lt;M175,'Deal Analysis'!$D$47&gt;0),0,Q174-P175)</f>
        <v>0</v>
      </c>
      <c r="R175" s="1"/>
      <c r="S175" s="1"/>
      <c r="T175" s="1"/>
      <c r="U175" s="1"/>
      <c r="V175" s="1"/>
      <c r="W175" s="1"/>
      <c r="X175" s="1"/>
      <c r="Y175" s="1"/>
      <c r="Z175" s="1"/>
      <c r="AA175" s="1"/>
    </row>
    <row r="176">
      <c r="A176" s="199">
        <v>173.0</v>
      </c>
      <c r="B176" s="200">
        <f t="shared" si="6"/>
        <v>3046.641421</v>
      </c>
      <c r="C176" s="200">
        <f>'Deal Analysis'!$D$24/12*E175</f>
        <v>1793.414013</v>
      </c>
      <c r="D176" s="200">
        <f t="shared" si="1"/>
        <v>1253.227408</v>
      </c>
      <c r="E176" s="200">
        <f t="shared" si="2"/>
        <v>237868.641</v>
      </c>
      <c r="F176" s="1"/>
      <c r="G176" s="199">
        <v>173.0</v>
      </c>
      <c r="H176" s="200">
        <f>if(AND('Deal Analysis'!$D$37*12&lt;G176,'Deal Analysis'!$D$37&gt;0),0,H175)</f>
        <v>333.3333333</v>
      </c>
      <c r="I176" s="200">
        <f>if(H176&gt;0,'Deal Analysis'!$D$35/12*K175,0)</f>
        <v>333.3333333</v>
      </c>
      <c r="J176" s="200">
        <f t="shared" si="3"/>
        <v>0</v>
      </c>
      <c r="K176" s="200">
        <f>if(AND('Deal Analysis'!$D$37*12&lt;G176,'Deal Analysis'!$D$37&gt;0),0,K175-J176)</f>
        <v>50000</v>
      </c>
      <c r="L176" s="1"/>
      <c r="M176" s="199">
        <v>173.0</v>
      </c>
      <c r="N176" s="200">
        <f>if('Deal Analysis'!D214="Yes",'Deal Analysis'!D221,0)</f>
        <v>0</v>
      </c>
      <c r="O176" s="200">
        <f t="shared" si="4"/>
        <v>0</v>
      </c>
      <c r="P176" s="200">
        <f t="shared" si="5"/>
        <v>0</v>
      </c>
      <c r="Q176" s="200">
        <f>if(AND('Deal Analysis'!$D$47*12&lt;M176,'Deal Analysis'!$D$47&gt;0),0,Q175-P176)</f>
        <v>0</v>
      </c>
      <c r="R176" s="1"/>
      <c r="S176" s="1"/>
      <c r="T176" s="1"/>
      <c r="U176" s="1"/>
      <c r="V176" s="1"/>
      <c r="W176" s="1"/>
      <c r="X176" s="1"/>
      <c r="Y176" s="1"/>
      <c r="Z176" s="1"/>
      <c r="AA176" s="1"/>
    </row>
    <row r="177">
      <c r="A177" s="199">
        <v>174.0</v>
      </c>
      <c r="B177" s="200">
        <f t="shared" si="6"/>
        <v>3046.641421</v>
      </c>
      <c r="C177" s="200">
        <f>'Deal Analysis'!$D$24/12*E176</f>
        <v>1784.014808</v>
      </c>
      <c r="D177" s="200">
        <f t="shared" si="1"/>
        <v>1262.626613</v>
      </c>
      <c r="E177" s="200">
        <f t="shared" si="2"/>
        <v>236606.0144</v>
      </c>
      <c r="F177" s="1"/>
      <c r="G177" s="199">
        <v>174.0</v>
      </c>
      <c r="H177" s="200">
        <f>if(AND('Deal Analysis'!$D$37*12&lt;G177,'Deal Analysis'!$D$37&gt;0),0,H176)</f>
        <v>333.3333333</v>
      </c>
      <c r="I177" s="200">
        <f>if(H177&gt;0,'Deal Analysis'!$D$35/12*K176,0)</f>
        <v>333.3333333</v>
      </c>
      <c r="J177" s="200">
        <f t="shared" si="3"/>
        <v>0</v>
      </c>
      <c r="K177" s="200">
        <f>if(AND('Deal Analysis'!$D$37*12&lt;G177,'Deal Analysis'!$D$37&gt;0),0,K176-J177)</f>
        <v>50000</v>
      </c>
      <c r="L177" s="1"/>
      <c r="M177" s="199">
        <v>174.0</v>
      </c>
      <c r="N177" s="200">
        <f>if('Deal Analysis'!D215="Yes",'Deal Analysis'!D222,0)</f>
        <v>0</v>
      </c>
      <c r="O177" s="200">
        <f t="shared" si="4"/>
        <v>0</v>
      </c>
      <c r="P177" s="200">
        <f t="shared" si="5"/>
        <v>0</v>
      </c>
      <c r="Q177" s="200">
        <f>if(AND('Deal Analysis'!$D$47*12&lt;M177,'Deal Analysis'!$D$47&gt;0),0,Q176-P177)</f>
        <v>0</v>
      </c>
      <c r="R177" s="1"/>
      <c r="S177" s="1"/>
      <c r="T177" s="1"/>
      <c r="U177" s="1"/>
      <c r="V177" s="1"/>
      <c r="W177" s="1"/>
      <c r="X177" s="1"/>
      <c r="Y177" s="1"/>
      <c r="Z177" s="1"/>
      <c r="AA177" s="1"/>
    </row>
    <row r="178">
      <c r="A178" s="199">
        <v>175.0</v>
      </c>
      <c r="B178" s="200">
        <f t="shared" si="6"/>
        <v>3046.641421</v>
      </c>
      <c r="C178" s="200">
        <f>'Deal Analysis'!$D$24/12*E177</f>
        <v>1774.545108</v>
      </c>
      <c r="D178" s="200">
        <f t="shared" si="1"/>
        <v>1272.096313</v>
      </c>
      <c r="E178" s="200">
        <f t="shared" si="2"/>
        <v>235333.9181</v>
      </c>
      <c r="F178" s="1"/>
      <c r="G178" s="199">
        <v>175.0</v>
      </c>
      <c r="H178" s="200">
        <f>if(AND('Deal Analysis'!$D$37*12&lt;G178,'Deal Analysis'!$D$37&gt;0),0,H177)</f>
        <v>333.3333333</v>
      </c>
      <c r="I178" s="200">
        <f>if(H178&gt;0,'Deal Analysis'!$D$35/12*K177,0)</f>
        <v>333.3333333</v>
      </c>
      <c r="J178" s="200">
        <f t="shared" si="3"/>
        <v>0</v>
      </c>
      <c r="K178" s="200">
        <f>if(AND('Deal Analysis'!$D$37*12&lt;G178,'Deal Analysis'!$D$37&gt;0),0,K177-J178)</f>
        <v>50000</v>
      </c>
      <c r="L178" s="1"/>
      <c r="M178" s="199">
        <v>175.0</v>
      </c>
      <c r="N178" s="200">
        <f>if('Deal Analysis'!D216="Yes",'Deal Analysis'!D223,0)</f>
        <v>0</v>
      </c>
      <c r="O178" s="200">
        <f t="shared" si="4"/>
        <v>0</v>
      </c>
      <c r="P178" s="200">
        <f t="shared" si="5"/>
        <v>0</v>
      </c>
      <c r="Q178" s="200">
        <f>if(AND('Deal Analysis'!$D$47*12&lt;M178,'Deal Analysis'!$D$47&gt;0),0,Q177-P178)</f>
        <v>0</v>
      </c>
      <c r="R178" s="1"/>
      <c r="S178" s="1"/>
      <c r="T178" s="1"/>
      <c r="U178" s="1"/>
      <c r="V178" s="1"/>
      <c r="W178" s="1"/>
      <c r="X178" s="1"/>
      <c r="Y178" s="1"/>
      <c r="Z178" s="1"/>
      <c r="AA178" s="1"/>
    </row>
    <row r="179">
      <c r="A179" s="199">
        <v>176.0</v>
      </c>
      <c r="B179" s="200">
        <f t="shared" si="6"/>
        <v>3046.641421</v>
      </c>
      <c r="C179" s="200">
        <f>'Deal Analysis'!$D$24/12*E178</f>
        <v>1765.004386</v>
      </c>
      <c r="D179" s="200">
        <f t="shared" si="1"/>
        <v>1281.637035</v>
      </c>
      <c r="E179" s="200">
        <f t="shared" si="2"/>
        <v>234052.2811</v>
      </c>
      <c r="F179" s="1"/>
      <c r="G179" s="199">
        <v>176.0</v>
      </c>
      <c r="H179" s="200">
        <f>if(AND('Deal Analysis'!$D$37*12&lt;G179,'Deal Analysis'!$D$37&gt;0),0,H178)</f>
        <v>333.3333333</v>
      </c>
      <c r="I179" s="200">
        <f>if(H179&gt;0,'Deal Analysis'!$D$35/12*K178,0)</f>
        <v>333.3333333</v>
      </c>
      <c r="J179" s="200">
        <f t="shared" si="3"/>
        <v>0</v>
      </c>
      <c r="K179" s="200">
        <f>if(AND('Deal Analysis'!$D$37*12&lt;G179,'Deal Analysis'!$D$37&gt;0),0,K178-J179)</f>
        <v>50000</v>
      </c>
      <c r="L179" s="1"/>
      <c r="M179" s="199">
        <v>176.0</v>
      </c>
      <c r="N179" s="200">
        <f>if('Deal Analysis'!D217="Yes",'Deal Analysis'!D224,0)</f>
        <v>0</v>
      </c>
      <c r="O179" s="200">
        <f t="shared" si="4"/>
        <v>0</v>
      </c>
      <c r="P179" s="200">
        <f t="shared" si="5"/>
        <v>0</v>
      </c>
      <c r="Q179" s="200">
        <f>if(AND('Deal Analysis'!$D$47*12&lt;M179,'Deal Analysis'!$D$47&gt;0),0,Q178-P179)</f>
        <v>0</v>
      </c>
      <c r="R179" s="1"/>
      <c r="S179" s="1"/>
      <c r="T179" s="1"/>
      <c r="U179" s="1"/>
      <c r="V179" s="1"/>
      <c r="W179" s="1"/>
      <c r="X179" s="1"/>
      <c r="Y179" s="1"/>
      <c r="Z179" s="1"/>
      <c r="AA179" s="1"/>
    </row>
    <row r="180">
      <c r="A180" s="199">
        <v>177.0</v>
      </c>
      <c r="B180" s="200">
        <f t="shared" si="6"/>
        <v>3046.641421</v>
      </c>
      <c r="C180" s="200">
        <f>'Deal Analysis'!$D$24/12*E179</f>
        <v>1755.392108</v>
      </c>
      <c r="D180" s="200">
        <f t="shared" si="1"/>
        <v>1291.249313</v>
      </c>
      <c r="E180" s="200">
        <f t="shared" si="2"/>
        <v>232761.0318</v>
      </c>
      <c r="F180" s="1"/>
      <c r="G180" s="199">
        <v>177.0</v>
      </c>
      <c r="H180" s="200">
        <f>if(AND('Deal Analysis'!$D$37*12&lt;G180,'Deal Analysis'!$D$37&gt;0),0,H179)</f>
        <v>333.3333333</v>
      </c>
      <c r="I180" s="200">
        <f>if(H180&gt;0,'Deal Analysis'!$D$35/12*K179,0)</f>
        <v>333.3333333</v>
      </c>
      <c r="J180" s="200">
        <f t="shared" si="3"/>
        <v>0</v>
      </c>
      <c r="K180" s="200">
        <f>if(AND('Deal Analysis'!$D$37*12&lt;G180,'Deal Analysis'!$D$37&gt;0),0,K179-J180)</f>
        <v>50000</v>
      </c>
      <c r="L180" s="1"/>
      <c r="M180" s="199">
        <v>177.0</v>
      </c>
      <c r="N180" s="200">
        <f>if('Deal Analysis'!D218="Yes",'Deal Analysis'!D225,0)</f>
        <v>0</v>
      </c>
      <c r="O180" s="200">
        <f t="shared" si="4"/>
        <v>0</v>
      </c>
      <c r="P180" s="200">
        <f t="shared" si="5"/>
        <v>0</v>
      </c>
      <c r="Q180" s="200">
        <f>if(AND('Deal Analysis'!$D$47*12&lt;M180,'Deal Analysis'!$D$47&gt;0),0,Q179-P180)</f>
        <v>0</v>
      </c>
      <c r="R180" s="1"/>
      <c r="S180" s="1"/>
      <c r="T180" s="1"/>
      <c r="U180" s="1"/>
      <c r="V180" s="1"/>
      <c r="W180" s="1"/>
      <c r="X180" s="1"/>
      <c r="Y180" s="1"/>
      <c r="Z180" s="1"/>
      <c r="AA180" s="1"/>
    </row>
    <row r="181">
      <c r="A181" s="199">
        <v>178.0</v>
      </c>
      <c r="B181" s="200">
        <f t="shared" si="6"/>
        <v>3046.641421</v>
      </c>
      <c r="C181" s="200">
        <f>'Deal Analysis'!$D$24/12*E180</f>
        <v>1745.707738</v>
      </c>
      <c r="D181" s="200">
        <f t="shared" si="1"/>
        <v>1300.933683</v>
      </c>
      <c r="E181" s="200">
        <f t="shared" si="2"/>
        <v>231460.0981</v>
      </c>
      <c r="F181" s="1"/>
      <c r="G181" s="199">
        <v>178.0</v>
      </c>
      <c r="H181" s="200">
        <f>if(AND('Deal Analysis'!$D$37*12&lt;G181,'Deal Analysis'!$D$37&gt;0),0,H180)</f>
        <v>333.3333333</v>
      </c>
      <c r="I181" s="200">
        <f>if(H181&gt;0,'Deal Analysis'!$D$35/12*K180,0)</f>
        <v>333.3333333</v>
      </c>
      <c r="J181" s="200">
        <f t="shared" si="3"/>
        <v>0</v>
      </c>
      <c r="K181" s="200">
        <f>if(AND('Deal Analysis'!$D$37*12&lt;G181,'Deal Analysis'!$D$37&gt;0),0,K180-J181)</f>
        <v>50000</v>
      </c>
      <c r="L181" s="1"/>
      <c r="M181" s="199">
        <v>178.0</v>
      </c>
      <c r="N181" s="200">
        <f>if('Deal Analysis'!D219="Yes",'Deal Analysis'!D226,0)</f>
        <v>0</v>
      </c>
      <c r="O181" s="200">
        <f t="shared" si="4"/>
        <v>0</v>
      </c>
      <c r="P181" s="200">
        <f t="shared" si="5"/>
        <v>0</v>
      </c>
      <c r="Q181" s="200">
        <f>if(AND('Deal Analysis'!$D$47*12&lt;M181,'Deal Analysis'!$D$47&gt;0),0,Q180-P181)</f>
        <v>0</v>
      </c>
      <c r="R181" s="1"/>
      <c r="S181" s="1"/>
      <c r="T181" s="1"/>
      <c r="U181" s="1"/>
      <c r="V181" s="1"/>
      <c r="W181" s="1"/>
      <c r="X181" s="1"/>
      <c r="Y181" s="1"/>
      <c r="Z181" s="1"/>
      <c r="AA181" s="1"/>
    </row>
    <row r="182">
      <c r="A182" s="199">
        <v>179.0</v>
      </c>
      <c r="B182" s="200">
        <f t="shared" si="6"/>
        <v>3046.641421</v>
      </c>
      <c r="C182" s="200">
        <f>'Deal Analysis'!$D$24/12*E181</f>
        <v>1735.950736</v>
      </c>
      <c r="D182" s="200">
        <f t="shared" si="1"/>
        <v>1310.690685</v>
      </c>
      <c r="E182" s="200">
        <f t="shared" si="2"/>
        <v>230149.4074</v>
      </c>
      <c r="F182" s="1"/>
      <c r="G182" s="199">
        <v>179.0</v>
      </c>
      <c r="H182" s="200">
        <f>if(AND('Deal Analysis'!$D$37*12&lt;G182,'Deal Analysis'!$D$37&gt;0),0,H181)</f>
        <v>333.3333333</v>
      </c>
      <c r="I182" s="200">
        <f>if(H182&gt;0,'Deal Analysis'!$D$35/12*K181,0)</f>
        <v>333.3333333</v>
      </c>
      <c r="J182" s="200">
        <f t="shared" si="3"/>
        <v>0</v>
      </c>
      <c r="K182" s="200">
        <f>if(AND('Deal Analysis'!$D$37*12&lt;G182,'Deal Analysis'!$D$37&gt;0),0,K181-J182)</f>
        <v>50000</v>
      </c>
      <c r="L182" s="1"/>
      <c r="M182" s="199">
        <v>179.0</v>
      </c>
      <c r="N182" s="200">
        <f>if('Deal Analysis'!D220="Yes",'Deal Analysis'!D227,0)</f>
        <v>0</v>
      </c>
      <c r="O182" s="200">
        <f t="shared" si="4"/>
        <v>0</v>
      </c>
      <c r="P182" s="200">
        <f t="shared" si="5"/>
        <v>0</v>
      </c>
      <c r="Q182" s="200">
        <f>if(AND('Deal Analysis'!$D$47*12&lt;M182,'Deal Analysis'!$D$47&gt;0),0,Q181-P182)</f>
        <v>0</v>
      </c>
      <c r="R182" s="1"/>
      <c r="S182" s="1"/>
      <c r="T182" s="1"/>
      <c r="U182" s="1"/>
      <c r="V182" s="1"/>
      <c r="W182" s="1"/>
      <c r="X182" s="1"/>
      <c r="Y182" s="1"/>
      <c r="Z182" s="1"/>
      <c r="AA182" s="1"/>
    </row>
    <row r="183">
      <c r="A183" s="199">
        <v>180.0</v>
      </c>
      <c r="B183" s="200">
        <f t="shared" si="6"/>
        <v>3046.641421</v>
      </c>
      <c r="C183" s="200">
        <f>'Deal Analysis'!$D$24/12*E182</f>
        <v>1726.120555</v>
      </c>
      <c r="D183" s="200">
        <f t="shared" si="1"/>
        <v>1320.520866</v>
      </c>
      <c r="E183" s="200">
        <f t="shared" si="2"/>
        <v>228828.8865</v>
      </c>
      <c r="F183" s="1"/>
      <c r="G183" s="199">
        <v>180.0</v>
      </c>
      <c r="H183" s="200">
        <f>if(AND('Deal Analysis'!$D$37*12&lt;G183,'Deal Analysis'!$D$37&gt;0),0,H182)</f>
        <v>333.3333333</v>
      </c>
      <c r="I183" s="200">
        <f>if(H183&gt;0,'Deal Analysis'!$D$35/12*K182,0)</f>
        <v>333.3333333</v>
      </c>
      <c r="J183" s="200">
        <f t="shared" si="3"/>
        <v>0</v>
      </c>
      <c r="K183" s="200">
        <f>if(AND('Deal Analysis'!$D$37*12&lt;G183,'Deal Analysis'!$D$37&gt;0),0,K182-J183)</f>
        <v>50000</v>
      </c>
      <c r="L183" s="1"/>
      <c r="M183" s="199">
        <v>180.0</v>
      </c>
      <c r="N183" s="200">
        <f>if('Deal Analysis'!D221="Yes",'Deal Analysis'!D228,0)</f>
        <v>0</v>
      </c>
      <c r="O183" s="200">
        <f t="shared" si="4"/>
        <v>0</v>
      </c>
      <c r="P183" s="200">
        <f t="shared" si="5"/>
        <v>0</v>
      </c>
      <c r="Q183" s="200">
        <f>if(AND('Deal Analysis'!$D$47*12&lt;M183,'Deal Analysis'!$D$47&gt;0),0,Q182-P183)</f>
        <v>0</v>
      </c>
      <c r="R183" s="1"/>
      <c r="S183" s="1"/>
      <c r="T183" s="1"/>
      <c r="U183" s="1"/>
      <c r="V183" s="1"/>
      <c r="W183" s="1"/>
      <c r="X183" s="1"/>
      <c r="Y183" s="1"/>
      <c r="Z183" s="1"/>
      <c r="AA183" s="1"/>
    </row>
    <row r="184">
      <c r="A184" s="199">
        <v>181.0</v>
      </c>
      <c r="B184" s="200">
        <f t="shared" si="6"/>
        <v>3046.641421</v>
      </c>
      <c r="C184" s="200">
        <f>'Deal Analysis'!$D$24/12*E183</f>
        <v>1716.216649</v>
      </c>
      <c r="D184" s="200">
        <f t="shared" si="1"/>
        <v>1330.424772</v>
      </c>
      <c r="E184" s="200">
        <f t="shared" si="2"/>
        <v>227498.4617</v>
      </c>
      <c r="F184" s="1"/>
      <c r="G184" s="199">
        <v>181.0</v>
      </c>
      <c r="H184" s="200">
        <f>if(AND('Deal Analysis'!$D$37*12&lt;G184,'Deal Analysis'!$D$37&gt;0),0,H183)</f>
        <v>333.3333333</v>
      </c>
      <c r="I184" s="200">
        <f>if(H184&gt;0,'Deal Analysis'!$D$35/12*K183,0)</f>
        <v>333.3333333</v>
      </c>
      <c r="J184" s="200">
        <f t="shared" si="3"/>
        <v>0</v>
      </c>
      <c r="K184" s="200">
        <f>if(AND('Deal Analysis'!$D$37*12&lt;G184,'Deal Analysis'!$D$37&gt;0),0,K183-J184)</f>
        <v>50000</v>
      </c>
      <c r="L184" s="1"/>
      <c r="M184" s="199">
        <v>181.0</v>
      </c>
      <c r="N184" s="200">
        <f>if('Deal Analysis'!D222="Yes",'Deal Analysis'!D229,0)</f>
        <v>0</v>
      </c>
      <c r="O184" s="200">
        <f t="shared" si="4"/>
        <v>0</v>
      </c>
      <c r="P184" s="200">
        <f t="shared" si="5"/>
        <v>0</v>
      </c>
      <c r="Q184" s="200">
        <f>if(AND('Deal Analysis'!$D$47*12&lt;M184,'Deal Analysis'!$D$47&gt;0),0,Q183-P184)</f>
        <v>0</v>
      </c>
      <c r="R184" s="1"/>
      <c r="S184" s="1"/>
      <c r="T184" s="1"/>
      <c r="U184" s="1"/>
      <c r="V184" s="1"/>
      <c r="W184" s="1"/>
      <c r="X184" s="1"/>
      <c r="Y184" s="1"/>
      <c r="Z184" s="1"/>
      <c r="AA184" s="1"/>
    </row>
    <row r="185">
      <c r="A185" s="199">
        <v>182.0</v>
      </c>
      <c r="B185" s="200">
        <f t="shared" si="6"/>
        <v>3046.641421</v>
      </c>
      <c r="C185" s="200">
        <f>'Deal Analysis'!$D$24/12*E184</f>
        <v>1706.238463</v>
      </c>
      <c r="D185" s="200">
        <f t="shared" si="1"/>
        <v>1340.402958</v>
      </c>
      <c r="E185" s="200">
        <f t="shared" si="2"/>
        <v>226158.0588</v>
      </c>
      <c r="F185" s="1"/>
      <c r="G185" s="199">
        <v>182.0</v>
      </c>
      <c r="H185" s="200">
        <f>if(AND('Deal Analysis'!$D$37*12&lt;G185,'Deal Analysis'!$D$37&gt;0),0,H184)</f>
        <v>333.3333333</v>
      </c>
      <c r="I185" s="200">
        <f>if(H185&gt;0,'Deal Analysis'!$D$35/12*K184,0)</f>
        <v>333.3333333</v>
      </c>
      <c r="J185" s="200">
        <f t="shared" si="3"/>
        <v>0</v>
      </c>
      <c r="K185" s="200">
        <f>if(AND('Deal Analysis'!$D$37*12&lt;G185,'Deal Analysis'!$D$37&gt;0),0,K184-J185)</f>
        <v>50000</v>
      </c>
      <c r="L185" s="1"/>
      <c r="M185" s="199">
        <v>182.0</v>
      </c>
      <c r="N185" s="200">
        <f>if('Deal Analysis'!D223="Yes",'Deal Analysis'!D230,0)</f>
        <v>0</v>
      </c>
      <c r="O185" s="200">
        <f t="shared" si="4"/>
        <v>0</v>
      </c>
      <c r="P185" s="200">
        <f t="shared" si="5"/>
        <v>0</v>
      </c>
      <c r="Q185" s="200">
        <f>if(AND('Deal Analysis'!$D$47*12&lt;M185,'Deal Analysis'!$D$47&gt;0),0,Q184-P185)</f>
        <v>0</v>
      </c>
      <c r="R185" s="1"/>
      <c r="S185" s="1"/>
      <c r="T185" s="1"/>
      <c r="U185" s="1"/>
      <c r="V185" s="1"/>
      <c r="W185" s="1"/>
      <c r="X185" s="1"/>
      <c r="Y185" s="1"/>
      <c r="Z185" s="1"/>
      <c r="AA185" s="1"/>
    </row>
    <row r="186">
      <c r="A186" s="199">
        <v>183.0</v>
      </c>
      <c r="B186" s="200">
        <f t="shared" si="6"/>
        <v>3046.641421</v>
      </c>
      <c r="C186" s="200">
        <f>'Deal Analysis'!$D$24/12*E185</f>
        <v>1696.185441</v>
      </c>
      <c r="D186" s="200">
        <f t="shared" si="1"/>
        <v>1350.45598</v>
      </c>
      <c r="E186" s="200">
        <f t="shared" si="2"/>
        <v>224807.6028</v>
      </c>
      <c r="F186" s="1"/>
      <c r="G186" s="199">
        <v>183.0</v>
      </c>
      <c r="H186" s="200">
        <f>if(AND('Deal Analysis'!$D$37*12&lt;G186,'Deal Analysis'!$D$37&gt;0),0,H185)</f>
        <v>333.3333333</v>
      </c>
      <c r="I186" s="200">
        <f>if(H186&gt;0,'Deal Analysis'!$D$35/12*K185,0)</f>
        <v>333.3333333</v>
      </c>
      <c r="J186" s="200">
        <f t="shared" si="3"/>
        <v>0</v>
      </c>
      <c r="K186" s="200">
        <f>if(AND('Deal Analysis'!$D$37*12&lt;G186,'Deal Analysis'!$D$37&gt;0),0,K185-J186)</f>
        <v>50000</v>
      </c>
      <c r="L186" s="1"/>
      <c r="M186" s="199">
        <v>183.0</v>
      </c>
      <c r="N186" s="200">
        <f>if('Deal Analysis'!D224="Yes",'Deal Analysis'!D231,0)</f>
        <v>0</v>
      </c>
      <c r="O186" s="200">
        <f t="shared" si="4"/>
        <v>0</v>
      </c>
      <c r="P186" s="200">
        <f t="shared" si="5"/>
        <v>0</v>
      </c>
      <c r="Q186" s="200">
        <f>if(AND('Deal Analysis'!$D$47*12&lt;M186,'Deal Analysis'!$D$47&gt;0),0,Q185-P186)</f>
        <v>0</v>
      </c>
      <c r="R186" s="1"/>
      <c r="S186" s="1"/>
      <c r="T186" s="1"/>
      <c r="U186" s="1"/>
      <c r="V186" s="1"/>
      <c r="W186" s="1"/>
      <c r="X186" s="1"/>
      <c r="Y186" s="1"/>
      <c r="Z186" s="1"/>
      <c r="AA186" s="1"/>
    </row>
    <row r="187">
      <c r="A187" s="199">
        <v>184.0</v>
      </c>
      <c r="B187" s="200">
        <f t="shared" si="6"/>
        <v>3046.641421</v>
      </c>
      <c r="C187" s="200">
        <f>'Deal Analysis'!$D$24/12*E186</f>
        <v>1686.057021</v>
      </c>
      <c r="D187" s="200">
        <f t="shared" si="1"/>
        <v>1360.5844</v>
      </c>
      <c r="E187" s="200">
        <f t="shared" si="2"/>
        <v>223447.0184</v>
      </c>
      <c r="F187" s="1"/>
      <c r="G187" s="199">
        <v>184.0</v>
      </c>
      <c r="H187" s="200">
        <f>if(AND('Deal Analysis'!$D$37*12&lt;G187,'Deal Analysis'!$D$37&gt;0),0,H186)</f>
        <v>333.3333333</v>
      </c>
      <c r="I187" s="200">
        <f>if(H187&gt;0,'Deal Analysis'!$D$35/12*K186,0)</f>
        <v>333.3333333</v>
      </c>
      <c r="J187" s="200">
        <f t="shared" si="3"/>
        <v>0</v>
      </c>
      <c r="K187" s="200">
        <f>if(AND('Deal Analysis'!$D$37*12&lt;G187,'Deal Analysis'!$D$37&gt;0),0,K186-J187)</f>
        <v>50000</v>
      </c>
      <c r="L187" s="1"/>
      <c r="M187" s="199">
        <v>184.0</v>
      </c>
      <c r="N187" s="200">
        <f>if('Deal Analysis'!D225="Yes",'Deal Analysis'!D232,0)</f>
        <v>0</v>
      </c>
      <c r="O187" s="200">
        <f t="shared" si="4"/>
        <v>0</v>
      </c>
      <c r="P187" s="200">
        <f t="shared" si="5"/>
        <v>0</v>
      </c>
      <c r="Q187" s="200">
        <f>if(AND('Deal Analysis'!$D$47*12&lt;M187,'Deal Analysis'!$D$47&gt;0),0,Q186-P187)</f>
        <v>0</v>
      </c>
      <c r="R187" s="1"/>
      <c r="S187" s="1"/>
      <c r="T187" s="1"/>
      <c r="U187" s="1"/>
      <c r="V187" s="1"/>
      <c r="W187" s="1"/>
      <c r="X187" s="1"/>
      <c r="Y187" s="1"/>
      <c r="Z187" s="1"/>
      <c r="AA187" s="1"/>
    </row>
    <row r="188">
      <c r="A188" s="199">
        <v>185.0</v>
      </c>
      <c r="B188" s="200">
        <f t="shared" si="6"/>
        <v>3046.641421</v>
      </c>
      <c r="C188" s="200">
        <f>'Deal Analysis'!$D$24/12*E187</f>
        <v>1675.852638</v>
      </c>
      <c r="D188" s="200">
        <f t="shared" si="1"/>
        <v>1370.788783</v>
      </c>
      <c r="E188" s="200">
        <f t="shared" si="2"/>
        <v>222076.2296</v>
      </c>
      <c r="F188" s="1"/>
      <c r="G188" s="199">
        <v>185.0</v>
      </c>
      <c r="H188" s="200">
        <f>if(AND('Deal Analysis'!$D$37*12&lt;G188,'Deal Analysis'!$D$37&gt;0),0,H187)</f>
        <v>333.3333333</v>
      </c>
      <c r="I188" s="200">
        <f>if(H188&gt;0,'Deal Analysis'!$D$35/12*K187,0)</f>
        <v>333.3333333</v>
      </c>
      <c r="J188" s="200">
        <f t="shared" si="3"/>
        <v>0</v>
      </c>
      <c r="K188" s="200">
        <f>if(AND('Deal Analysis'!$D$37*12&lt;G188,'Deal Analysis'!$D$37&gt;0),0,K187-J188)</f>
        <v>50000</v>
      </c>
      <c r="L188" s="1"/>
      <c r="M188" s="199">
        <v>185.0</v>
      </c>
      <c r="N188" s="200">
        <f>if('Deal Analysis'!D226="Yes",'Deal Analysis'!D233,0)</f>
        <v>0</v>
      </c>
      <c r="O188" s="200">
        <f t="shared" si="4"/>
        <v>0</v>
      </c>
      <c r="P188" s="200">
        <f t="shared" si="5"/>
        <v>0</v>
      </c>
      <c r="Q188" s="200">
        <f>if(AND('Deal Analysis'!$D$47*12&lt;M188,'Deal Analysis'!$D$47&gt;0),0,Q187-P188)</f>
        <v>0</v>
      </c>
      <c r="R188" s="1"/>
      <c r="S188" s="1"/>
      <c r="T188" s="1"/>
      <c r="U188" s="1"/>
      <c r="V188" s="1"/>
      <c r="W188" s="1"/>
      <c r="X188" s="1"/>
      <c r="Y188" s="1"/>
      <c r="Z188" s="1"/>
      <c r="AA188" s="1"/>
    </row>
    <row r="189">
      <c r="A189" s="199">
        <v>186.0</v>
      </c>
      <c r="B189" s="200">
        <f t="shared" si="6"/>
        <v>3046.641421</v>
      </c>
      <c r="C189" s="200">
        <f>'Deal Analysis'!$D$24/12*E188</f>
        <v>1665.571722</v>
      </c>
      <c r="D189" s="200">
        <f t="shared" si="1"/>
        <v>1381.069699</v>
      </c>
      <c r="E189" s="200">
        <f t="shared" si="2"/>
        <v>220695.1599</v>
      </c>
      <c r="F189" s="1"/>
      <c r="G189" s="199">
        <v>186.0</v>
      </c>
      <c r="H189" s="200">
        <f>if(AND('Deal Analysis'!$D$37*12&lt;G189,'Deal Analysis'!$D$37&gt;0),0,H188)</f>
        <v>333.3333333</v>
      </c>
      <c r="I189" s="200">
        <f>if(H189&gt;0,'Deal Analysis'!$D$35/12*K188,0)</f>
        <v>333.3333333</v>
      </c>
      <c r="J189" s="200">
        <f t="shared" si="3"/>
        <v>0</v>
      </c>
      <c r="K189" s="200">
        <f>if(AND('Deal Analysis'!$D$37*12&lt;G189,'Deal Analysis'!$D$37&gt;0),0,K188-J189)</f>
        <v>50000</v>
      </c>
      <c r="L189" s="1"/>
      <c r="M189" s="199">
        <v>186.0</v>
      </c>
      <c r="N189" s="200">
        <f>if('Deal Analysis'!D227="Yes",'Deal Analysis'!D234,0)</f>
        <v>0</v>
      </c>
      <c r="O189" s="200">
        <f t="shared" si="4"/>
        <v>0</v>
      </c>
      <c r="P189" s="200">
        <f t="shared" si="5"/>
        <v>0</v>
      </c>
      <c r="Q189" s="200">
        <f>if(AND('Deal Analysis'!$D$47*12&lt;M189,'Deal Analysis'!$D$47&gt;0),0,Q188-P189)</f>
        <v>0</v>
      </c>
      <c r="R189" s="1"/>
      <c r="S189" s="1"/>
      <c r="T189" s="1"/>
      <c r="U189" s="1"/>
      <c r="V189" s="1"/>
      <c r="W189" s="1"/>
      <c r="X189" s="1"/>
      <c r="Y189" s="1"/>
      <c r="Z189" s="1"/>
      <c r="AA189" s="1"/>
    </row>
    <row r="190">
      <c r="A190" s="199">
        <v>187.0</v>
      </c>
      <c r="B190" s="200">
        <f t="shared" si="6"/>
        <v>3046.641421</v>
      </c>
      <c r="C190" s="200">
        <f>'Deal Analysis'!$D$24/12*E189</f>
        <v>1655.213699</v>
      </c>
      <c r="D190" s="200">
        <f t="shared" si="1"/>
        <v>1391.427722</v>
      </c>
      <c r="E190" s="200">
        <f t="shared" si="2"/>
        <v>219303.7322</v>
      </c>
      <c r="F190" s="1"/>
      <c r="G190" s="199">
        <v>187.0</v>
      </c>
      <c r="H190" s="200">
        <f>if(AND('Deal Analysis'!$D$37*12&lt;G190,'Deal Analysis'!$D$37&gt;0),0,H189)</f>
        <v>333.3333333</v>
      </c>
      <c r="I190" s="200">
        <f>if(H190&gt;0,'Deal Analysis'!$D$35/12*K189,0)</f>
        <v>333.3333333</v>
      </c>
      <c r="J190" s="200">
        <f t="shared" si="3"/>
        <v>0</v>
      </c>
      <c r="K190" s="200">
        <f>if(AND('Deal Analysis'!$D$37*12&lt;G190,'Deal Analysis'!$D$37&gt;0),0,K189-J190)</f>
        <v>50000</v>
      </c>
      <c r="L190" s="1"/>
      <c r="M190" s="199">
        <v>187.0</v>
      </c>
      <c r="N190" s="200">
        <f>if('Deal Analysis'!D228="Yes",'Deal Analysis'!D235,0)</f>
        <v>0</v>
      </c>
      <c r="O190" s="200">
        <f t="shared" si="4"/>
        <v>0</v>
      </c>
      <c r="P190" s="200">
        <f t="shared" si="5"/>
        <v>0</v>
      </c>
      <c r="Q190" s="200">
        <f>if(AND('Deal Analysis'!$D$47*12&lt;M190,'Deal Analysis'!$D$47&gt;0),0,Q189-P190)</f>
        <v>0</v>
      </c>
      <c r="R190" s="1"/>
      <c r="S190" s="1"/>
      <c r="T190" s="1"/>
      <c r="U190" s="1"/>
      <c r="V190" s="1"/>
      <c r="W190" s="1"/>
      <c r="X190" s="1"/>
      <c r="Y190" s="1"/>
      <c r="Z190" s="1"/>
      <c r="AA190" s="1"/>
    </row>
    <row r="191">
      <c r="A191" s="199">
        <v>188.0</v>
      </c>
      <c r="B191" s="200">
        <f t="shared" si="6"/>
        <v>3046.641421</v>
      </c>
      <c r="C191" s="200">
        <f>'Deal Analysis'!$D$24/12*E190</f>
        <v>1644.777992</v>
      </c>
      <c r="D191" s="200">
        <f t="shared" si="1"/>
        <v>1401.863429</v>
      </c>
      <c r="E191" s="200">
        <f t="shared" si="2"/>
        <v>217901.8688</v>
      </c>
      <c r="F191" s="1"/>
      <c r="G191" s="199">
        <v>188.0</v>
      </c>
      <c r="H191" s="200">
        <f>if(AND('Deal Analysis'!$D$37*12&lt;G191,'Deal Analysis'!$D$37&gt;0),0,H190)</f>
        <v>333.3333333</v>
      </c>
      <c r="I191" s="200">
        <f>if(H191&gt;0,'Deal Analysis'!$D$35/12*K190,0)</f>
        <v>333.3333333</v>
      </c>
      <c r="J191" s="200">
        <f t="shared" si="3"/>
        <v>0</v>
      </c>
      <c r="K191" s="200">
        <f>if(AND('Deal Analysis'!$D$37*12&lt;G191,'Deal Analysis'!$D$37&gt;0),0,K190-J191)</f>
        <v>50000</v>
      </c>
      <c r="L191" s="1"/>
      <c r="M191" s="199">
        <v>188.0</v>
      </c>
      <c r="N191" s="200">
        <f>if('Deal Analysis'!D229="Yes",'Deal Analysis'!D236,0)</f>
        <v>0</v>
      </c>
      <c r="O191" s="200">
        <f t="shared" si="4"/>
        <v>0</v>
      </c>
      <c r="P191" s="200">
        <f t="shared" si="5"/>
        <v>0</v>
      </c>
      <c r="Q191" s="200">
        <f>if(AND('Deal Analysis'!$D$47*12&lt;M191,'Deal Analysis'!$D$47&gt;0),0,Q190-P191)</f>
        <v>0</v>
      </c>
      <c r="R191" s="1"/>
      <c r="S191" s="1"/>
      <c r="T191" s="1"/>
      <c r="U191" s="1"/>
      <c r="V191" s="1"/>
      <c r="W191" s="1"/>
      <c r="X191" s="1"/>
      <c r="Y191" s="1"/>
      <c r="Z191" s="1"/>
      <c r="AA191" s="1"/>
    </row>
    <row r="192">
      <c r="A192" s="199">
        <v>189.0</v>
      </c>
      <c r="B192" s="200">
        <f t="shared" si="6"/>
        <v>3046.641421</v>
      </c>
      <c r="C192" s="200">
        <f>'Deal Analysis'!$D$24/12*E191</f>
        <v>1634.264016</v>
      </c>
      <c r="D192" s="200">
        <f t="shared" si="1"/>
        <v>1412.377405</v>
      </c>
      <c r="E192" s="200">
        <f t="shared" si="2"/>
        <v>216489.4914</v>
      </c>
      <c r="F192" s="1"/>
      <c r="G192" s="199">
        <v>189.0</v>
      </c>
      <c r="H192" s="200">
        <f>if(AND('Deal Analysis'!$D$37*12&lt;G192,'Deal Analysis'!$D$37&gt;0),0,H191)</f>
        <v>333.3333333</v>
      </c>
      <c r="I192" s="200">
        <f>if(H192&gt;0,'Deal Analysis'!$D$35/12*K191,0)</f>
        <v>333.3333333</v>
      </c>
      <c r="J192" s="200">
        <f t="shared" si="3"/>
        <v>0</v>
      </c>
      <c r="K192" s="200">
        <f>if(AND('Deal Analysis'!$D$37*12&lt;G192,'Deal Analysis'!$D$37&gt;0),0,K191-J192)</f>
        <v>50000</v>
      </c>
      <c r="L192" s="1"/>
      <c r="M192" s="199">
        <v>189.0</v>
      </c>
      <c r="N192" s="200">
        <f>if('Deal Analysis'!D230="Yes",'Deal Analysis'!D237,0)</f>
        <v>0</v>
      </c>
      <c r="O192" s="200">
        <f t="shared" si="4"/>
        <v>0</v>
      </c>
      <c r="P192" s="200">
        <f t="shared" si="5"/>
        <v>0</v>
      </c>
      <c r="Q192" s="200">
        <f>if(AND('Deal Analysis'!$D$47*12&lt;M192,'Deal Analysis'!$D$47&gt;0),0,Q191-P192)</f>
        <v>0</v>
      </c>
      <c r="R192" s="1"/>
      <c r="S192" s="1"/>
      <c r="T192" s="1"/>
      <c r="U192" s="1"/>
      <c r="V192" s="1"/>
      <c r="W192" s="1"/>
      <c r="X192" s="1"/>
      <c r="Y192" s="1"/>
      <c r="Z192" s="1"/>
      <c r="AA192" s="1"/>
    </row>
    <row r="193">
      <c r="A193" s="199">
        <v>190.0</v>
      </c>
      <c r="B193" s="200">
        <f t="shared" si="6"/>
        <v>3046.641421</v>
      </c>
      <c r="C193" s="200">
        <f>'Deal Analysis'!$D$24/12*E192</f>
        <v>1623.671185</v>
      </c>
      <c r="D193" s="200">
        <f t="shared" si="1"/>
        <v>1422.970236</v>
      </c>
      <c r="E193" s="200">
        <f t="shared" si="2"/>
        <v>215066.5211</v>
      </c>
      <c r="F193" s="1"/>
      <c r="G193" s="199">
        <v>190.0</v>
      </c>
      <c r="H193" s="200">
        <f>if(AND('Deal Analysis'!$D$37*12&lt;G193,'Deal Analysis'!$D$37&gt;0),0,H192)</f>
        <v>333.3333333</v>
      </c>
      <c r="I193" s="200">
        <f>if(H193&gt;0,'Deal Analysis'!$D$35/12*K192,0)</f>
        <v>333.3333333</v>
      </c>
      <c r="J193" s="200">
        <f t="shared" si="3"/>
        <v>0</v>
      </c>
      <c r="K193" s="200">
        <f>if(AND('Deal Analysis'!$D$37*12&lt;G193,'Deal Analysis'!$D$37&gt;0),0,K192-J193)</f>
        <v>50000</v>
      </c>
      <c r="L193" s="1"/>
      <c r="M193" s="199">
        <v>190.0</v>
      </c>
      <c r="N193" s="200">
        <f>if('Deal Analysis'!D231="Yes",'Deal Analysis'!D238,0)</f>
        <v>0</v>
      </c>
      <c r="O193" s="200">
        <f t="shared" si="4"/>
        <v>0</v>
      </c>
      <c r="P193" s="200">
        <f t="shared" si="5"/>
        <v>0</v>
      </c>
      <c r="Q193" s="200">
        <f>if(AND('Deal Analysis'!$D$47*12&lt;M193,'Deal Analysis'!$D$47&gt;0),0,Q192-P193)</f>
        <v>0</v>
      </c>
      <c r="R193" s="1"/>
      <c r="S193" s="1"/>
      <c r="T193" s="1"/>
      <c r="U193" s="1"/>
      <c r="V193" s="1"/>
      <c r="W193" s="1"/>
      <c r="X193" s="1"/>
      <c r="Y193" s="1"/>
      <c r="Z193" s="1"/>
      <c r="AA193" s="1"/>
    </row>
    <row r="194">
      <c r="A194" s="199">
        <v>191.0</v>
      </c>
      <c r="B194" s="200">
        <f t="shared" si="6"/>
        <v>3046.641421</v>
      </c>
      <c r="C194" s="200">
        <f>'Deal Analysis'!$D$24/12*E193</f>
        <v>1612.998909</v>
      </c>
      <c r="D194" s="200">
        <f t="shared" si="1"/>
        <v>1433.642512</v>
      </c>
      <c r="E194" s="200">
        <f t="shared" si="2"/>
        <v>213632.8786</v>
      </c>
      <c r="F194" s="1"/>
      <c r="G194" s="199">
        <v>191.0</v>
      </c>
      <c r="H194" s="200">
        <f>if(AND('Deal Analysis'!$D$37*12&lt;G194,'Deal Analysis'!$D$37&gt;0),0,H193)</f>
        <v>333.3333333</v>
      </c>
      <c r="I194" s="200">
        <f>if(H194&gt;0,'Deal Analysis'!$D$35/12*K193,0)</f>
        <v>333.3333333</v>
      </c>
      <c r="J194" s="200">
        <f t="shared" si="3"/>
        <v>0</v>
      </c>
      <c r="K194" s="200">
        <f>if(AND('Deal Analysis'!$D$37*12&lt;G194,'Deal Analysis'!$D$37&gt;0),0,K193-J194)</f>
        <v>50000</v>
      </c>
      <c r="L194" s="1"/>
      <c r="M194" s="199">
        <v>191.0</v>
      </c>
      <c r="N194" s="200">
        <f>if('Deal Analysis'!D232="Yes",'Deal Analysis'!D239,0)</f>
        <v>0</v>
      </c>
      <c r="O194" s="200">
        <f t="shared" si="4"/>
        <v>0</v>
      </c>
      <c r="P194" s="200">
        <f t="shared" si="5"/>
        <v>0</v>
      </c>
      <c r="Q194" s="200">
        <f>if(AND('Deal Analysis'!$D$47*12&lt;M194,'Deal Analysis'!$D$47&gt;0),0,Q193-P194)</f>
        <v>0</v>
      </c>
      <c r="R194" s="1"/>
      <c r="S194" s="1"/>
      <c r="T194" s="1"/>
      <c r="U194" s="1"/>
      <c r="V194" s="1"/>
      <c r="W194" s="1"/>
      <c r="X194" s="1"/>
      <c r="Y194" s="1"/>
      <c r="Z194" s="1"/>
      <c r="AA194" s="1"/>
    </row>
    <row r="195">
      <c r="A195" s="199">
        <v>192.0</v>
      </c>
      <c r="B195" s="200">
        <f t="shared" si="6"/>
        <v>3046.641421</v>
      </c>
      <c r="C195" s="200">
        <f>'Deal Analysis'!$D$24/12*E194</f>
        <v>1602.24659</v>
      </c>
      <c r="D195" s="200">
        <f t="shared" si="1"/>
        <v>1444.394831</v>
      </c>
      <c r="E195" s="200">
        <f t="shared" si="2"/>
        <v>212188.4838</v>
      </c>
      <c r="F195" s="1"/>
      <c r="G195" s="199">
        <v>192.0</v>
      </c>
      <c r="H195" s="200">
        <f>if(AND('Deal Analysis'!$D$37*12&lt;G195,'Deal Analysis'!$D$37&gt;0),0,H194)</f>
        <v>333.3333333</v>
      </c>
      <c r="I195" s="200">
        <f>if(H195&gt;0,'Deal Analysis'!$D$35/12*K194,0)</f>
        <v>333.3333333</v>
      </c>
      <c r="J195" s="200">
        <f t="shared" si="3"/>
        <v>0</v>
      </c>
      <c r="K195" s="200">
        <f>if(AND('Deal Analysis'!$D$37*12&lt;G195,'Deal Analysis'!$D$37&gt;0),0,K194-J195)</f>
        <v>50000</v>
      </c>
      <c r="L195" s="1"/>
      <c r="M195" s="199">
        <v>192.0</v>
      </c>
      <c r="N195" s="200">
        <f>if('Deal Analysis'!D233="Yes",'Deal Analysis'!D240,0)</f>
        <v>0</v>
      </c>
      <c r="O195" s="200">
        <f t="shared" si="4"/>
        <v>0</v>
      </c>
      <c r="P195" s="200">
        <f t="shared" si="5"/>
        <v>0</v>
      </c>
      <c r="Q195" s="200">
        <f>if(AND('Deal Analysis'!$D$47*12&lt;M195,'Deal Analysis'!$D$47&gt;0),0,Q194-P195)</f>
        <v>0</v>
      </c>
      <c r="R195" s="1"/>
      <c r="S195" s="1"/>
      <c r="T195" s="1"/>
      <c r="U195" s="1"/>
      <c r="V195" s="1"/>
      <c r="W195" s="1"/>
      <c r="X195" s="1"/>
      <c r="Y195" s="1"/>
      <c r="Z195" s="1"/>
      <c r="AA195" s="1"/>
    </row>
    <row r="196">
      <c r="A196" s="199">
        <v>193.0</v>
      </c>
      <c r="B196" s="200">
        <f t="shared" si="6"/>
        <v>3046.641421</v>
      </c>
      <c r="C196" s="200">
        <f>'Deal Analysis'!$D$24/12*E195</f>
        <v>1591.413628</v>
      </c>
      <c r="D196" s="200">
        <f t="shared" si="1"/>
        <v>1455.227793</v>
      </c>
      <c r="E196" s="200">
        <f t="shared" si="2"/>
        <v>210733.256</v>
      </c>
      <c r="F196" s="1"/>
      <c r="G196" s="199">
        <v>193.0</v>
      </c>
      <c r="H196" s="200">
        <f>if(AND('Deal Analysis'!$D$37*12&lt;G196,'Deal Analysis'!$D$37&gt;0),0,H195)</f>
        <v>333.3333333</v>
      </c>
      <c r="I196" s="200">
        <f>if(H196&gt;0,'Deal Analysis'!$D$35/12*K195,0)</f>
        <v>333.3333333</v>
      </c>
      <c r="J196" s="200">
        <f t="shared" si="3"/>
        <v>0</v>
      </c>
      <c r="K196" s="200">
        <f>if(AND('Deal Analysis'!$D$37*12&lt;G196,'Deal Analysis'!$D$37&gt;0),0,K195-J196)</f>
        <v>50000</v>
      </c>
      <c r="L196" s="1"/>
      <c r="M196" s="199">
        <v>193.0</v>
      </c>
      <c r="N196" s="200">
        <f>if('Deal Analysis'!D234="Yes",'Deal Analysis'!D241,0)</f>
        <v>0</v>
      </c>
      <c r="O196" s="200">
        <f t="shared" si="4"/>
        <v>0</v>
      </c>
      <c r="P196" s="200">
        <f t="shared" si="5"/>
        <v>0</v>
      </c>
      <c r="Q196" s="200">
        <f>if(AND('Deal Analysis'!$D$47*12&lt;M196,'Deal Analysis'!$D$47&gt;0),0,Q195-P196)</f>
        <v>0</v>
      </c>
      <c r="R196" s="1"/>
      <c r="S196" s="1"/>
      <c r="T196" s="1"/>
      <c r="U196" s="1"/>
      <c r="V196" s="1"/>
      <c r="W196" s="1"/>
      <c r="X196" s="1"/>
      <c r="Y196" s="1"/>
      <c r="Z196" s="1"/>
      <c r="AA196" s="1"/>
    </row>
    <row r="197">
      <c r="A197" s="199">
        <v>194.0</v>
      </c>
      <c r="B197" s="200">
        <f t="shared" si="6"/>
        <v>3046.641421</v>
      </c>
      <c r="C197" s="200">
        <f>'Deal Analysis'!$D$24/12*E196</f>
        <v>1580.49942</v>
      </c>
      <c r="D197" s="200">
        <f t="shared" si="1"/>
        <v>1466.142001</v>
      </c>
      <c r="E197" s="200">
        <f t="shared" si="2"/>
        <v>209267.114</v>
      </c>
      <c r="F197" s="1"/>
      <c r="G197" s="199">
        <v>194.0</v>
      </c>
      <c r="H197" s="200">
        <f>if(AND('Deal Analysis'!$D$37*12&lt;G197,'Deal Analysis'!$D$37&gt;0),0,H196)</f>
        <v>333.3333333</v>
      </c>
      <c r="I197" s="200">
        <f>if(H197&gt;0,'Deal Analysis'!$D$35/12*K196,0)</f>
        <v>333.3333333</v>
      </c>
      <c r="J197" s="200">
        <f t="shared" si="3"/>
        <v>0</v>
      </c>
      <c r="K197" s="200">
        <f>if(AND('Deal Analysis'!$D$37*12&lt;G197,'Deal Analysis'!$D$37&gt;0),0,K196-J197)</f>
        <v>50000</v>
      </c>
      <c r="L197" s="1"/>
      <c r="M197" s="199">
        <v>194.0</v>
      </c>
      <c r="N197" s="200">
        <f>if('Deal Analysis'!D235="Yes",'Deal Analysis'!D242,0)</f>
        <v>0</v>
      </c>
      <c r="O197" s="200">
        <f t="shared" si="4"/>
        <v>0</v>
      </c>
      <c r="P197" s="200">
        <f t="shared" si="5"/>
        <v>0</v>
      </c>
      <c r="Q197" s="200">
        <f>if(AND('Deal Analysis'!$D$47*12&lt;M197,'Deal Analysis'!$D$47&gt;0),0,Q196-P197)</f>
        <v>0</v>
      </c>
      <c r="R197" s="1"/>
      <c r="S197" s="1"/>
      <c r="T197" s="1"/>
      <c r="U197" s="1"/>
      <c r="V197" s="1"/>
      <c r="W197" s="1"/>
      <c r="X197" s="1"/>
      <c r="Y197" s="1"/>
      <c r="Z197" s="1"/>
      <c r="AA197" s="1"/>
    </row>
    <row r="198">
      <c r="A198" s="199">
        <v>195.0</v>
      </c>
      <c r="B198" s="200">
        <f t="shared" si="6"/>
        <v>3046.641421</v>
      </c>
      <c r="C198" s="200">
        <f>'Deal Analysis'!$D$24/12*E197</f>
        <v>1569.503355</v>
      </c>
      <c r="D198" s="200">
        <f t="shared" si="1"/>
        <v>1477.138066</v>
      </c>
      <c r="E198" s="200">
        <f t="shared" si="2"/>
        <v>207789.9759</v>
      </c>
      <c r="F198" s="1"/>
      <c r="G198" s="199">
        <v>195.0</v>
      </c>
      <c r="H198" s="200">
        <f>if(AND('Deal Analysis'!$D$37*12&lt;G198,'Deal Analysis'!$D$37&gt;0),0,H197)</f>
        <v>333.3333333</v>
      </c>
      <c r="I198" s="200">
        <f>if(H198&gt;0,'Deal Analysis'!$D$35/12*K197,0)</f>
        <v>333.3333333</v>
      </c>
      <c r="J198" s="200">
        <f t="shared" si="3"/>
        <v>0</v>
      </c>
      <c r="K198" s="200">
        <f>if(AND('Deal Analysis'!$D$37*12&lt;G198,'Deal Analysis'!$D$37&gt;0),0,K197-J198)</f>
        <v>50000</v>
      </c>
      <c r="L198" s="1"/>
      <c r="M198" s="199">
        <v>195.0</v>
      </c>
      <c r="N198" s="200">
        <f>if('Deal Analysis'!D236="Yes",'Deal Analysis'!D243,0)</f>
        <v>0</v>
      </c>
      <c r="O198" s="200">
        <f t="shared" si="4"/>
        <v>0</v>
      </c>
      <c r="P198" s="200">
        <f t="shared" si="5"/>
        <v>0</v>
      </c>
      <c r="Q198" s="200">
        <f>if(AND('Deal Analysis'!$D$47*12&lt;M198,'Deal Analysis'!$D$47&gt;0),0,Q197-P198)</f>
        <v>0</v>
      </c>
      <c r="R198" s="1"/>
      <c r="S198" s="1"/>
      <c r="T198" s="1"/>
      <c r="U198" s="1"/>
      <c r="V198" s="1"/>
      <c r="W198" s="1"/>
      <c r="X198" s="1"/>
      <c r="Y198" s="1"/>
      <c r="Z198" s="1"/>
      <c r="AA198" s="1"/>
    </row>
    <row r="199">
      <c r="A199" s="199">
        <v>196.0</v>
      </c>
      <c r="B199" s="200">
        <f t="shared" si="6"/>
        <v>3046.641421</v>
      </c>
      <c r="C199" s="200">
        <f>'Deal Analysis'!$D$24/12*E198</f>
        <v>1558.424819</v>
      </c>
      <c r="D199" s="200">
        <f t="shared" si="1"/>
        <v>1488.216602</v>
      </c>
      <c r="E199" s="200">
        <f t="shared" si="2"/>
        <v>206301.7593</v>
      </c>
      <c r="F199" s="1"/>
      <c r="G199" s="199">
        <v>196.0</v>
      </c>
      <c r="H199" s="200">
        <f>if(AND('Deal Analysis'!$D$37*12&lt;G199,'Deal Analysis'!$D$37&gt;0),0,H198)</f>
        <v>333.3333333</v>
      </c>
      <c r="I199" s="200">
        <f>if(H199&gt;0,'Deal Analysis'!$D$35/12*K198,0)</f>
        <v>333.3333333</v>
      </c>
      <c r="J199" s="200">
        <f t="shared" si="3"/>
        <v>0</v>
      </c>
      <c r="K199" s="200">
        <f>if(AND('Deal Analysis'!$D$37*12&lt;G199,'Deal Analysis'!$D$37&gt;0),0,K198-J199)</f>
        <v>50000</v>
      </c>
      <c r="L199" s="1"/>
      <c r="M199" s="199">
        <v>196.0</v>
      </c>
      <c r="N199" s="200">
        <f>if('Deal Analysis'!D237="Yes",'Deal Analysis'!D244,0)</f>
        <v>0</v>
      </c>
      <c r="O199" s="200">
        <f t="shared" si="4"/>
        <v>0</v>
      </c>
      <c r="P199" s="200">
        <f t="shared" si="5"/>
        <v>0</v>
      </c>
      <c r="Q199" s="200">
        <f>if(AND('Deal Analysis'!$D$47*12&lt;M199,'Deal Analysis'!$D$47&gt;0),0,Q198-P199)</f>
        <v>0</v>
      </c>
      <c r="R199" s="1"/>
      <c r="S199" s="1"/>
      <c r="T199" s="1"/>
      <c r="U199" s="1"/>
      <c r="V199" s="1"/>
      <c r="W199" s="1"/>
      <c r="X199" s="1"/>
      <c r="Y199" s="1"/>
      <c r="Z199" s="1"/>
      <c r="AA199" s="1"/>
    </row>
    <row r="200">
      <c r="A200" s="199">
        <v>197.0</v>
      </c>
      <c r="B200" s="200">
        <f t="shared" si="6"/>
        <v>3046.641421</v>
      </c>
      <c r="C200" s="200">
        <f>'Deal Analysis'!$D$24/12*E199</f>
        <v>1547.263195</v>
      </c>
      <c r="D200" s="200">
        <f t="shared" si="1"/>
        <v>1499.378226</v>
      </c>
      <c r="E200" s="200">
        <f t="shared" si="2"/>
        <v>204802.3811</v>
      </c>
      <c r="F200" s="1"/>
      <c r="G200" s="199">
        <v>197.0</v>
      </c>
      <c r="H200" s="200">
        <f>if(AND('Deal Analysis'!$D$37*12&lt;G200,'Deal Analysis'!$D$37&gt;0),0,H199)</f>
        <v>333.3333333</v>
      </c>
      <c r="I200" s="200">
        <f>if(H200&gt;0,'Deal Analysis'!$D$35/12*K199,0)</f>
        <v>333.3333333</v>
      </c>
      <c r="J200" s="200">
        <f t="shared" si="3"/>
        <v>0</v>
      </c>
      <c r="K200" s="200">
        <f>if(AND('Deal Analysis'!$D$37*12&lt;G200,'Deal Analysis'!$D$37&gt;0),0,K199-J200)</f>
        <v>50000</v>
      </c>
      <c r="L200" s="1"/>
      <c r="M200" s="199">
        <v>197.0</v>
      </c>
      <c r="N200" s="200">
        <f>if('Deal Analysis'!D238="Yes",'Deal Analysis'!D245,0)</f>
        <v>0</v>
      </c>
      <c r="O200" s="200">
        <f t="shared" si="4"/>
        <v>0</v>
      </c>
      <c r="P200" s="200">
        <f t="shared" si="5"/>
        <v>0</v>
      </c>
      <c r="Q200" s="200">
        <f>if(AND('Deal Analysis'!$D$47*12&lt;M200,'Deal Analysis'!$D$47&gt;0),0,Q199-P200)</f>
        <v>0</v>
      </c>
      <c r="R200" s="1"/>
      <c r="S200" s="1"/>
      <c r="T200" s="1"/>
      <c r="U200" s="1"/>
      <c r="V200" s="1"/>
      <c r="W200" s="1"/>
      <c r="X200" s="1"/>
      <c r="Y200" s="1"/>
      <c r="Z200" s="1"/>
      <c r="AA200" s="1"/>
    </row>
    <row r="201">
      <c r="A201" s="199">
        <v>198.0</v>
      </c>
      <c r="B201" s="200">
        <f t="shared" si="6"/>
        <v>3046.641421</v>
      </c>
      <c r="C201" s="200">
        <f>'Deal Analysis'!$D$24/12*E200</f>
        <v>1536.017858</v>
      </c>
      <c r="D201" s="200">
        <f t="shared" si="1"/>
        <v>1510.623563</v>
      </c>
      <c r="E201" s="200">
        <f t="shared" si="2"/>
        <v>203291.7575</v>
      </c>
      <c r="F201" s="1"/>
      <c r="G201" s="199">
        <v>198.0</v>
      </c>
      <c r="H201" s="200">
        <f>if(AND('Deal Analysis'!$D$37*12&lt;G201,'Deal Analysis'!$D$37&gt;0),0,H200)</f>
        <v>333.3333333</v>
      </c>
      <c r="I201" s="200">
        <f>if(H201&gt;0,'Deal Analysis'!$D$35/12*K200,0)</f>
        <v>333.3333333</v>
      </c>
      <c r="J201" s="200">
        <f t="shared" si="3"/>
        <v>0</v>
      </c>
      <c r="K201" s="200">
        <f>if(AND('Deal Analysis'!$D$37*12&lt;G201,'Deal Analysis'!$D$37&gt;0),0,K200-J201)</f>
        <v>50000</v>
      </c>
      <c r="L201" s="1"/>
      <c r="M201" s="199">
        <v>198.0</v>
      </c>
      <c r="N201" s="200">
        <f>if('Deal Analysis'!D239="Yes",'Deal Analysis'!D246,0)</f>
        <v>0</v>
      </c>
      <c r="O201" s="200">
        <f t="shared" si="4"/>
        <v>0</v>
      </c>
      <c r="P201" s="200">
        <f t="shared" si="5"/>
        <v>0</v>
      </c>
      <c r="Q201" s="200">
        <f>if(AND('Deal Analysis'!$D$47*12&lt;M201,'Deal Analysis'!$D$47&gt;0),0,Q200-P201)</f>
        <v>0</v>
      </c>
      <c r="R201" s="1"/>
      <c r="S201" s="1"/>
      <c r="T201" s="1"/>
      <c r="U201" s="1"/>
      <c r="V201" s="1"/>
      <c r="W201" s="1"/>
      <c r="X201" s="1"/>
      <c r="Y201" s="1"/>
      <c r="Z201" s="1"/>
      <c r="AA201" s="1"/>
    </row>
    <row r="202">
      <c r="A202" s="199">
        <v>199.0</v>
      </c>
      <c r="B202" s="200">
        <f t="shared" si="6"/>
        <v>3046.641421</v>
      </c>
      <c r="C202" s="200">
        <f>'Deal Analysis'!$D$24/12*E201</f>
        <v>1524.688182</v>
      </c>
      <c r="D202" s="200">
        <f t="shared" si="1"/>
        <v>1521.953239</v>
      </c>
      <c r="E202" s="200">
        <f t="shared" si="2"/>
        <v>201769.8043</v>
      </c>
      <c r="F202" s="1"/>
      <c r="G202" s="199">
        <v>199.0</v>
      </c>
      <c r="H202" s="200">
        <f>if(AND('Deal Analysis'!$D$37*12&lt;G202,'Deal Analysis'!$D$37&gt;0),0,H201)</f>
        <v>333.3333333</v>
      </c>
      <c r="I202" s="200">
        <f>if(H202&gt;0,'Deal Analysis'!$D$35/12*K201,0)</f>
        <v>333.3333333</v>
      </c>
      <c r="J202" s="200">
        <f t="shared" si="3"/>
        <v>0</v>
      </c>
      <c r="K202" s="200">
        <f>if(AND('Deal Analysis'!$D$37*12&lt;G202,'Deal Analysis'!$D$37&gt;0),0,K201-J202)</f>
        <v>50000</v>
      </c>
      <c r="L202" s="1"/>
      <c r="M202" s="199">
        <v>199.0</v>
      </c>
      <c r="N202" s="200">
        <f>if('Deal Analysis'!D240="Yes",'Deal Analysis'!D247,0)</f>
        <v>0</v>
      </c>
      <c r="O202" s="200">
        <f t="shared" si="4"/>
        <v>0</v>
      </c>
      <c r="P202" s="200">
        <f t="shared" si="5"/>
        <v>0</v>
      </c>
      <c r="Q202" s="200">
        <f>if(AND('Deal Analysis'!$D$47*12&lt;M202,'Deal Analysis'!$D$47&gt;0),0,Q201-P202)</f>
        <v>0</v>
      </c>
      <c r="R202" s="1"/>
      <c r="S202" s="1"/>
      <c r="T202" s="1"/>
      <c r="U202" s="1"/>
      <c r="V202" s="1"/>
      <c r="W202" s="1"/>
      <c r="X202" s="1"/>
      <c r="Y202" s="1"/>
      <c r="Z202" s="1"/>
      <c r="AA202" s="1"/>
    </row>
    <row r="203">
      <c r="A203" s="199">
        <v>200.0</v>
      </c>
      <c r="B203" s="200">
        <f t="shared" si="6"/>
        <v>3046.641421</v>
      </c>
      <c r="C203" s="200">
        <f>'Deal Analysis'!$D$24/12*E202</f>
        <v>1513.273532</v>
      </c>
      <c r="D203" s="200">
        <f t="shared" si="1"/>
        <v>1533.367889</v>
      </c>
      <c r="E203" s="200">
        <f t="shared" si="2"/>
        <v>200236.4364</v>
      </c>
      <c r="F203" s="1"/>
      <c r="G203" s="199">
        <v>200.0</v>
      </c>
      <c r="H203" s="200">
        <f>if(AND('Deal Analysis'!$D$37*12&lt;G203,'Deal Analysis'!$D$37&gt;0),0,H202)</f>
        <v>333.3333333</v>
      </c>
      <c r="I203" s="200">
        <f>if(H203&gt;0,'Deal Analysis'!$D$35/12*K202,0)</f>
        <v>333.3333333</v>
      </c>
      <c r="J203" s="200">
        <f t="shared" si="3"/>
        <v>0</v>
      </c>
      <c r="K203" s="200">
        <f>if(AND('Deal Analysis'!$D$37*12&lt;G203,'Deal Analysis'!$D$37&gt;0),0,K202-J203)</f>
        <v>50000</v>
      </c>
      <c r="L203" s="1"/>
      <c r="M203" s="199">
        <v>200.0</v>
      </c>
      <c r="N203" s="200">
        <f>if('Deal Analysis'!D241="Yes",'Deal Analysis'!D248,0)</f>
        <v>0</v>
      </c>
      <c r="O203" s="200">
        <f t="shared" si="4"/>
        <v>0</v>
      </c>
      <c r="P203" s="200">
        <f t="shared" si="5"/>
        <v>0</v>
      </c>
      <c r="Q203" s="200">
        <f>if(AND('Deal Analysis'!$D$47*12&lt;M203,'Deal Analysis'!$D$47&gt;0),0,Q202-P203)</f>
        <v>0</v>
      </c>
      <c r="R203" s="1"/>
      <c r="S203" s="1"/>
      <c r="T203" s="1"/>
      <c r="U203" s="1"/>
      <c r="V203" s="1"/>
      <c r="W203" s="1"/>
      <c r="X203" s="1"/>
      <c r="Y203" s="1"/>
      <c r="Z203" s="1"/>
      <c r="AA203" s="1"/>
    </row>
    <row r="204">
      <c r="A204" s="199">
        <v>201.0</v>
      </c>
      <c r="B204" s="200">
        <f t="shared" si="6"/>
        <v>3046.641421</v>
      </c>
      <c r="C204" s="200">
        <f>'Deal Analysis'!$D$24/12*E203</f>
        <v>1501.773273</v>
      </c>
      <c r="D204" s="200">
        <f t="shared" si="1"/>
        <v>1544.868148</v>
      </c>
      <c r="E204" s="200">
        <f t="shared" si="2"/>
        <v>198691.5683</v>
      </c>
      <c r="F204" s="1"/>
      <c r="G204" s="199">
        <v>201.0</v>
      </c>
      <c r="H204" s="200">
        <f>if(AND('Deal Analysis'!$D$37*12&lt;G204,'Deal Analysis'!$D$37&gt;0),0,H203)</f>
        <v>333.3333333</v>
      </c>
      <c r="I204" s="200">
        <f>if(H204&gt;0,'Deal Analysis'!$D$35/12*K203,0)</f>
        <v>333.3333333</v>
      </c>
      <c r="J204" s="200">
        <f t="shared" si="3"/>
        <v>0</v>
      </c>
      <c r="K204" s="200">
        <f>if(AND('Deal Analysis'!$D$37*12&lt;G204,'Deal Analysis'!$D$37&gt;0),0,K203-J204)</f>
        <v>50000</v>
      </c>
      <c r="L204" s="1"/>
      <c r="M204" s="199">
        <v>201.0</v>
      </c>
      <c r="N204" s="200">
        <f>if('Deal Analysis'!D242="Yes",'Deal Analysis'!D249,0)</f>
        <v>0</v>
      </c>
      <c r="O204" s="200">
        <f t="shared" si="4"/>
        <v>0</v>
      </c>
      <c r="P204" s="200">
        <f t="shared" si="5"/>
        <v>0</v>
      </c>
      <c r="Q204" s="200">
        <f>if(AND('Deal Analysis'!$D$47*12&lt;M204,'Deal Analysis'!$D$47&gt;0),0,Q203-P204)</f>
        <v>0</v>
      </c>
      <c r="R204" s="1"/>
      <c r="S204" s="1"/>
      <c r="T204" s="1"/>
      <c r="U204" s="1"/>
      <c r="V204" s="1"/>
      <c r="W204" s="1"/>
      <c r="X204" s="1"/>
      <c r="Y204" s="1"/>
      <c r="Z204" s="1"/>
      <c r="AA204" s="1"/>
    </row>
    <row r="205">
      <c r="A205" s="199">
        <v>202.0</v>
      </c>
      <c r="B205" s="200">
        <f t="shared" si="6"/>
        <v>3046.641421</v>
      </c>
      <c r="C205" s="200">
        <f>'Deal Analysis'!$D$24/12*E204</f>
        <v>1490.186762</v>
      </c>
      <c r="D205" s="200">
        <f t="shared" si="1"/>
        <v>1556.454659</v>
      </c>
      <c r="E205" s="200">
        <f t="shared" si="2"/>
        <v>197135.1136</v>
      </c>
      <c r="F205" s="1"/>
      <c r="G205" s="199">
        <v>202.0</v>
      </c>
      <c r="H205" s="200">
        <f>if(AND('Deal Analysis'!$D$37*12&lt;G205,'Deal Analysis'!$D$37&gt;0),0,H204)</f>
        <v>333.3333333</v>
      </c>
      <c r="I205" s="200">
        <f>if(H205&gt;0,'Deal Analysis'!$D$35/12*K204,0)</f>
        <v>333.3333333</v>
      </c>
      <c r="J205" s="200">
        <f t="shared" si="3"/>
        <v>0</v>
      </c>
      <c r="K205" s="200">
        <f>if(AND('Deal Analysis'!$D$37*12&lt;G205,'Deal Analysis'!$D$37&gt;0),0,K204-J205)</f>
        <v>50000</v>
      </c>
      <c r="L205" s="1"/>
      <c r="M205" s="199">
        <v>202.0</v>
      </c>
      <c r="N205" s="200">
        <f>if('Deal Analysis'!D243="Yes",'Deal Analysis'!D250,0)</f>
        <v>0</v>
      </c>
      <c r="O205" s="200">
        <f t="shared" si="4"/>
        <v>0</v>
      </c>
      <c r="P205" s="200">
        <f t="shared" si="5"/>
        <v>0</v>
      </c>
      <c r="Q205" s="200">
        <f>if(AND('Deal Analysis'!$D$47*12&lt;M205,'Deal Analysis'!$D$47&gt;0),0,Q204-P205)</f>
        <v>0</v>
      </c>
      <c r="R205" s="1"/>
      <c r="S205" s="1"/>
      <c r="T205" s="1"/>
      <c r="U205" s="1"/>
      <c r="V205" s="1"/>
      <c r="W205" s="1"/>
      <c r="X205" s="1"/>
      <c r="Y205" s="1"/>
      <c r="Z205" s="1"/>
      <c r="AA205" s="1"/>
    </row>
    <row r="206">
      <c r="A206" s="199">
        <v>203.0</v>
      </c>
      <c r="B206" s="200">
        <f t="shared" si="6"/>
        <v>3046.641421</v>
      </c>
      <c r="C206" s="200">
        <f>'Deal Analysis'!$D$24/12*E205</f>
        <v>1478.513352</v>
      </c>
      <c r="D206" s="200">
        <f t="shared" si="1"/>
        <v>1568.128069</v>
      </c>
      <c r="E206" s="200">
        <f t="shared" si="2"/>
        <v>195566.9855</v>
      </c>
      <c r="F206" s="1"/>
      <c r="G206" s="199">
        <v>203.0</v>
      </c>
      <c r="H206" s="200">
        <f>if(AND('Deal Analysis'!$D$37*12&lt;G206,'Deal Analysis'!$D$37&gt;0),0,H205)</f>
        <v>333.3333333</v>
      </c>
      <c r="I206" s="200">
        <f>if(H206&gt;0,'Deal Analysis'!$D$35/12*K205,0)</f>
        <v>333.3333333</v>
      </c>
      <c r="J206" s="200">
        <f t="shared" si="3"/>
        <v>0</v>
      </c>
      <c r="K206" s="200">
        <f>if(AND('Deal Analysis'!$D$37*12&lt;G206,'Deal Analysis'!$D$37&gt;0),0,K205-J206)</f>
        <v>50000</v>
      </c>
      <c r="L206" s="1"/>
      <c r="M206" s="199">
        <v>203.0</v>
      </c>
      <c r="N206" s="200">
        <f>if('Deal Analysis'!D244="Yes",'Deal Analysis'!D251,0)</f>
        <v>0</v>
      </c>
      <c r="O206" s="200">
        <f t="shared" si="4"/>
        <v>0</v>
      </c>
      <c r="P206" s="200">
        <f t="shared" si="5"/>
        <v>0</v>
      </c>
      <c r="Q206" s="200">
        <f>if(AND('Deal Analysis'!$D$47*12&lt;M206,'Deal Analysis'!$D$47&gt;0),0,Q205-P206)</f>
        <v>0</v>
      </c>
      <c r="R206" s="1"/>
      <c r="S206" s="1"/>
      <c r="T206" s="1"/>
      <c r="U206" s="1"/>
      <c r="V206" s="1"/>
      <c r="W206" s="1"/>
      <c r="X206" s="1"/>
      <c r="Y206" s="1"/>
      <c r="Z206" s="1"/>
      <c r="AA206" s="1"/>
    </row>
    <row r="207">
      <c r="A207" s="199">
        <v>204.0</v>
      </c>
      <c r="B207" s="200">
        <f t="shared" si="6"/>
        <v>3046.641421</v>
      </c>
      <c r="C207" s="200">
        <f>'Deal Analysis'!$D$24/12*E206</f>
        <v>1466.752392</v>
      </c>
      <c r="D207" s="200">
        <f t="shared" si="1"/>
        <v>1579.889029</v>
      </c>
      <c r="E207" s="200">
        <f t="shared" si="2"/>
        <v>193987.0965</v>
      </c>
      <c r="F207" s="1"/>
      <c r="G207" s="199">
        <v>204.0</v>
      </c>
      <c r="H207" s="200">
        <f>if(AND('Deal Analysis'!$D$37*12&lt;G207,'Deal Analysis'!$D$37&gt;0),0,H206)</f>
        <v>333.3333333</v>
      </c>
      <c r="I207" s="200">
        <f>if(H207&gt;0,'Deal Analysis'!$D$35/12*K206,0)</f>
        <v>333.3333333</v>
      </c>
      <c r="J207" s="200">
        <f t="shared" si="3"/>
        <v>0</v>
      </c>
      <c r="K207" s="200">
        <f>if(AND('Deal Analysis'!$D$37*12&lt;G207,'Deal Analysis'!$D$37&gt;0),0,K206-J207)</f>
        <v>50000</v>
      </c>
      <c r="L207" s="1"/>
      <c r="M207" s="199">
        <v>204.0</v>
      </c>
      <c r="N207" s="200">
        <f>if('Deal Analysis'!D245="Yes",'Deal Analysis'!D252,0)</f>
        <v>0</v>
      </c>
      <c r="O207" s="200">
        <f t="shared" si="4"/>
        <v>0</v>
      </c>
      <c r="P207" s="200">
        <f t="shared" si="5"/>
        <v>0</v>
      </c>
      <c r="Q207" s="200">
        <f>if(AND('Deal Analysis'!$D$47*12&lt;M207,'Deal Analysis'!$D$47&gt;0),0,Q206-P207)</f>
        <v>0</v>
      </c>
      <c r="R207" s="1"/>
      <c r="S207" s="1"/>
      <c r="T207" s="1"/>
      <c r="U207" s="1"/>
      <c r="V207" s="1"/>
      <c r="W207" s="1"/>
      <c r="X207" s="1"/>
      <c r="Y207" s="1"/>
      <c r="Z207" s="1"/>
      <c r="AA207" s="1"/>
    </row>
    <row r="208">
      <c r="A208" s="199">
        <v>205.0</v>
      </c>
      <c r="B208" s="200">
        <f t="shared" si="6"/>
        <v>3046.641421</v>
      </c>
      <c r="C208" s="200">
        <f>'Deal Analysis'!$D$24/12*E207</f>
        <v>1454.903224</v>
      </c>
      <c r="D208" s="200">
        <f t="shared" si="1"/>
        <v>1591.738197</v>
      </c>
      <c r="E208" s="200">
        <f t="shared" si="2"/>
        <v>192395.3583</v>
      </c>
      <c r="F208" s="1"/>
      <c r="G208" s="199">
        <v>205.0</v>
      </c>
      <c r="H208" s="200">
        <f>if(AND('Deal Analysis'!$D$37*12&lt;G208,'Deal Analysis'!$D$37&gt;0),0,H207)</f>
        <v>333.3333333</v>
      </c>
      <c r="I208" s="200">
        <f>if(H208&gt;0,'Deal Analysis'!$D$35/12*K207,0)</f>
        <v>333.3333333</v>
      </c>
      <c r="J208" s="200">
        <f t="shared" si="3"/>
        <v>0</v>
      </c>
      <c r="K208" s="200">
        <f>if(AND('Deal Analysis'!$D$37*12&lt;G208,'Deal Analysis'!$D$37&gt;0),0,K207-J208)</f>
        <v>50000</v>
      </c>
      <c r="L208" s="1"/>
      <c r="M208" s="199">
        <v>205.0</v>
      </c>
      <c r="N208" s="200">
        <f>if('Deal Analysis'!D246="Yes",'Deal Analysis'!D253,0)</f>
        <v>0</v>
      </c>
      <c r="O208" s="200">
        <f t="shared" si="4"/>
        <v>0</v>
      </c>
      <c r="P208" s="200">
        <f t="shared" si="5"/>
        <v>0</v>
      </c>
      <c r="Q208" s="200">
        <f>if(AND('Deal Analysis'!$D$47*12&lt;M208,'Deal Analysis'!$D$47&gt;0),0,Q207-P208)</f>
        <v>0</v>
      </c>
      <c r="R208" s="1"/>
      <c r="S208" s="1"/>
      <c r="T208" s="1"/>
      <c r="U208" s="1"/>
      <c r="V208" s="1"/>
      <c r="W208" s="1"/>
      <c r="X208" s="1"/>
      <c r="Y208" s="1"/>
      <c r="Z208" s="1"/>
      <c r="AA208" s="1"/>
    </row>
    <row r="209">
      <c r="A209" s="199">
        <v>206.0</v>
      </c>
      <c r="B209" s="200">
        <f t="shared" si="6"/>
        <v>3046.641421</v>
      </c>
      <c r="C209" s="200">
        <f>'Deal Analysis'!$D$24/12*E208</f>
        <v>1442.965187</v>
      </c>
      <c r="D209" s="200">
        <f t="shared" si="1"/>
        <v>1603.676234</v>
      </c>
      <c r="E209" s="200">
        <f t="shared" si="2"/>
        <v>190791.6821</v>
      </c>
      <c r="F209" s="1"/>
      <c r="G209" s="199">
        <v>206.0</v>
      </c>
      <c r="H209" s="200">
        <f>if(AND('Deal Analysis'!$D$37*12&lt;G209,'Deal Analysis'!$D$37&gt;0),0,H208)</f>
        <v>333.3333333</v>
      </c>
      <c r="I209" s="200">
        <f>if(H209&gt;0,'Deal Analysis'!$D$35/12*K208,0)</f>
        <v>333.3333333</v>
      </c>
      <c r="J209" s="200">
        <f t="shared" si="3"/>
        <v>0</v>
      </c>
      <c r="K209" s="200">
        <f>if(AND('Deal Analysis'!$D$37*12&lt;G209,'Deal Analysis'!$D$37&gt;0),0,K208-J209)</f>
        <v>50000</v>
      </c>
      <c r="L209" s="1"/>
      <c r="M209" s="199">
        <v>206.0</v>
      </c>
      <c r="N209" s="200">
        <f>if('Deal Analysis'!D247="Yes",'Deal Analysis'!D254,0)</f>
        <v>0</v>
      </c>
      <c r="O209" s="200">
        <f t="shared" si="4"/>
        <v>0</v>
      </c>
      <c r="P209" s="200">
        <f t="shared" si="5"/>
        <v>0</v>
      </c>
      <c r="Q209" s="200">
        <f>if(AND('Deal Analysis'!$D$47*12&lt;M209,'Deal Analysis'!$D$47&gt;0),0,Q208-P209)</f>
        <v>0</v>
      </c>
      <c r="R209" s="1"/>
      <c r="S209" s="1"/>
      <c r="T209" s="1"/>
      <c r="U209" s="1"/>
      <c r="V209" s="1"/>
      <c r="W209" s="1"/>
      <c r="X209" s="1"/>
      <c r="Y209" s="1"/>
      <c r="Z209" s="1"/>
      <c r="AA209" s="1"/>
    </row>
    <row r="210">
      <c r="A210" s="199">
        <v>207.0</v>
      </c>
      <c r="B210" s="200">
        <f t="shared" si="6"/>
        <v>3046.641421</v>
      </c>
      <c r="C210" s="200">
        <f>'Deal Analysis'!$D$24/12*E209</f>
        <v>1430.937616</v>
      </c>
      <c r="D210" s="200">
        <f t="shared" si="1"/>
        <v>1615.703805</v>
      </c>
      <c r="E210" s="200">
        <f t="shared" si="2"/>
        <v>189175.9783</v>
      </c>
      <c r="F210" s="1"/>
      <c r="G210" s="199">
        <v>207.0</v>
      </c>
      <c r="H210" s="200">
        <f>if(AND('Deal Analysis'!$D$37*12&lt;G210,'Deal Analysis'!$D$37&gt;0),0,H209)</f>
        <v>333.3333333</v>
      </c>
      <c r="I210" s="200">
        <f>if(H210&gt;0,'Deal Analysis'!$D$35/12*K209,0)</f>
        <v>333.3333333</v>
      </c>
      <c r="J210" s="200">
        <f t="shared" si="3"/>
        <v>0</v>
      </c>
      <c r="K210" s="200">
        <f>if(AND('Deal Analysis'!$D$37*12&lt;G210,'Deal Analysis'!$D$37&gt;0),0,K209-J210)</f>
        <v>50000</v>
      </c>
      <c r="L210" s="1"/>
      <c r="M210" s="199">
        <v>207.0</v>
      </c>
      <c r="N210" s="200">
        <f>if('Deal Analysis'!D248="Yes",'Deal Analysis'!D255,0)</f>
        <v>0</v>
      </c>
      <c r="O210" s="200">
        <f t="shared" si="4"/>
        <v>0</v>
      </c>
      <c r="P210" s="200">
        <f t="shared" si="5"/>
        <v>0</v>
      </c>
      <c r="Q210" s="200">
        <f>if(AND('Deal Analysis'!$D$47*12&lt;M210,'Deal Analysis'!$D$47&gt;0),0,Q209-P210)</f>
        <v>0</v>
      </c>
      <c r="R210" s="1"/>
      <c r="S210" s="1"/>
      <c r="T210" s="1"/>
      <c r="U210" s="1"/>
      <c r="V210" s="1"/>
      <c r="W210" s="1"/>
      <c r="X210" s="1"/>
      <c r="Y210" s="1"/>
      <c r="Z210" s="1"/>
      <c r="AA210" s="1"/>
    </row>
    <row r="211">
      <c r="A211" s="199">
        <v>208.0</v>
      </c>
      <c r="B211" s="200">
        <f t="shared" si="6"/>
        <v>3046.641421</v>
      </c>
      <c r="C211" s="200">
        <f>'Deal Analysis'!$D$24/12*E210</f>
        <v>1418.819837</v>
      </c>
      <c r="D211" s="200">
        <f t="shared" si="1"/>
        <v>1627.821584</v>
      </c>
      <c r="E211" s="200">
        <f t="shared" si="2"/>
        <v>187548.1567</v>
      </c>
      <c r="F211" s="1"/>
      <c r="G211" s="199">
        <v>208.0</v>
      </c>
      <c r="H211" s="200">
        <f>if(AND('Deal Analysis'!$D$37*12&lt;G211,'Deal Analysis'!$D$37&gt;0),0,H210)</f>
        <v>333.3333333</v>
      </c>
      <c r="I211" s="200">
        <f>if(H211&gt;0,'Deal Analysis'!$D$35/12*K210,0)</f>
        <v>333.3333333</v>
      </c>
      <c r="J211" s="200">
        <f t="shared" si="3"/>
        <v>0</v>
      </c>
      <c r="K211" s="200">
        <f>if(AND('Deal Analysis'!$D$37*12&lt;G211,'Deal Analysis'!$D$37&gt;0),0,K210-J211)</f>
        <v>50000</v>
      </c>
      <c r="L211" s="1"/>
      <c r="M211" s="199">
        <v>208.0</v>
      </c>
      <c r="N211" s="200">
        <f>if('Deal Analysis'!D249="Yes",'Deal Analysis'!D256,0)</f>
        <v>0</v>
      </c>
      <c r="O211" s="200">
        <f t="shared" si="4"/>
        <v>0</v>
      </c>
      <c r="P211" s="200">
        <f t="shared" si="5"/>
        <v>0</v>
      </c>
      <c r="Q211" s="200">
        <f>if(AND('Deal Analysis'!$D$47*12&lt;M211,'Deal Analysis'!$D$47&gt;0),0,Q210-P211)</f>
        <v>0</v>
      </c>
      <c r="R211" s="1"/>
      <c r="S211" s="1"/>
      <c r="T211" s="1"/>
      <c r="U211" s="1"/>
      <c r="V211" s="1"/>
      <c r="W211" s="1"/>
      <c r="X211" s="1"/>
      <c r="Y211" s="1"/>
      <c r="Z211" s="1"/>
      <c r="AA211" s="1"/>
    </row>
    <row r="212">
      <c r="A212" s="199">
        <v>209.0</v>
      </c>
      <c r="B212" s="200">
        <f t="shared" si="6"/>
        <v>3046.641421</v>
      </c>
      <c r="C212" s="200">
        <f>'Deal Analysis'!$D$24/12*E211</f>
        <v>1406.611175</v>
      </c>
      <c r="D212" s="200">
        <f t="shared" si="1"/>
        <v>1640.030246</v>
      </c>
      <c r="E212" s="200">
        <f t="shared" si="2"/>
        <v>185908.1264</v>
      </c>
      <c r="F212" s="1"/>
      <c r="G212" s="199">
        <v>209.0</v>
      </c>
      <c r="H212" s="200">
        <f>if(AND('Deal Analysis'!$D$37*12&lt;G212,'Deal Analysis'!$D$37&gt;0),0,H211)</f>
        <v>333.3333333</v>
      </c>
      <c r="I212" s="200">
        <f>if(H212&gt;0,'Deal Analysis'!$D$35/12*K211,0)</f>
        <v>333.3333333</v>
      </c>
      <c r="J212" s="200">
        <f t="shared" si="3"/>
        <v>0</v>
      </c>
      <c r="K212" s="200">
        <f>if(AND('Deal Analysis'!$D$37*12&lt;G212,'Deal Analysis'!$D$37&gt;0),0,K211-J212)</f>
        <v>50000</v>
      </c>
      <c r="L212" s="1"/>
      <c r="M212" s="199">
        <v>209.0</v>
      </c>
      <c r="N212" s="200">
        <f>if('Deal Analysis'!D250="Yes",'Deal Analysis'!D257,0)</f>
        <v>0</v>
      </c>
      <c r="O212" s="200">
        <f t="shared" si="4"/>
        <v>0</v>
      </c>
      <c r="P212" s="200">
        <f t="shared" si="5"/>
        <v>0</v>
      </c>
      <c r="Q212" s="200">
        <f>if(AND('Deal Analysis'!$D$47*12&lt;M212,'Deal Analysis'!$D$47&gt;0),0,Q211-P212)</f>
        <v>0</v>
      </c>
      <c r="R212" s="1"/>
      <c r="S212" s="1"/>
      <c r="T212" s="1"/>
      <c r="U212" s="1"/>
      <c r="V212" s="1"/>
      <c r="W212" s="1"/>
      <c r="X212" s="1"/>
      <c r="Y212" s="1"/>
      <c r="Z212" s="1"/>
      <c r="AA212" s="1"/>
    </row>
    <row r="213">
      <c r="A213" s="199">
        <v>210.0</v>
      </c>
      <c r="B213" s="200">
        <f t="shared" si="6"/>
        <v>3046.641421</v>
      </c>
      <c r="C213" s="200">
        <f>'Deal Analysis'!$D$24/12*E212</f>
        <v>1394.310948</v>
      </c>
      <c r="D213" s="200">
        <f t="shared" si="1"/>
        <v>1652.330473</v>
      </c>
      <c r="E213" s="200">
        <f t="shared" si="2"/>
        <v>184255.796</v>
      </c>
      <c r="F213" s="1"/>
      <c r="G213" s="199">
        <v>210.0</v>
      </c>
      <c r="H213" s="200">
        <f>if(AND('Deal Analysis'!$D$37*12&lt;G213,'Deal Analysis'!$D$37&gt;0),0,H212)</f>
        <v>333.3333333</v>
      </c>
      <c r="I213" s="200">
        <f>if(H213&gt;0,'Deal Analysis'!$D$35/12*K212,0)</f>
        <v>333.3333333</v>
      </c>
      <c r="J213" s="200">
        <f t="shared" si="3"/>
        <v>0</v>
      </c>
      <c r="K213" s="200">
        <f>if(AND('Deal Analysis'!$D$37*12&lt;G213,'Deal Analysis'!$D$37&gt;0),0,K212-J213)</f>
        <v>50000</v>
      </c>
      <c r="L213" s="1"/>
      <c r="M213" s="199">
        <v>210.0</v>
      </c>
      <c r="N213" s="200">
        <f>if('Deal Analysis'!D251="Yes",'Deal Analysis'!D258,0)</f>
        <v>0</v>
      </c>
      <c r="O213" s="200">
        <f t="shared" si="4"/>
        <v>0</v>
      </c>
      <c r="P213" s="200">
        <f t="shared" si="5"/>
        <v>0</v>
      </c>
      <c r="Q213" s="200">
        <f>if(AND('Deal Analysis'!$D$47*12&lt;M213,'Deal Analysis'!$D$47&gt;0),0,Q212-P213)</f>
        <v>0</v>
      </c>
      <c r="R213" s="1"/>
      <c r="S213" s="1"/>
      <c r="T213" s="1"/>
      <c r="U213" s="1"/>
      <c r="V213" s="1"/>
      <c r="W213" s="1"/>
      <c r="X213" s="1"/>
      <c r="Y213" s="1"/>
      <c r="Z213" s="1"/>
      <c r="AA213" s="1"/>
    </row>
    <row r="214">
      <c r="A214" s="199">
        <v>211.0</v>
      </c>
      <c r="B214" s="200">
        <f t="shared" si="6"/>
        <v>3046.641421</v>
      </c>
      <c r="C214" s="200">
        <f>'Deal Analysis'!$D$24/12*E213</f>
        <v>1381.91847</v>
      </c>
      <c r="D214" s="200">
        <f t="shared" si="1"/>
        <v>1664.722951</v>
      </c>
      <c r="E214" s="200">
        <f t="shared" si="2"/>
        <v>182591.073</v>
      </c>
      <c r="F214" s="1"/>
      <c r="G214" s="199">
        <v>211.0</v>
      </c>
      <c r="H214" s="200">
        <f>if(AND('Deal Analysis'!$D$37*12&lt;G214,'Deal Analysis'!$D$37&gt;0),0,H213)</f>
        <v>333.3333333</v>
      </c>
      <c r="I214" s="200">
        <f>if(H214&gt;0,'Deal Analysis'!$D$35/12*K213,0)</f>
        <v>333.3333333</v>
      </c>
      <c r="J214" s="200">
        <f t="shared" si="3"/>
        <v>0</v>
      </c>
      <c r="K214" s="200">
        <f>if(AND('Deal Analysis'!$D$37*12&lt;G214,'Deal Analysis'!$D$37&gt;0),0,K213-J214)</f>
        <v>50000</v>
      </c>
      <c r="L214" s="1"/>
      <c r="M214" s="199">
        <v>211.0</v>
      </c>
      <c r="N214" s="200">
        <f>if('Deal Analysis'!D252="Yes",'Deal Analysis'!D259,0)</f>
        <v>0</v>
      </c>
      <c r="O214" s="200">
        <f t="shared" si="4"/>
        <v>0</v>
      </c>
      <c r="P214" s="200">
        <f t="shared" si="5"/>
        <v>0</v>
      </c>
      <c r="Q214" s="200">
        <f>if(AND('Deal Analysis'!$D$47*12&lt;M214,'Deal Analysis'!$D$47&gt;0),0,Q213-P214)</f>
        <v>0</v>
      </c>
      <c r="R214" s="1"/>
      <c r="S214" s="1"/>
      <c r="T214" s="1"/>
      <c r="U214" s="1"/>
      <c r="V214" s="1"/>
      <c r="W214" s="1"/>
      <c r="X214" s="1"/>
      <c r="Y214" s="1"/>
      <c r="Z214" s="1"/>
      <c r="AA214" s="1"/>
    </row>
    <row r="215">
      <c r="A215" s="199">
        <v>212.0</v>
      </c>
      <c r="B215" s="200">
        <f t="shared" si="6"/>
        <v>3046.641421</v>
      </c>
      <c r="C215" s="200">
        <f>'Deal Analysis'!$D$24/12*E214</f>
        <v>1369.433048</v>
      </c>
      <c r="D215" s="200">
        <f t="shared" si="1"/>
        <v>1677.208373</v>
      </c>
      <c r="E215" s="200">
        <f t="shared" si="2"/>
        <v>180913.8646</v>
      </c>
      <c r="F215" s="1"/>
      <c r="G215" s="199">
        <v>212.0</v>
      </c>
      <c r="H215" s="200">
        <f>if(AND('Deal Analysis'!$D$37*12&lt;G215,'Deal Analysis'!$D$37&gt;0),0,H214)</f>
        <v>333.3333333</v>
      </c>
      <c r="I215" s="200">
        <f>if(H215&gt;0,'Deal Analysis'!$D$35/12*K214,0)</f>
        <v>333.3333333</v>
      </c>
      <c r="J215" s="200">
        <f t="shared" si="3"/>
        <v>0</v>
      </c>
      <c r="K215" s="200">
        <f>if(AND('Deal Analysis'!$D$37*12&lt;G215,'Deal Analysis'!$D$37&gt;0),0,K214-J215)</f>
        <v>50000</v>
      </c>
      <c r="L215" s="1"/>
      <c r="M215" s="199">
        <v>212.0</v>
      </c>
      <c r="N215" s="200">
        <f>if('Deal Analysis'!D253="Yes",'Deal Analysis'!D260,0)</f>
        <v>0</v>
      </c>
      <c r="O215" s="200">
        <f t="shared" si="4"/>
        <v>0</v>
      </c>
      <c r="P215" s="200">
        <f t="shared" si="5"/>
        <v>0</v>
      </c>
      <c r="Q215" s="200">
        <f>if(AND('Deal Analysis'!$D$47*12&lt;M215,'Deal Analysis'!$D$47&gt;0),0,Q214-P215)</f>
        <v>0</v>
      </c>
      <c r="R215" s="1"/>
      <c r="S215" s="1"/>
      <c r="T215" s="1"/>
      <c r="U215" s="1"/>
      <c r="V215" s="1"/>
      <c r="W215" s="1"/>
      <c r="X215" s="1"/>
      <c r="Y215" s="1"/>
      <c r="Z215" s="1"/>
      <c r="AA215" s="1"/>
    </row>
    <row r="216">
      <c r="A216" s="199">
        <v>213.0</v>
      </c>
      <c r="B216" s="200">
        <f t="shared" si="6"/>
        <v>3046.641421</v>
      </c>
      <c r="C216" s="200">
        <f>'Deal Analysis'!$D$24/12*E215</f>
        <v>1356.853985</v>
      </c>
      <c r="D216" s="200">
        <f t="shared" si="1"/>
        <v>1689.787436</v>
      </c>
      <c r="E216" s="200">
        <f t="shared" si="2"/>
        <v>179224.0772</v>
      </c>
      <c r="F216" s="1"/>
      <c r="G216" s="199">
        <v>213.0</v>
      </c>
      <c r="H216" s="200">
        <f>if(AND('Deal Analysis'!$D$37*12&lt;G216,'Deal Analysis'!$D$37&gt;0),0,H215)</f>
        <v>333.3333333</v>
      </c>
      <c r="I216" s="200">
        <f>if(H216&gt;0,'Deal Analysis'!$D$35/12*K215,0)</f>
        <v>333.3333333</v>
      </c>
      <c r="J216" s="200">
        <f t="shared" si="3"/>
        <v>0</v>
      </c>
      <c r="K216" s="200">
        <f>if(AND('Deal Analysis'!$D$37*12&lt;G216,'Deal Analysis'!$D$37&gt;0),0,K215-J216)</f>
        <v>50000</v>
      </c>
      <c r="L216" s="1"/>
      <c r="M216" s="199">
        <v>213.0</v>
      </c>
      <c r="N216" s="200">
        <f>if('Deal Analysis'!D254="Yes",'Deal Analysis'!D261,0)</f>
        <v>0</v>
      </c>
      <c r="O216" s="200">
        <f t="shared" si="4"/>
        <v>0</v>
      </c>
      <c r="P216" s="200">
        <f t="shared" si="5"/>
        <v>0</v>
      </c>
      <c r="Q216" s="200">
        <f>if(AND('Deal Analysis'!$D$47*12&lt;M216,'Deal Analysis'!$D$47&gt;0),0,Q215-P216)</f>
        <v>0</v>
      </c>
      <c r="R216" s="1"/>
      <c r="S216" s="1"/>
      <c r="T216" s="1"/>
      <c r="U216" s="1"/>
      <c r="V216" s="1"/>
      <c r="W216" s="1"/>
      <c r="X216" s="1"/>
      <c r="Y216" s="1"/>
      <c r="Z216" s="1"/>
      <c r="AA216" s="1"/>
    </row>
    <row r="217">
      <c r="A217" s="199">
        <v>214.0</v>
      </c>
      <c r="B217" s="200">
        <f t="shared" si="6"/>
        <v>3046.641421</v>
      </c>
      <c r="C217" s="200">
        <f>'Deal Analysis'!$D$24/12*E216</f>
        <v>1344.180579</v>
      </c>
      <c r="D217" s="200">
        <f t="shared" si="1"/>
        <v>1702.460842</v>
      </c>
      <c r="E217" s="200">
        <f t="shared" si="2"/>
        <v>177521.6164</v>
      </c>
      <c r="F217" s="1"/>
      <c r="G217" s="199">
        <v>214.0</v>
      </c>
      <c r="H217" s="200">
        <f>if(AND('Deal Analysis'!$D$37*12&lt;G217,'Deal Analysis'!$D$37&gt;0),0,H216)</f>
        <v>333.3333333</v>
      </c>
      <c r="I217" s="200">
        <f>if(H217&gt;0,'Deal Analysis'!$D$35/12*K216,0)</f>
        <v>333.3333333</v>
      </c>
      <c r="J217" s="200">
        <f t="shared" si="3"/>
        <v>0</v>
      </c>
      <c r="K217" s="200">
        <f>if(AND('Deal Analysis'!$D$37*12&lt;G217,'Deal Analysis'!$D$37&gt;0),0,K216-J217)</f>
        <v>50000</v>
      </c>
      <c r="L217" s="1"/>
      <c r="M217" s="199">
        <v>214.0</v>
      </c>
      <c r="N217" s="200">
        <f>if('Deal Analysis'!D255="Yes",'Deal Analysis'!D262,0)</f>
        <v>0</v>
      </c>
      <c r="O217" s="200">
        <f t="shared" si="4"/>
        <v>0</v>
      </c>
      <c r="P217" s="200">
        <f t="shared" si="5"/>
        <v>0</v>
      </c>
      <c r="Q217" s="200">
        <f>if(AND('Deal Analysis'!$D$47*12&lt;M217,'Deal Analysis'!$D$47&gt;0),0,Q216-P217)</f>
        <v>0</v>
      </c>
      <c r="R217" s="1"/>
      <c r="S217" s="1"/>
      <c r="T217" s="1"/>
      <c r="U217" s="1"/>
      <c r="V217" s="1"/>
      <c r="W217" s="1"/>
      <c r="X217" s="1"/>
      <c r="Y217" s="1"/>
      <c r="Z217" s="1"/>
      <c r="AA217" s="1"/>
    </row>
    <row r="218">
      <c r="A218" s="199">
        <v>215.0</v>
      </c>
      <c r="B218" s="200">
        <f t="shared" si="6"/>
        <v>3046.641421</v>
      </c>
      <c r="C218" s="200">
        <f>'Deal Analysis'!$D$24/12*E217</f>
        <v>1331.412123</v>
      </c>
      <c r="D218" s="200">
        <f t="shared" si="1"/>
        <v>1715.229298</v>
      </c>
      <c r="E218" s="200">
        <f t="shared" si="2"/>
        <v>175806.3871</v>
      </c>
      <c r="F218" s="1"/>
      <c r="G218" s="199">
        <v>215.0</v>
      </c>
      <c r="H218" s="200">
        <f>if(AND('Deal Analysis'!$D$37*12&lt;G218,'Deal Analysis'!$D$37&gt;0),0,H217)</f>
        <v>333.3333333</v>
      </c>
      <c r="I218" s="200">
        <f>if(H218&gt;0,'Deal Analysis'!$D$35/12*K217,0)</f>
        <v>333.3333333</v>
      </c>
      <c r="J218" s="200">
        <f t="shared" si="3"/>
        <v>0</v>
      </c>
      <c r="K218" s="200">
        <f>if(AND('Deal Analysis'!$D$37*12&lt;G218,'Deal Analysis'!$D$37&gt;0),0,K217-J218)</f>
        <v>50000</v>
      </c>
      <c r="L218" s="1"/>
      <c r="M218" s="199">
        <v>215.0</v>
      </c>
      <c r="N218" s="200">
        <f>if('Deal Analysis'!D256="Yes",'Deal Analysis'!D263,0)</f>
        <v>0</v>
      </c>
      <c r="O218" s="200">
        <f t="shared" si="4"/>
        <v>0</v>
      </c>
      <c r="P218" s="200">
        <f t="shared" si="5"/>
        <v>0</v>
      </c>
      <c r="Q218" s="200">
        <f>if(AND('Deal Analysis'!$D$47*12&lt;M218,'Deal Analysis'!$D$47&gt;0),0,Q217-P218)</f>
        <v>0</v>
      </c>
      <c r="R218" s="1"/>
      <c r="S218" s="1"/>
      <c r="T218" s="1"/>
      <c r="U218" s="1"/>
      <c r="V218" s="1"/>
      <c r="W218" s="1"/>
      <c r="X218" s="1"/>
      <c r="Y218" s="1"/>
      <c r="Z218" s="1"/>
      <c r="AA218" s="1"/>
    </row>
    <row r="219">
      <c r="A219" s="199">
        <v>216.0</v>
      </c>
      <c r="B219" s="200">
        <f t="shared" si="6"/>
        <v>3046.641421</v>
      </c>
      <c r="C219" s="200">
        <f>'Deal Analysis'!$D$24/12*E218</f>
        <v>1318.547903</v>
      </c>
      <c r="D219" s="200">
        <f t="shared" si="1"/>
        <v>1728.093518</v>
      </c>
      <c r="E219" s="200">
        <f t="shared" si="2"/>
        <v>174078.2936</v>
      </c>
      <c r="F219" s="1"/>
      <c r="G219" s="199">
        <v>216.0</v>
      </c>
      <c r="H219" s="200">
        <f>if(AND('Deal Analysis'!$D$37*12&lt;G219,'Deal Analysis'!$D$37&gt;0),0,H218)</f>
        <v>333.3333333</v>
      </c>
      <c r="I219" s="200">
        <f>if(H219&gt;0,'Deal Analysis'!$D$35/12*K218,0)</f>
        <v>333.3333333</v>
      </c>
      <c r="J219" s="200">
        <f t="shared" si="3"/>
        <v>0</v>
      </c>
      <c r="K219" s="200">
        <f>if(AND('Deal Analysis'!$D$37*12&lt;G219,'Deal Analysis'!$D$37&gt;0),0,K218-J219)</f>
        <v>50000</v>
      </c>
      <c r="L219" s="1"/>
      <c r="M219" s="199">
        <v>216.0</v>
      </c>
      <c r="N219" s="200">
        <f>if('Deal Analysis'!D257="Yes",'Deal Analysis'!D264,0)</f>
        <v>0</v>
      </c>
      <c r="O219" s="200">
        <f t="shared" si="4"/>
        <v>0</v>
      </c>
      <c r="P219" s="200">
        <f t="shared" si="5"/>
        <v>0</v>
      </c>
      <c r="Q219" s="200">
        <f>if(AND('Deal Analysis'!$D$47*12&lt;M219,'Deal Analysis'!$D$47&gt;0),0,Q218-P219)</f>
        <v>0</v>
      </c>
      <c r="R219" s="1"/>
      <c r="S219" s="1"/>
      <c r="T219" s="1"/>
      <c r="U219" s="1"/>
      <c r="V219" s="1"/>
      <c r="W219" s="1"/>
      <c r="X219" s="1"/>
      <c r="Y219" s="1"/>
      <c r="Z219" s="1"/>
      <c r="AA219" s="1"/>
    </row>
    <row r="220">
      <c r="A220" s="199">
        <v>217.0</v>
      </c>
      <c r="B220" s="200">
        <f t="shared" si="6"/>
        <v>3046.641421</v>
      </c>
      <c r="C220" s="200">
        <f>'Deal Analysis'!$D$24/12*E219</f>
        <v>1305.587202</v>
      </c>
      <c r="D220" s="200">
        <f t="shared" si="1"/>
        <v>1741.054219</v>
      </c>
      <c r="E220" s="200">
        <f t="shared" si="2"/>
        <v>172337.2393</v>
      </c>
      <c r="F220" s="1"/>
      <c r="G220" s="199">
        <v>217.0</v>
      </c>
      <c r="H220" s="200">
        <f>if(AND('Deal Analysis'!$D$37*12&lt;G220,'Deal Analysis'!$D$37&gt;0),0,H219)</f>
        <v>333.3333333</v>
      </c>
      <c r="I220" s="200">
        <f>if(H220&gt;0,'Deal Analysis'!$D$35/12*K219,0)</f>
        <v>333.3333333</v>
      </c>
      <c r="J220" s="200">
        <f t="shared" si="3"/>
        <v>0</v>
      </c>
      <c r="K220" s="200">
        <f>if(AND('Deal Analysis'!$D$37*12&lt;G220,'Deal Analysis'!$D$37&gt;0),0,K219-J220)</f>
        <v>50000</v>
      </c>
      <c r="L220" s="1"/>
      <c r="M220" s="199">
        <v>217.0</v>
      </c>
      <c r="N220" s="200">
        <f>if('Deal Analysis'!D258="Yes",'Deal Analysis'!D265,0)</f>
        <v>0</v>
      </c>
      <c r="O220" s="200">
        <f t="shared" si="4"/>
        <v>0</v>
      </c>
      <c r="P220" s="200">
        <f t="shared" si="5"/>
        <v>0</v>
      </c>
      <c r="Q220" s="200">
        <f>if(AND('Deal Analysis'!$D$47*12&lt;M220,'Deal Analysis'!$D$47&gt;0),0,Q219-P220)</f>
        <v>0</v>
      </c>
      <c r="R220" s="1"/>
      <c r="S220" s="1"/>
      <c r="T220" s="1"/>
      <c r="U220" s="1"/>
      <c r="V220" s="1"/>
      <c r="W220" s="1"/>
      <c r="X220" s="1"/>
      <c r="Y220" s="1"/>
      <c r="Z220" s="1"/>
      <c r="AA220" s="1"/>
    </row>
    <row r="221">
      <c r="A221" s="199">
        <v>218.0</v>
      </c>
      <c r="B221" s="200">
        <f t="shared" si="6"/>
        <v>3046.641421</v>
      </c>
      <c r="C221" s="200">
        <f>'Deal Analysis'!$D$24/12*E220</f>
        <v>1292.529295</v>
      </c>
      <c r="D221" s="200">
        <f t="shared" si="1"/>
        <v>1754.112126</v>
      </c>
      <c r="E221" s="200">
        <f t="shared" si="2"/>
        <v>170583.1272</v>
      </c>
      <c r="F221" s="1"/>
      <c r="G221" s="199">
        <v>218.0</v>
      </c>
      <c r="H221" s="200">
        <f>if(AND('Deal Analysis'!$D$37*12&lt;G221,'Deal Analysis'!$D$37&gt;0),0,H220)</f>
        <v>333.3333333</v>
      </c>
      <c r="I221" s="200">
        <f>if(H221&gt;0,'Deal Analysis'!$D$35/12*K220,0)</f>
        <v>333.3333333</v>
      </c>
      <c r="J221" s="200">
        <f t="shared" si="3"/>
        <v>0</v>
      </c>
      <c r="K221" s="200">
        <f>if(AND('Deal Analysis'!$D$37*12&lt;G221,'Deal Analysis'!$D$37&gt;0),0,K220-J221)</f>
        <v>50000</v>
      </c>
      <c r="L221" s="1"/>
      <c r="M221" s="199">
        <v>218.0</v>
      </c>
      <c r="N221" s="200">
        <f>if('Deal Analysis'!D259="Yes",'Deal Analysis'!D266,0)</f>
        <v>0</v>
      </c>
      <c r="O221" s="200">
        <f t="shared" si="4"/>
        <v>0</v>
      </c>
      <c r="P221" s="200">
        <f t="shared" si="5"/>
        <v>0</v>
      </c>
      <c r="Q221" s="200">
        <f>if(AND('Deal Analysis'!$D$47*12&lt;M221,'Deal Analysis'!$D$47&gt;0),0,Q220-P221)</f>
        <v>0</v>
      </c>
      <c r="R221" s="1"/>
      <c r="S221" s="1"/>
      <c r="T221" s="1"/>
      <c r="U221" s="1"/>
      <c r="V221" s="1"/>
      <c r="W221" s="1"/>
      <c r="X221" s="1"/>
      <c r="Y221" s="1"/>
      <c r="Z221" s="1"/>
      <c r="AA221" s="1"/>
    </row>
    <row r="222">
      <c r="A222" s="199">
        <v>219.0</v>
      </c>
      <c r="B222" s="200">
        <f t="shared" si="6"/>
        <v>3046.641421</v>
      </c>
      <c r="C222" s="200">
        <f>'Deal Analysis'!$D$24/12*E221</f>
        <v>1279.373454</v>
      </c>
      <c r="D222" s="200">
        <f t="shared" si="1"/>
        <v>1767.267967</v>
      </c>
      <c r="E222" s="200">
        <f t="shared" si="2"/>
        <v>168815.8592</v>
      </c>
      <c r="F222" s="1"/>
      <c r="G222" s="199">
        <v>219.0</v>
      </c>
      <c r="H222" s="200">
        <f>if(AND('Deal Analysis'!$D$37*12&lt;G222,'Deal Analysis'!$D$37&gt;0),0,H221)</f>
        <v>333.3333333</v>
      </c>
      <c r="I222" s="200">
        <f>if(H222&gt;0,'Deal Analysis'!$D$35/12*K221,0)</f>
        <v>333.3333333</v>
      </c>
      <c r="J222" s="200">
        <f t="shared" si="3"/>
        <v>0</v>
      </c>
      <c r="K222" s="200">
        <f>if(AND('Deal Analysis'!$D$37*12&lt;G222,'Deal Analysis'!$D$37&gt;0),0,K221-J222)</f>
        <v>50000</v>
      </c>
      <c r="L222" s="1"/>
      <c r="M222" s="199">
        <v>219.0</v>
      </c>
      <c r="N222" s="200">
        <f>if('Deal Analysis'!D260="Yes",'Deal Analysis'!D267,0)</f>
        <v>0</v>
      </c>
      <c r="O222" s="200">
        <f t="shared" si="4"/>
        <v>0</v>
      </c>
      <c r="P222" s="200">
        <f t="shared" si="5"/>
        <v>0</v>
      </c>
      <c r="Q222" s="200">
        <f>if(AND('Deal Analysis'!$D$47*12&lt;M222,'Deal Analysis'!$D$47&gt;0),0,Q221-P222)</f>
        <v>0</v>
      </c>
      <c r="R222" s="1"/>
      <c r="S222" s="1"/>
      <c r="T222" s="1"/>
      <c r="U222" s="1"/>
      <c r="V222" s="1"/>
      <c r="W222" s="1"/>
      <c r="X222" s="1"/>
      <c r="Y222" s="1"/>
      <c r="Z222" s="1"/>
      <c r="AA222" s="1"/>
    </row>
    <row r="223">
      <c r="A223" s="199">
        <v>220.0</v>
      </c>
      <c r="B223" s="200">
        <f t="shared" si="6"/>
        <v>3046.641421</v>
      </c>
      <c r="C223" s="200">
        <f>'Deal Analysis'!$D$24/12*E222</f>
        <v>1266.118944</v>
      </c>
      <c r="D223" s="200">
        <f t="shared" si="1"/>
        <v>1780.522477</v>
      </c>
      <c r="E223" s="200">
        <f t="shared" si="2"/>
        <v>167035.3368</v>
      </c>
      <c r="F223" s="1"/>
      <c r="G223" s="199">
        <v>220.0</v>
      </c>
      <c r="H223" s="200">
        <f>if(AND('Deal Analysis'!$D$37*12&lt;G223,'Deal Analysis'!$D$37&gt;0),0,H222)</f>
        <v>333.3333333</v>
      </c>
      <c r="I223" s="200">
        <f>if(H223&gt;0,'Deal Analysis'!$D$35/12*K222,0)</f>
        <v>333.3333333</v>
      </c>
      <c r="J223" s="200">
        <f t="shared" si="3"/>
        <v>0</v>
      </c>
      <c r="K223" s="200">
        <f>if(AND('Deal Analysis'!$D$37*12&lt;G223,'Deal Analysis'!$D$37&gt;0),0,K222-J223)</f>
        <v>50000</v>
      </c>
      <c r="L223" s="1"/>
      <c r="M223" s="199">
        <v>220.0</v>
      </c>
      <c r="N223" s="200">
        <f>if('Deal Analysis'!D261="Yes",'Deal Analysis'!D268,0)</f>
        <v>0</v>
      </c>
      <c r="O223" s="200">
        <f t="shared" si="4"/>
        <v>0</v>
      </c>
      <c r="P223" s="200">
        <f t="shared" si="5"/>
        <v>0</v>
      </c>
      <c r="Q223" s="200">
        <f>if(AND('Deal Analysis'!$D$47*12&lt;M223,'Deal Analysis'!$D$47&gt;0),0,Q222-P223)</f>
        <v>0</v>
      </c>
      <c r="R223" s="1"/>
      <c r="S223" s="1"/>
      <c r="T223" s="1"/>
      <c r="U223" s="1"/>
      <c r="V223" s="1"/>
      <c r="W223" s="1"/>
      <c r="X223" s="1"/>
      <c r="Y223" s="1"/>
      <c r="Z223" s="1"/>
      <c r="AA223" s="1"/>
    </row>
    <row r="224">
      <c r="A224" s="199">
        <v>221.0</v>
      </c>
      <c r="B224" s="200">
        <f t="shared" si="6"/>
        <v>3046.641421</v>
      </c>
      <c r="C224" s="200">
        <f>'Deal Analysis'!$D$24/12*E223</f>
        <v>1252.765026</v>
      </c>
      <c r="D224" s="200">
        <f t="shared" si="1"/>
        <v>1793.876395</v>
      </c>
      <c r="E224" s="200">
        <f t="shared" si="2"/>
        <v>165241.4604</v>
      </c>
      <c r="F224" s="1"/>
      <c r="G224" s="199">
        <v>221.0</v>
      </c>
      <c r="H224" s="200">
        <f>if(AND('Deal Analysis'!$D$37*12&lt;G224,'Deal Analysis'!$D$37&gt;0),0,H223)</f>
        <v>333.3333333</v>
      </c>
      <c r="I224" s="200">
        <f>if(H224&gt;0,'Deal Analysis'!$D$35/12*K223,0)</f>
        <v>333.3333333</v>
      </c>
      <c r="J224" s="200">
        <f t="shared" si="3"/>
        <v>0</v>
      </c>
      <c r="K224" s="200">
        <f>if(AND('Deal Analysis'!$D$37*12&lt;G224,'Deal Analysis'!$D$37&gt;0),0,K223-J224)</f>
        <v>50000</v>
      </c>
      <c r="L224" s="1"/>
      <c r="M224" s="199">
        <v>221.0</v>
      </c>
      <c r="N224" s="200">
        <f>if('Deal Analysis'!D262="Yes",'Deal Analysis'!D269,0)</f>
        <v>0</v>
      </c>
      <c r="O224" s="200">
        <f t="shared" si="4"/>
        <v>0</v>
      </c>
      <c r="P224" s="200">
        <f t="shared" si="5"/>
        <v>0</v>
      </c>
      <c r="Q224" s="200">
        <f>if(AND('Deal Analysis'!$D$47*12&lt;M224,'Deal Analysis'!$D$47&gt;0),0,Q223-P224)</f>
        <v>0</v>
      </c>
      <c r="R224" s="1"/>
      <c r="S224" s="1"/>
      <c r="T224" s="1"/>
      <c r="U224" s="1"/>
      <c r="V224" s="1"/>
      <c r="W224" s="1"/>
      <c r="X224" s="1"/>
      <c r="Y224" s="1"/>
      <c r="Z224" s="1"/>
      <c r="AA224" s="1"/>
    </row>
    <row r="225">
      <c r="A225" s="199">
        <v>222.0</v>
      </c>
      <c r="B225" s="200">
        <f t="shared" si="6"/>
        <v>3046.641421</v>
      </c>
      <c r="C225" s="200">
        <f>'Deal Analysis'!$D$24/12*E224</f>
        <v>1239.310953</v>
      </c>
      <c r="D225" s="200">
        <f t="shared" si="1"/>
        <v>1807.330468</v>
      </c>
      <c r="E225" s="200">
        <f t="shared" si="2"/>
        <v>163434.1299</v>
      </c>
      <c r="F225" s="1"/>
      <c r="G225" s="199">
        <v>222.0</v>
      </c>
      <c r="H225" s="200">
        <f>if(AND('Deal Analysis'!$D$37*12&lt;G225,'Deal Analysis'!$D$37&gt;0),0,H224)</f>
        <v>333.3333333</v>
      </c>
      <c r="I225" s="200">
        <f>if(H225&gt;0,'Deal Analysis'!$D$35/12*K224,0)</f>
        <v>333.3333333</v>
      </c>
      <c r="J225" s="200">
        <f t="shared" si="3"/>
        <v>0</v>
      </c>
      <c r="K225" s="200">
        <f>if(AND('Deal Analysis'!$D$37*12&lt;G225,'Deal Analysis'!$D$37&gt;0),0,K224-J225)</f>
        <v>50000</v>
      </c>
      <c r="L225" s="1"/>
      <c r="M225" s="199">
        <v>222.0</v>
      </c>
      <c r="N225" s="200">
        <f>if('Deal Analysis'!D263="Yes",'Deal Analysis'!D270,0)</f>
        <v>0</v>
      </c>
      <c r="O225" s="200">
        <f t="shared" si="4"/>
        <v>0</v>
      </c>
      <c r="P225" s="200">
        <f t="shared" si="5"/>
        <v>0</v>
      </c>
      <c r="Q225" s="200">
        <f>if(AND('Deal Analysis'!$D$47*12&lt;M225,'Deal Analysis'!$D$47&gt;0),0,Q224-P225)</f>
        <v>0</v>
      </c>
      <c r="R225" s="1"/>
      <c r="S225" s="1"/>
      <c r="T225" s="1"/>
      <c r="U225" s="1"/>
      <c r="V225" s="1"/>
      <c r="W225" s="1"/>
      <c r="X225" s="1"/>
      <c r="Y225" s="1"/>
      <c r="Z225" s="1"/>
      <c r="AA225" s="1"/>
    </row>
    <row r="226">
      <c r="A226" s="199">
        <v>223.0</v>
      </c>
      <c r="B226" s="200">
        <f t="shared" si="6"/>
        <v>3046.641421</v>
      </c>
      <c r="C226" s="200">
        <f>'Deal Analysis'!$D$24/12*E225</f>
        <v>1225.755974</v>
      </c>
      <c r="D226" s="200">
        <f t="shared" si="1"/>
        <v>1820.885447</v>
      </c>
      <c r="E226" s="200">
        <f t="shared" si="2"/>
        <v>161613.2445</v>
      </c>
      <c r="F226" s="1"/>
      <c r="G226" s="199">
        <v>223.0</v>
      </c>
      <c r="H226" s="200">
        <f>if(AND('Deal Analysis'!$D$37*12&lt;G226,'Deal Analysis'!$D$37&gt;0),0,H225)</f>
        <v>333.3333333</v>
      </c>
      <c r="I226" s="200">
        <f>if(H226&gt;0,'Deal Analysis'!$D$35/12*K225,0)</f>
        <v>333.3333333</v>
      </c>
      <c r="J226" s="200">
        <f t="shared" si="3"/>
        <v>0</v>
      </c>
      <c r="K226" s="200">
        <f>if(AND('Deal Analysis'!$D$37*12&lt;G226,'Deal Analysis'!$D$37&gt;0),0,K225-J226)</f>
        <v>50000</v>
      </c>
      <c r="L226" s="1"/>
      <c r="M226" s="199">
        <v>223.0</v>
      </c>
      <c r="N226" s="200">
        <f>if('Deal Analysis'!D264="Yes",'Deal Analysis'!D271,0)</f>
        <v>0</v>
      </c>
      <c r="O226" s="200">
        <f t="shared" si="4"/>
        <v>0</v>
      </c>
      <c r="P226" s="200">
        <f t="shared" si="5"/>
        <v>0</v>
      </c>
      <c r="Q226" s="200">
        <f>if(AND('Deal Analysis'!$D$47*12&lt;M226,'Deal Analysis'!$D$47&gt;0),0,Q225-P226)</f>
        <v>0</v>
      </c>
      <c r="R226" s="1"/>
      <c r="S226" s="1"/>
      <c r="T226" s="1"/>
      <c r="U226" s="1"/>
      <c r="V226" s="1"/>
      <c r="W226" s="1"/>
      <c r="X226" s="1"/>
      <c r="Y226" s="1"/>
      <c r="Z226" s="1"/>
      <c r="AA226" s="1"/>
    </row>
    <row r="227">
      <c r="A227" s="199">
        <v>224.0</v>
      </c>
      <c r="B227" s="200">
        <f t="shared" si="6"/>
        <v>3046.641421</v>
      </c>
      <c r="C227" s="200">
        <f>'Deal Analysis'!$D$24/12*E226</f>
        <v>1212.099333</v>
      </c>
      <c r="D227" s="200">
        <f t="shared" si="1"/>
        <v>1834.542088</v>
      </c>
      <c r="E227" s="200">
        <f t="shared" si="2"/>
        <v>159778.7024</v>
      </c>
      <c r="F227" s="1"/>
      <c r="G227" s="199">
        <v>224.0</v>
      </c>
      <c r="H227" s="200">
        <f>if(AND('Deal Analysis'!$D$37*12&lt;G227,'Deal Analysis'!$D$37&gt;0),0,H226)</f>
        <v>333.3333333</v>
      </c>
      <c r="I227" s="200">
        <f>if(H227&gt;0,'Deal Analysis'!$D$35/12*K226,0)</f>
        <v>333.3333333</v>
      </c>
      <c r="J227" s="200">
        <f t="shared" si="3"/>
        <v>0</v>
      </c>
      <c r="K227" s="200">
        <f>if(AND('Deal Analysis'!$D$37*12&lt;G227,'Deal Analysis'!$D$37&gt;0),0,K226-J227)</f>
        <v>50000</v>
      </c>
      <c r="L227" s="1"/>
      <c r="M227" s="199">
        <v>224.0</v>
      </c>
      <c r="N227" s="200">
        <f>if('Deal Analysis'!D265="Yes",'Deal Analysis'!D272,0)</f>
        <v>0</v>
      </c>
      <c r="O227" s="200">
        <f t="shared" si="4"/>
        <v>0</v>
      </c>
      <c r="P227" s="200">
        <f t="shared" si="5"/>
        <v>0</v>
      </c>
      <c r="Q227" s="200">
        <f>if(AND('Deal Analysis'!$D$47*12&lt;M227,'Deal Analysis'!$D$47&gt;0),0,Q226-P227)</f>
        <v>0</v>
      </c>
      <c r="R227" s="1"/>
      <c r="S227" s="1"/>
      <c r="T227" s="1"/>
      <c r="U227" s="1"/>
      <c r="V227" s="1"/>
      <c r="W227" s="1"/>
      <c r="X227" s="1"/>
      <c r="Y227" s="1"/>
      <c r="Z227" s="1"/>
      <c r="AA227" s="1"/>
    </row>
    <row r="228">
      <c r="A228" s="199">
        <v>225.0</v>
      </c>
      <c r="B228" s="200">
        <f t="shared" si="6"/>
        <v>3046.641421</v>
      </c>
      <c r="C228" s="200">
        <f>'Deal Analysis'!$D$24/12*E227</f>
        <v>1198.340268</v>
      </c>
      <c r="D228" s="200">
        <f t="shared" si="1"/>
        <v>1848.301153</v>
      </c>
      <c r="E228" s="200">
        <f t="shared" si="2"/>
        <v>157930.4012</v>
      </c>
      <c r="F228" s="1"/>
      <c r="G228" s="199">
        <v>225.0</v>
      </c>
      <c r="H228" s="200">
        <f>if(AND('Deal Analysis'!$D$37*12&lt;G228,'Deal Analysis'!$D$37&gt;0),0,H227)</f>
        <v>333.3333333</v>
      </c>
      <c r="I228" s="200">
        <f>if(H228&gt;0,'Deal Analysis'!$D$35/12*K227,0)</f>
        <v>333.3333333</v>
      </c>
      <c r="J228" s="200">
        <f t="shared" si="3"/>
        <v>0</v>
      </c>
      <c r="K228" s="200">
        <f>if(AND('Deal Analysis'!$D$37*12&lt;G228,'Deal Analysis'!$D$37&gt;0),0,K227-J228)</f>
        <v>50000</v>
      </c>
      <c r="L228" s="1"/>
      <c r="M228" s="199">
        <v>225.0</v>
      </c>
      <c r="N228" s="200">
        <f>if('Deal Analysis'!D266="Yes",'Deal Analysis'!D273,0)</f>
        <v>0</v>
      </c>
      <c r="O228" s="200">
        <f t="shared" si="4"/>
        <v>0</v>
      </c>
      <c r="P228" s="200">
        <f t="shared" si="5"/>
        <v>0</v>
      </c>
      <c r="Q228" s="200">
        <f>if(AND('Deal Analysis'!$D$47*12&lt;M228,'Deal Analysis'!$D$47&gt;0),0,Q227-P228)</f>
        <v>0</v>
      </c>
      <c r="R228" s="1"/>
      <c r="S228" s="1"/>
      <c r="T228" s="1"/>
      <c r="U228" s="1"/>
      <c r="V228" s="1"/>
      <c r="W228" s="1"/>
      <c r="X228" s="1"/>
      <c r="Y228" s="1"/>
      <c r="Z228" s="1"/>
      <c r="AA228" s="1"/>
    </row>
    <row r="229">
      <c r="A229" s="199">
        <v>226.0</v>
      </c>
      <c r="B229" s="200">
        <f t="shared" si="6"/>
        <v>3046.641421</v>
      </c>
      <c r="C229" s="200">
        <f>'Deal Analysis'!$D$24/12*E228</f>
        <v>1184.478009</v>
      </c>
      <c r="D229" s="200">
        <f t="shared" si="1"/>
        <v>1862.163412</v>
      </c>
      <c r="E229" s="200">
        <f t="shared" si="2"/>
        <v>156068.2378</v>
      </c>
      <c r="F229" s="1"/>
      <c r="G229" s="199">
        <v>226.0</v>
      </c>
      <c r="H229" s="200">
        <f>if(AND('Deal Analysis'!$D$37*12&lt;G229,'Deal Analysis'!$D$37&gt;0),0,H228)</f>
        <v>333.3333333</v>
      </c>
      <c r="I229" s="200">
        <f>if(H229&gt;0,'Deal Analysis'!$D$35/12*K228,0)</f>
        <v>333.3333333</v>
      </c>
      <c r="J229" s="200">
        <f t="shared" si="3"/>
        <v>0</v>
      </c>
      <c r="K229" s="200">
        <f>if(AND('Deal Analysis'!$D$37*12&lt;G229,'Deal Analysis'!$D$37&gt;0),0,K228-J229)</f>
        <v>50000</v>
      </c>
      <c r="L229" s="1"/>
      <c r="M229" s="199">
        <v>226.0</v>
      </c>
      <c r="N229" s="200">
        <f>if('Deal Analysis'!D267="Yes",'Deal Analysis'!D274,0)</f>
        <v>0</v>
      </c>
      <c r="O229" s="200">
        <f t="shared" si="4"/>
        <v>0</v>
      </c>
      <c r="P229" s="200">
        <f t="shared" si="5"/>
        <v>0</v>
      </c>
      <c r="Q229" s="200">
        <f>if(AND('Deal Analysis'!$D$47*12&lt;M229,'Deal Analysis'!$D$47&gt;0),0,Q228-P229)</f>
        <v>0</v>
      </c>
      <c r="R229" s="1"/>
      <c r="S229" s="1"/>
      <c r="T229" s="1"/>
      <c r="U229" s="1"/>
      <c r="V229" s="1"/>
      <c r="W229" s="1"/>
      <c r="X229" s="1"/>
      <c r="Y229" s="1"/>
      <c r="Z229" s="1"/>
      <c r="AA229" s="1"/>
    </row>
    <row r="230">
      <c r="A230" s="199">
        <v>227.0</v>
      </c>
      <c r="B230" s="200">
        <f t="shared" si="6"/>
        <v>3046.641421</v>
      </c>
      <c r="C230" s="200">
        <f>'Deal Analysis'!$D$24/12*E229</f>
        <v>1170.511783</v>
      </c>
      <c r="D230" s="200">
        <f t="shared" si="1"/>
        <v>1876.129638</v>
      </c>
      <c r="E230" s="200">
        <f t="shared" si="2"/>
        <v>154192.1082</v>
      </c>
      <c r="F230" s="1"/>
      <c r="G230" s="199">
        <v>227.0</v>
      </c>
      <c r="H230" s="200">
        <f>if(AND('Deal Analysis'!$D$37*12&lt;G230,'Deal Analysis'!$D$37&gt;0),0,H229)</f>
        <v>333.3333333</v>
      </c>
      <c r="I230" s="200">
        <f>if(H230&gt;0,'Deal Analysis'!$D$35/12*K229,0)</f>
        <v>333.3333333</v>
      </c>
      <c r="J230" s="200">
        <f t="shared" si="3"/>
        <v>0</v>
      </c>
      <c r="K230" s="200">
        <f>if(AND('Deal Analysis'!$D$37*12&lt;G230,'Deal Analysis'!$D$37&gt;0),0,K229-J230)</f>
        <v>50000</v>
      </c>
      <c r="L230" s="1"/>
      <c r="M230" s="199">
        <v>227.0</v>
      </c>
      <c r="N230" s="200">
        <f>if('Deal Analysis'!D268="Yes",'Deal Analysis'!D275,0)</f>
        <v>0</v>
      </c>
      <c r="O230" s="200">
        <f t="shared" si="4"/>
        <v>0</v>
      </c>
      <c r="P230" s="200">
        <f t="shared" si="5"/>
        <v>0</v>
      </c>
      <c r="Q230" s="200">
        <f>if(AND('Deal Analysis'!$D$47*12&lt;M230,'Deal Analysis'!$D$47&gt;0),0,Q229-P230)</f>
        <v>0</v>
      </c>
      <c r="R230" s="1"/>
      <c r="S230" s="1"/>
      <c r="T230" s="1"/>
      <c r="U230" s="1"/>
      <c r="V230" s="1"/>
      <c r="W230" s="1"/>
      <c r="X230" s="1"/>
      <c r="Y230" s="1"/>
      <c r="Z230" s="1"/>
      <c r="AA230" s="1"/>
    </row>
    <row r="231">
      <c r="A231" s="199">
        <v>228.0</v>
      </c>
      <c r="B231" s="200">
        <f t="shared" si="6"/>
        <v>3046.641421</v>
      </c>
      <c r="C231" s="200">
        <f>'Deal Analysis'!$D$24/12*E230</f>
        <v>1156.440811</v>
      </c>
      <c r="D231" s="200">
        <f t="shared" si="1"/>
        <v>1890.20061</v>
      </c>
      <c r="E231" s="200">
        <f t="shared" si="2"/>
        <v>152301.9076</v>
      </c>
      <c r="F231" s="1"/>
      <c r="G231" s="199">
        <v>228.0</v>
      </c>
      <c r="H231" s="200">
        <f>if(AND('Deal Analysis'!$D$37*12&lt;G231,'Deal Analysis'!$D$37&gt;0),0,H230)</f>
        <v>333.3333333</v>
      </c>
      <c r="I231" s="200">
        <f>if(H231&gt;0,'Deal Analysis'!$D$35/12*K230,0)</f>
        <v>333.3333333</v>
      </c>
      <c r="J231" s="200">
        <f t="shared" si="3"/>
        <v>0</v>
      </c>
      <c r="K231" s="200">
        <f>if(AND('Deal Analysis'!$D$37*12&lt;G231,'Deal Analysis'!$D$37&gt;0),0,K230-J231)</f>
        <v>50000</v>
      </c>
      <c r="L231" s="1"/>
      <c r="M231" s="199">
        <v>228.0</v>
      </c>
      <c r="N231" s="200">
        <f>if('Deal Analysis'!D269="Yes",'Deal Analysis'!D276,0)</f>
        <v>0</v>
      </c>
      <c r="O231" s="200">
        <f t="shared" si="4"/>
        <v>0</v>
      </c>
      <c r="P231" s="200">
        <f t="shared" si="5"/>
        <v>0</v>
      </c>
      <c r="Q231" s="200">
        <f>if(AND('Deal Analysis'!$D$47*12&lt;M231,'Deal Analysis'!$D$47&gt;0),0,Q230-P231)</f>
        <v>0</v>
      </c>
      <c r="R231" s="1"/>
      <c r="S231" s="1"/>
      <c r="T231" s="1"/>
      <c r="U231" s="1"/>
      <c r="V231" s="1"/>
      <c r="W231" s="1"/>
      <c r="X231" s="1"/>
      <c r="Y231" s="1"/>
      <c r="Z231" s="1"/>
      <c r="AA231" s="1"/>
    </row>
    <row r="232">
      <c r="A232" s="199">
        <v>229.0</v>
      </c>
      <c r="B232" s="200">
        <f t="shared" si="6"/>
        <v>3046.641421</v>
      </c>
      <c r="C232" s="200">
        <f>'Deal Analysis'!$D$24/12*E231</f>
        <v>1142.264307</v>
      </c>
      <c r="D232" s="200">
        <f t="shared" si="1"/>
        <v>1904.377114</v>
      </c>
      <c r="E232" s="200">
        <f t="shared" si="2"/>
        <v>150397.5304</v>
      </c>
      <c r="F232" s="1"/>
      <c r="G232" s="199">
        <v>229.0</v>
      </c>
      <c r="H232" s="200">
        <f>if(AND('Deal Analysis'!$D$37*12&lt;G232,'Deal Analysis'!$D$37&gt;0),0,H231)</f>
        <v>333.3333333</v>
      </c>
      <c r="I232" s="200">
        <f>if(H232&gt;0,'Deal Analysis'!$D$35/12*K231,0)</f>
        <v>333.3333333</v>
      </c>
      <c r="J232" s="200">
        <f t="shared" si="3"/>
        <v>0</v>
      </c>
      <c r="K232" s="200">
        <f>if(AND('Deal Analysis'!$D$37*12&lt;G232,'Deal Analysis'!$D$37&gt;0),0,K231-J232)</f>
        <v>50000</v>
      </c>
      <c r="L232" s="1"/>
      <c r="M232" s="199">
        <v>229.0</v>
      </c>
      <c r="N232" s="200">
        <f>if('Deal Analysis'!D270="Yes",'Deal Analysis'!D277,0)</f>
        <v>0</v>
      </c>
      <c r="O232" s="200">
        <f t="shared" si="4"/>
        <v>0</v>
      </c>
      <c r="P232" s="200">
        <f t="shared" si="5"/>
        <v>0</v>
      </c>
      <c r="Q232" s="200">
        <f>if(AND('Deal Analysis'!$D$47*12&lt;M232,'Deal Analysis'!$D$47&gt;0),0,Q231-P232)</f>
        <v>0</v>
      </c>
      <c r="R232" s="1"/>
      <c r="S232" s="1"/>
      <c r="T232" s="1"/>
      <c r="U232" s="1"/>
      <c r="V232" s="1"/>
      <c r="W232" s="1"/>
      <c r="X232" s="1"/>
      <c r="Y232" s="1"/>
      <c r="Z232" s="1"/>
      <c r="AA232" s="1"/>
    </row>
    <row r="233">
      <c r="A233" s="199">
        <v>230.0</v>
      </c>
      <c r="B233" s="200">
        <f t="shared" si="6"/>
        <v>3046.641421</v>
      </c>
      <c r="C233" s="200">
        <f>'Deal Analysis'!$D$24/12*E232</f>
        <v>1127.981478</v>
      </c>
      <c r="D233" s="200">
        <f t="shared" si="1"/>
        <v>1918.659943</v>
      </c>
      <c r="E233" s="200">
        <f t="shared" si="2"/>
        <v>148478.8705</v>
      </c>
      <c r="F233" s="1"/>
      <c r="G233" s="199">
        <v>230.0</v>
      </c>
      <c r="H233" s="200">
        <f>if(AND('Deal Analysis'!$D$37*12&lt;G233,'Deal Analysis'!$D$37&gt;0),0,H232)</f>
        <v>333.3333333</v>
      </c>
      <c r="I233" s="200">
        <f>if(H233&gt;0,'Deal Analysis'!$D$35/12*K232,0)</f>
        <v>333.3333333</v>
      </c>
      <c r="J233" s="200">
        <f t="shared" si="3"/>
        <v>0</v>
      </c>
      <c r="K233" s="200">
        <f>if(AND('Deal Analysis'!$D$37*12&lt;G233,'Deal Analysis'!$D$37&gt;0),0,K232-J233)</f>
        <v>50000</v>
      </c>
      <c r="L233" s="1"/>
      <c r="M233" s="199">
        <v>230.0</v>
      </c>
      <c r="N233" s="200">
        <f>if('Deal Analysis'!D271="Yes",'Deal Analysis'!D278,0)</f>
        <v>0</v>
      </c>
      <c r="O233" s="200">
        <f t="shared" si="4"/>
        <v>0</v>
      </c>
      <c r="P233" s="200">
        <f t="shared" si="5"/>
        <v>0</v>
      </c>
      <c r="Q233" s="200">
        <f>if(AND('Deal Analysis'!$D$47*12&lt;M233,'Deal Analysis'!$D$47&gt;0),0,Q232-P233)</f>
        <v>0</v>
      </c>
      <c r="R233" s="1"/>
      <c r="S233" s="1"/>
      <c r="T233" s="1"/>
      <c r="U233" s="1"/>
      <c r="V233" s="1"/>
      <c r="W233" s="1"/>
      <c r="X233" s="1"/>
      <c r="Y233" s="1"/>
      <c r="Z233" s="1"/>
      <c r="AA233" s="1"/>
    </row>
    <row r="234">
      <c r="A234" s="199">
        <v>231.0</v>
      </c>
      <c r="B234" s="200">
        <f t="shared" si="6"/>
        <v>3046.641421</v>
      </c>
      <c r="C234" s="200">
        <f>'Deal Analysis'!$D$24/12*E233</f>
        <v>1113.591529</v>
      </c>
      <c r="D234" s="200">
        <f t="shared" si="1"/>
        <v>1933.049892</v>
      </c>
      <c r="E234" s="200">
        <f t="shared" si="2"/>
        <v>146545.8206</v>
      </c>
      <c r="F234" s="1"/>
      <c r="G234" s="199">
        <v>231.0</v>
      </c>
      <c r="H234" s="200">
        <f>if(AND('Deal Analysis'!$D$37*12&lt;G234,'Deal Analysis'!$D$37&gt;0),0,H233)</f>
        <v>333.3333333</v>
      </c>
      <c r="I234" s="200">
        <f>if(H234&gt;0,'Deal Analysis'!$D$35/12*K233,0)</f>
        <v>333.3333333</v>
      </c>
      <c r="J234" s="200">
        <f t="shared" si="3"/>
        <v>0</v>
      </c>
      <c r="K234" s="200">
        <f>if(AND('Deal Analysis'!$D$37*12&lt;G234,'Deal Analysis'!$D$37&gt;0),0,K233-J234)</f>
        <v>50000</v>
      </c>
      <c r="L234" s="1"/>
      <c r="M234" s="199">
        <v>231.0</v>
      </c>
      <c r="N234" s="200">
        <f>if('Deal Analysis'!D272="Yes",'Deal Analysis'!D279,0)</f>
        <v>0</v>
      </c>
      <c r="O234" s="200">
        <f t="shared" si="4"/>
        <v>0</v>
      </c>
      <c r="P234" s="200">
        <f t="shared" si="5"/>
        <v>0</v>
      </c>
      <c r="Q234" s="200">
        <f>if(AND('Deal Analysis'!$D$47*12&lt;M234,'Deal Analysis'!$D$47&gt;0),0,Q233-P234)</f>
        <v>0</v>
      </c>
      <c r="R234" s="1"/>
      <c r="S234" s="1"/>
      <c r="T234" s="1"/>
      <c r="U234" s="1"/>
      <c r="V234" s="1"/>
      <c r="W234" s="1"/>
      <c r="X234" s="1"/>
      <c r="Y234" s="1"/>
      <c r="Z234" s="1"/>
      <c r="AA234" s="1"/>
    </row>
    <row r="235">
      <c r="A235" s="199">
        <v>232.0</v>
      </c>
      <c r="B235" s="200">
        <f t="shared" si="6"/>
        <v>3046.641421</v>
      </c>
      <c r="C235" s="200">
        <f>'Deal Analysis'!$D$24/12*E234</f>
        <v>1099.093655</v>
      </c>
      <c r="D235" s="200">
        <f t="shared" si="1"/>
        <v>1947.547766</v>
      </c>
      <c r="E235" s="200">
        <f t="shared" si="2"/>
        <v>144598.2728</v>
      </c>
      <c r="F235" s="1"/>
      <c r="G235" s="199">
        <v>232.0</v>
      </c>
      <c r="H235" s="200">
        <f>if(AND('Deal Analysis'!$D$37*12&lt;G235,'Deal Analysis'!$D$37&gt;0),0,H234)</f>
        <v>333.3333333</v>
      </c>
      <c r="I235" s="200">
        <f>if(H235&gt;0,'Deal Analysis'!$D$35/12*K234,0)</f>
        <v>333.3333333</v>
      </c>
      <c r="J235" s="200">
        <f t="shared" si="3"/>
        <v>0</v>
      </c>
      <c r="K235" s="200">
        <f>if(AND('Deal Analysis'!$D$37*12&lt;G235,'Deal Analysis'!$D$37&gt;0),0,K234-J235)</f>
        <v>50000</v>
      </c>
      <c r="L235" s="1"/>
      <c r="M235" s="199">
        <v>232.0</v>
      </c>
      <c r="N235" s="200">
        <f>if('Deal Analysis'!D273="Yes",'Deal Analysis'!D280,0)</f>
        <v>0</v>
      </c>
      <c r="O235" s="200">
        <f t="shared" si="4"/>
        <v>0</v>
      </c>
      <c r="P235" s="200">
        <f t="shared" si="5"/>
        <v>0</v>
      </c>
      <c r="Q235" s="200">
        <f>if(AND('Deal Analysis'!$D$47*12&lt;M235,'Deal Analysis'!$D$47&gt;0),0,Q234-P235)</f>
        <v>0</v>
      </c>
      <c r="R235" s="1"/>
      <c r="S235" s="1"/>
      <c r="T235" s="1"/>
      <c r="U235" s="1"/>
      <c r="V235" s="1"/>
      <c r="W235" s="1"/>
      <c r="X235" s="1"/>
      <c r="Y235" s="1"/>
      <c r="Z235" s="1"/>
      <c r="AA235" s="1"/>
    </row>
    <row r="236">
      <c r="A236" s="199">
        <v>233.0</v>
      </c>
      <c r="B236" s="200">
        <f t="shared" si="6"/>
        <v>3046.641421</v>
      </c>
      <c r="C236" s="200">
        <f>'Deal Analysis'!$D$24/12*E235</f>
        <v>1084.487046</v>
      </c>
      <c r="D236" s="200">
        <f t="shared" si="1"/>
        <v>1962.154375</v>
      </c>
      <c r="E236" s="200">
        <f t="shared" si="2"/>
        <v>142636.1185</v>
      </c>
      <c r="F236" s="1"/>
      <c r="G236" s="199">
        <v>233.0</v>
      </c>
      <c r="H236" s="200">
        <f>if(AND('Deal Analysis'!$D$37*12&lt;G236,'Deal Analysis'!$D$37&gt;0),0,H235)</f>
        <v>333.3333333</v>
      </c>
      <c r="I236" s="200">
        <f>if(H236&gt;0,'Deal Analysis'!$D$35/12*K235,0)</f>
        <v>333.3333333</v>
      </c>
      <c r="J236" s="200">
        <f t="shared" si="3"/>
        <v>0</v>
      </c>
      <c r="K236" s="200">
        <f>if(AND('Deal Analysis'!$D$37*12&lt;G236,'Deal Analysis'!$D$37&gt;0),0,K235-J236)</f>
        <v>50000</v>
      </c>
      <c r="L236" s="1"/>
      <c r="M236" s="199">
        <v>233.0</v>
      </c>
      <c r="N236" s="200">
        <f>if('Deal Analysis'!D274="Yes",'Deal Analysis'!D281,0)</f>
        <v>0</v>
      </c>
      <c r="O236" s="200">
        <f t="shared" si="4"/>
        <v>0</v>
      </c>
      <c r="P236" s="200">
        <f t="shared" si="5"/>
        <v>0</v>
      </c>
      <c r="Q236" s="200">
        <f>if(AND('Deal Analysis'!$D$47*12&lt;M236,'Deal Analysis'!$D$47&gt;0),0,Q235-P236)</f>
        <v>0</v>
      </c>
      <c r="R236" s="1"/>
      <c r="S236" s="1"/>
      <c r="T236" s="1"/>
      <c r="U236" s="1"/>
      <c r="V236" s="1"/>
      <c r="W236" s="1"/>
      <c r="X236" s="1"/>
      <c r="Y236" s="1"/>
      <c r="Z236" s="1"/>
      <c r="AA236" s="1"/>
    </row>
    <row r="237">
      <c r="A237" s="199">
        <v>234.0</v>
      </c>
      <c r="B237" s="200">
        <f t="shared" si="6"/>
        <v>3046.641421</v>
      </c>
      <c r="C237" s="200">
        <f>'Deal Analysis'!$D$24/12*E236</f>
        <v>1069.770888</v>
      </c>
      <c r="D237" s="200">
        <f t="shared" si="1"/>
        <v>1976.870533</v>
      </c>
      <c r="E237" s="200">
        <f t="shared" si="2"/>
        <v>140659.2479</v>
      </c>
      <c r="F237" s="1"/>
      <c r="G237" s="199">
        <v>234.0</v>
      </c>
      <c r="H237" s="200">
        <f>if(AND('Deal Analysis'!$D$37*12&lt;G237,'Deal Analysis'!$D$37&gt;0),0,H236)</f>
        <v>333.3333333</v>
      </c>
      <c r="I237" s="200">
        <f>if(H237&gt;0,'Deal Analysis'!$D$35/12*K236,0)</f>
        <v>333.3333333</v>
      </c>
      <c r="J237" s="200">
        <f t="shared" si="3"/>
        <v>0</v>
      </c>
      <c r="K237" s="200">
        <f>if(AND('Deal Analysis'!$D$37*12&lt;G237,'Deal Analysis'!$D$37&gt;0),0,K236-J237)</f>
        <v>50000</v>
      </c>
      <c r="L237" s="1"/>
      <c r="M237" s="199">
        <v>234.0</v>
      </c>
      <c r="N237" s="200">
        <f>if('Deal Analysis'!D275="Yes",'Deal Analysis'!D282,0)</f>
        <v>0</v>
      </c>
      <c r="O237" s="200">
        <f t="shared" si="4"/>
        <v>0</v>
      </c>
      <c r="P237" s="200">
        <f t="shared" si="5"/>
        <v>0</v>
      </c>
      <c r="Q237" s="200">
        <f>if(AND('Deal Analysis'!$D$47*12&lt;M237,'Deal Analysis'!$D$47&gt;0),0,Q236-P237)</f>
        <v>0</v>
      </c>
      <c r="R237" s="1"/>
      <c r="S237" s="1"/>
      <c r="T237" s="1"/>
      <c r="U237" s="1"/>
      <c r="V237" s="1"/>
      <c r="W237" s="1"/>
      <c r="X237" s="1"/>
      <c r="Y237" s="1"/>
      <c r="Z237" s="1"/>
      <c r="AA237" s="1"/>
    </row>
    <row r="238">
      <c r="A238" s="199">
        <v>235.0</v>
      </c>
      <c r="B238" s="200">
        <f t="shared" si="6"/>
        <v>3046.641421</v>
      </c>
      <c r="C238" s="200">
        <f>'Deal Analysis'!$D$24/12*E237</f>
        <v>1054.944359</v>
      </c>
      <c r="D238" s="200">
        <f t="shared" si="1"/>
        <v>1991.697062</v>
      </c>
      <c r="E238" s="200">
        <f t="shared" si="2"/>
        <v>138667.5509</v>
      </c>
      <c r="F238" s="1"/>
      <c r="G238" s="199">
        <v>235.0</v>
      </c>
      <c r="H238" s="200">
        <f>if(AND('Deal Analysis'!$D$37*12&lt;G238,'Deal Analysis'!$D$37&gt;0),0,H237)</f>
        <v>333.3333333</v>
      </c>
      <c r="I238" s="200">
        <f>if(H238&gt;0,'Deal Analysis'!$D$35/12*K237,0)</f>
        <v>333.3333333</v>
      </c>
      <c r="J238" s="200">
        <f t="shared" si="3"/>
        <v>0</v>
      </c>
      <c r="K238" s="200">
        <f>if(AND('Deal Analysis'!$D$37*12&lt;G238,'Deal Analysis'!$D$37&gt;0),0,K237-J238)</f>
        <v>50000</v>
      </c>
      <c r="L238" s="1"/>
      <c r="M238" s="199">
        <v>235.0</v>
      </c>
      <c r="N238" s="200">
        <f>if('Deal Analysis'!D276="Yes",'Deal Analysis'!D283,0)</f>
        <v>0</v>
      </c>
      <c r="O238" s="200">
        <f t="shared" si="4"/>
        <v>0</v>
      </c>
      <c r="P238" s="200">
        <f t="shared" si="5"/>
        <v>0</v>
      </c>
      <c r="Q238" s="200">
        <f>if(AND('Deal Analysis'!$D$47*12&lt;M238,'Deal Analysis'!$D$47&gt;0),0,Q237-P238)</f>
        <v>0</v>
      </c>
      <c r="R238" s="1"/>
      <c r="S238" s="1"/>
      <c r="T238" s="1"/>
      <c r="U238" s="1"/>
      <c r="V238" s="1"/>
      <c r="W238" s="1"/>
      <c r="X238" s="1"/>
      <c r="Y238" s="1"/>
      <c r="Z238" s="1"/>
      <c r="AA238" s="1"/>
    </row>
    <row r="239">
      <c r="A239" s="199">
        <v>236.0</v>
      </c>
      <c r="B239" s="200">
        <f t="shared" si="6"/>
        <v>3046.641421</v>
      </c>
      <c r="C239" s="200">
        <f>'Deal Analysis'!$D$24/12*E238</f>
        <v>1040.006632</v>
      </c>
      <c r="D239" s="200">
        <f t="shared" si="1"/>
        <v>2006.634789</v>
      </c>
      <c r="E239" s="200">
        <f t="shared" si="2"/>
        <v>136660.9161</v>
      </c>
      <c r="F239" s="1"/>
      <c r="G239" s="199">
        <v>236.0</v>
      </c>
      <c r="H239" s="200">
        <f>if(AND('Deal Analysis'!$D$37*12&lt;G239,'Deal Analysis'!$D$37&gt;0),0,H238)</f>
        <v>333.3333333</v>
      </c>
      <c r="I239" s="200">
        <f>if(H239&gt;0,'Deal Analysis'!$D$35/12*K238,0)</f>
        <v>333.3333333</v>
      </c>
      <c r="J239" s="200">
        <f t="shared" si="3"/>
        <v>0</v>
      </c>
      <c r="K239" s="200">
        <f>if(AND('Deal Analysis'!$D$37*12&lt;G239,'Deal Analysis'!$D$37&gt;0),0,K238-J239)</f>
        <v>50000</v>
      </c>
      <c r="L239" s="1"/>
      <c r="M239" s="199">
        <v>236.0</v>
      </c>
      <c r="N239" s="200">
        <f>if('Deal Analysis'!D277="Yes",'Deal Analysis'!D284,0)</f>
        <v>0</v>
      </c>
      <c r="O239" s="200">
        <f t="shared" si="4"/>
        <v>0</v>
      </c>
      <c r="P239" s="200">
        <f t="shared" si="5"/>
        <v>0</v>
      </c>
      <c r="Q239" s="200">
        <f>if(AND('Deal Analysis'!$D$47*12&lt;M239,'Deal Analysis'!$D$47&gt;0),0,Q238-P239)</f>
        <v>0</v>
      </c>
      <c r="R239" s="1"/>
      <c r="S239" s="1"/>
      <c r="T239" s="1"/>
      <c r="U239" s="1"/>
      <c r="V239" s="1"/>
      <c r="W239" s="1"/>
      <c r="X239" s="1"/>
      <c r="Y239" s="1"/>
      <c r="Z239" s="1"/>
      <c r="AA239" s="1"/>
    </row>
    <row r="240">
      <c r="A240" s="199">
        <v>237.0</v>
      </c>
      <c r="B240" s="200">
        <f t="shared" si="6"/>
        <v>3046.641421</v>
      </c>
      <c r="C240" s="200">
        <f>'Deal Analysis'!$D$24/12*E239</f>
        <v>1024.956871</v>
      </c>
      <c r="D240" s="200">
        <f t="shared" si="1"/>
        <v>2021.68455</v>
      </c>
      <c r="E240" s="200">
        <f t="shared" si="2"/>
        <v>134639.2315</v>
      </c>
      <c r="F240" s="1"/>
      <c r="G240" s="199">
        <v>237.0</v>
      </c>
      <c r="H240" s="200">
        <f>if(AND('Deal Analysis'!$D$37*12&lt;G240,'Deal Analysis'!$D$37&gt;0),0,H239)</f>
        <v>333.3333333</v>
      </c>
      <c r="I240" s="200">
        <f>if(H240&gt;0,'Deal Analysis'!$D$35/12*K239,0)</f>
        <v>333.3333333</v>
      </c>
      <c r="J240" s="200">
        <f t="shared" si="3"/>
        <v>0</v>
      </c>
      <c r="K240" s="200">
        <f>if(AND('Deal Analysis'!$D$37*12&lt;G240,'Deal Analysis'!$D$37&gt;0),0,K239-J240)</f>
        <v>50000</v>
      </c>
      <c r="L240" s="1"/>
      <c r="M240" s="199">
        <v>237.0</v>
      </c>
      <c r="N240" s="200">
        <f>if('Deal Analysis'!D278="Yes",'Deal Analysis'!D285,0)</f>
        <v>0</v>
      </c>
      <c r="O240" s="200">
        <f t="shared" si="4"/>
        <v>0</v>
      </c>
      <c r="P240" s="200">
        <f t="shared" si="5"/>
        <v>0</v>
      </c>
      <c r="Q240" s="200">
        <f>if(AND('Deal Analysis'!$D$47*12&lt;M240,'Deal Analysis'!$D$47&gt;0),0,Q239-P240)</f>
        <v>0</v>
      </c>
      <c r="R240" s="1"/>
      <c r="S240" s="1"/>
      <c r="T240" s="1"/>
      <c r="U240" s="1"/>
      <c r="V240" s="1"/>
      <c r="W240" s="1"/>
      <c r="X240" s="1"/>
      <c r="Y240" s="1"/>
      <c r="Z240" s="1"/>
      <c r="AA240" s="1"/>
    </row>
    <row r="241">
      <c r="A241" s="199">
        <v>238.0</v>
      </c>
      <c r="B241" s="200">
        <f t="shared" si="6"/>
        <v>3046.641421</v>
      </c>
      <c r="C241" s="200">
        <f>'Deal Analysis'!$D$24/12*E240</f>
        <v>1009.794236</v>
      </c>
      <c r="D241" s="200">
        <f t="shared" si="1"/>
        <v>2036.847185</v>
      </c>
      <c r="E241" s="200">
        <f t="shared" si="2"/>
        <v>132602.3843</v>
      </c>
      <c r="F241" s="1"/>
      <c r="G241" s="199">
        <v>238.0</v>
      </c>
      <c r="H241" s="200">
        <f>if(AND('Deal Analysis'!$D$37*12&lt;G241,'Deal Analysis'!$D$37&gt;0),0,H240)</f>
        <v>333.3333333</v>
      </c>
      <c r="I241" s="200">
        <f>if(H241&gt;0,'Deal Analysis'!$D$35/12*K240,0)</f>
        <v>333.3333333</v>
      </c>
      <c r="J241" s="200">
        <f t="shared" si="3"/>
        <v>0</v>
      </c>
      <c r="K241" s="200">
        <f>if(AND('Deal Analysis'!$D$37*12&lt;G241,'Deal Analysis'!$D$37&gt;0),0,K240-J241)</f>
        <v>50000</v>
      </c>
      <c r="L241" s="1"/>
      <c r="M241" s="199">
        <v>238.0</v>
      </c>
      <c r="N241" s="200">
        <f>if('Deal Analysis'!D279="Yes",'Deal Analysis'!D286,0)</f>
        <v>0</v>
      </c>
      <c r="O241" s="200">
        <f t="shared" si="4"/>
        <v>0</v>
      </c>
      <c r="P241" s="200">
        <f t="shared" si="5"/>
        <v>0</v>
      </c>
      <c r="Q241" s="200">
        <f>if(AND('Deal Analysis'!$D$47*12&lt;M241,'Deal Analysis'!$D$47&gt;0),0,Q240-P241)</f>
        <v>0</v>
      </c>
      <c r="R241" s="1"/>
      <c r="S241" s="1"/>
      <c r="T241" s="1"/>
      <c r="U241" s="1"/>
      <c r="V241" s="1"/>
      <c r="W241" s="1"/>
      <c r="X241" s="1"/>
      <c r="Y241" s="1"/>
      <c r="Z241" s="1"/>
      <c r="AA241" s="1"/>
    </row>
    <row r="242">
      <c r="A242" s="199">
        <v>239.0</v>
      </c>
      <c r="B242" s="200">
        <f t="shared" si="6"/>
        <v>3046.641421</v>
      </c>
      <c r="C242" s="200">
        <f>'Deal Analysis'!$D$24/12*E241</f>
        <v>994.5178826</v>
      </c>
      <c r="D242" s="200">
        <f t="shared" si="1"/>
        <v>2052.123538</v>
      </c>
      <c r="E242" s="200">
        <f t="shared" si="2"/>
        <v>130550.2608</v>
      </c>
      <c r="F242" s="1"/>
      <c r="G242" s="199">
        <v>239.0</v>
      </c>
      <c r="H242" s="200">
        <f>if(AND('Deal Analysis'!$D$37*12&lt;G242,'Deal Analysis'!$D$37&gt;0),0,H241)</f>
        <v>333.3333333</v>
      </c>
      <c r="I242" s="200">
        <f>if(H242&gt;0,'Deal Analysis'!$D$35/12*K241,0)</f>
        <v>333.3333333</v>
      </c>
      <c r="J242" s="200">
        <f t="shared" si="3"/>
        <v>0</v>
      </c>
      <c r="K242" s="200">
        <f>if(AND('Deal Analysis'!$D$37*12&lt;G242,'Deal Analysis'!$D$37&gt;0),0,K241-J242)</f>
        <v>50000</v>
      </c>
      <c r="L242" s="1"/>
      <c r="M242" s="199">
        <v>239.0</v>
      </c>
      <c r="N242" s="200">
        <f>if('Deal Analysis'!D280="Yes",'Deal Analysis'!D287,0)</f>
        <v>0</v>
      </c>
      <c r="O242" s="200">
        <f t="shared" si="4"/>
        <v>0</v>
      </c>
      <c r="P242" s="200">
        <f t="shared" si="5"/>
        <v>0</v>
      </c>
      <c r="Q242" s="200">
        <f>if(AND('Deal Analysis'!$D$47*12&lt;M242,'Deal Analysis'!$D$47&gt;0),0,Q241-P242)</f>
        <v>0</v>
      </c>
      <c r="R242" s="1"/>
      <c r="S242" s="1"/>
      <c r="T242" s="1"/>
      <c r="U242" s="1"/>
      <c r="V242" s="1"/>
      <c r="W242" s="1"/>
      <c r="X242" s="1"/>
      <c r="Y242" s="1"/>
      <c r="Z242" s="1"/>
      <c r="AA242" s="1"/>
    </row>
    <row r="243">
      <c r="A243" s="199">
        <v>240.0</v>
      </c>
      <c r="B243" s="200">
        <f t="shared" si="6"/>
        <v>3046.641421</v>
      </c>
      <c r="C243" s="200">
        <f>'Deal Analysis'!$D$24/12*E242</f>
        <v>979.126956</v>
      </c>
      <c r="D243" s="200">
        <f t="shared" si="1"/>
        <v>2067.514465</v>
      </c>
      <c r="E243" s="200">
        <f t="shared" si="2"/>
        <v>128482.7463</v>
      </c>
      <c r="F243" s="1"/>
      <c r="G243" s="199">
        <v>240.0</v>
      </c>
      <c r="H243" s="200">
        <f>if(AND('Deal Analysis'!$D$37*12&lt;G243,'Deal Analysis'!$D$37&gt;0),0,H242)</f>
        <v>333.3333333</v>
      </c>
      <c r="I243" s="200">
        <f>if(H243&gt;0,'Deal Analysis'!$D$35/12*K242,0)</f>
        <v>333.3333333</v>
      </c>
      <c r="J243" s="200">
        <f t="shared" si="3"/>
        <v>0</v>
      </c>
      <c r="K243" s="200">
        <f>if(AND('Deal Analysis'!$D$37*12&lt;G243,'Deal Analysis'!$D$37&gt;0),0,K242-J243)</f>
        <v>50000</v>
      </c>
      <c r="L243" s="1"/>
      <c r="M243" s="199">
        <v>240.0</v>
      </c>
      <c r="N243" s="200">
        <f>if('Deal Analysis'!D281="Yes",'Deal Analysis'!D288,0)</f>
        <v>0</v>
      </c>
      <c r="O243" s="200">
        <f t="shared" si="4"/>
        <v>0</v>
      </c>
      <c r="P243" s="200">
        <f t="shared" si="5"/>
        <v>0</v>
      </c>
      <c r="Q243" s="200">
        <f>if(AND('Deal Analysis'!$D$47*12&lt;M243,'Deal Analysis'!$D$47&gt;0),0,Q242-P243)</f>
        <v>0</v>
      </c>
      <c r="R243" s="1"/>
      <c r="S243" s="1"/>
      <c r="T243" s="1"/>
      <c r="U243" s="1"/>
      <c r="V243" s="1"/>
      <c r="W243" s="1"/>
      <c r="X243" s="1"/>
      <c r="Y243" s="1"/>
      <c r="Z243" s="1"/>
      <c r="AA243" s="1"/>
    </row>
    <row r="244">
      <c r="A244" s="199">
        <v>241.0</v>
      </c>
      <c r="B244" s="200">
        <f t="shared" si="6"/>
        <v>3046.641421</v>
      </c>
      <c r="C244" s="200">
        <f>'Deal Analysis'!$D$24/12*E243</f>
        <v>963.6205975</v>
      </c>
      <c r="D244" s="200">
        <f t="shared" si="1"/>
        <v>2083.020823</v>
      </c>
      <c r="E244" s="200">
        <f t="shared" si="2"/>
        <v>126399.7255</v>
      </c>
      <c r="F244" s="1"/>
      <c r="G244" s="199">
        <v>241.0</v>
      </c>
      <c r="H244" s="200">
        <f>if(AND('Deal Analysis'!$D$37*12&lt;G244,'Deal Analysis'!$D$37&gt;0),0,H243)</f>
        <v>333.3333333</v>
      </c>
      <c r="I244" s="200">
        <f>if(H244&gt;0,'Deal Analysis'!$D$35/12*K243,0)</f>
        <v>333.3333333</v>
      </c>
      <c r="J244" s="200">
        <f t="shared" si="3"/>
        <v>0</v>
      </c>
      <c r="K244" s="200">
        <f>if(AND('Deal Analysis'!$D$37*12&lt;G244,'Deal Analysis'!$D$37&gt;0),0,K243-J244)</f>
        <v>50000</v>
      </c>
      <c r="L244" s="1"/>
      <c r="M244" s="199">
        <v>241.0</v>
      </c>
      <c r="N244" s="200">
        <f>if('Deal Analysis'!D282="Yes",'Deal Analysis'!D289,0)</f>
        <v>0</v>
      </c>
      <c r="O244" s="200">
        <f t="shared" si="4"/>
        <v>0</v>
      </c>
      <c r="P244" s="200">
        <f t="shared" si="5"/>
        <v>0</v>
      </c>
      <c r="Q244" s="200">
        <f>if(AND('Deal Analysis'!$D$47*12&lt;M244,'Deal Analysis'!$D$47&gt;0),0,Q243-P244)</f>
        <v>0</v>
      </c>
      <c r="R244" s="1"/>
      <c r="S244" s="1"/>
      <c r="T244" s="1"/>
      <c r="U244" s="1"/>
      <c r="V244" s="1"/>
      <c r="W244" s="1"/>
      <c r="X244" s="1"/>
      <c r="Y244" s="1"/>
      <c r="Z244" s="1"/>
      <c r="AA244" s="1"/>
    </row>
    <row r="245">
      <c r="A245" s="199">
        <v>242.0</v>
      </c>
      <c r="B245" s="200">
        <f t="shared" si="6"/>
        <v>3046.641421</v>
      </c>
      <c r="C245" s="200">
        <f>'Deal Analysis'!$D$24/12*E244</f>
        <v>947.9979414</v>
      </c>
      <c r="D245" s="200">
        <f t="shared" si="1"/>
        <v>2098.64348</v>
      </c>
      <c r="E245" s="200">
        <f t="shared" si="2"/>
        <v>124301.082</v>
      </c>
      <c r="F245" s="1"/>
      <c r="G245" s="199">
        <v>242.0</v>
      </c>
      <c r="H245" s="200">
        <f>if(AND('Deal Analysis'!$D$37*12&lt;G245,'Deal Analysis'!$D$37&gt;0),0,H244)</f>
        <v>333.3333333</v>
      </c>
      <c r="I245" s="200">
        <f>if(H245&gt;0,'Deal Analysis'!$D$35/12*K244,0)</f>
        <v>333.3333333</v>
      </c>
      <c r="J245" s="200">
        <f t="shared" si="3"/>
        <v>0</v>
      </c>
      <c r="K245" s="200">
        <f>if(AND('Deal Analysis'!$D$37*12&lt;G245,'Deal Analysis'!$D$37&gt;0),0,K244-J245)</f>
        <v>50000</v>
      </c>
      <c r="L245" s="1"/>
      <c r="M245" s="199">
        <v>242.0</v>
      </c>
      <c r="N245" s="200">
        <f>if('Deal Analysis'!D283="Yes",'Deal Analysis'!D290,0)</f>
        <v>0</v>
      </c>
      <c r="O245" s="200">
        <f t="shared" si="4"/>
        <v>0</v>
      </c>
      <c r="P245" s="200">
        <f t="shared" si="5"/>
        <v>0</v>
      </c>
      <c r="Q245" s="200">
        <f>if(AND('Deal Analysis'!$D$47*12&lt;M245,'Deal Analysis'!$D$47&gt;0),0,Q244-P245)</f>
        <v>0</v>
      </c>
      <c r="R245" s="1"/>
      <c r="S245" s="1"/>
      <c r="T245" s="1"/>
      <c r="U245" s="1"/>
      <c r="V245" s="1"/>
      <c r="W245" s="1"/>
      <c r="X245" s="1"/>
      <c r="Y245" s="1"/>
      <c r="Z245" s="1"/>
      <c r="AA245" s="1"/>
    </row>
    <row r="246">
      <c r="A246" s="199">
        <v>243.0</v>
      </c>
      <c r="B246" s="200">
        <f t="shared" si="6"/>
        <v>3046.641421</v>
      </c>
      <c r="C246" s="200">
        <f>'Deal Analysis'!$D$24/12*E245</f>
        <v>932.2581153</v>
      </c>
      <c r="D246" s="200">
        <f t="shared" si="1"/>
        <v>2114.383306</v>
      </c>
      <c r="E246" s="200">
        <f t="shared" si="2"/>
        <v>122186.6987</v>
      </c>
      <c r="F246" s="1"/>
      <c r="G246" s="199">
        <v>243.0</v>
      </c>
      <c r="H246" s="200">
        <f>if(AND('Deal Analysis'!$D$37*12&lt;G246,'Deal Analysis'!$D$37&gt;0),0,H245)</f>
        <v>333.3333333</v>
      </c>
      <c r="I246" s="200">
        <f>if(H246&gt;0,'Deal Analysis'!$D$35/12*K245,0)</f>
        <v>333.3333333</v>
      </c>
      <c r="J246" s="200">
        <f t="shared" si="3"/>
        <v>0</v>
      </c>
      <c r="K246" s="200">
        <f>if(AND('Deal Analysis'!$D$37*12&lt;G246,'Deal Analysis'!$D$37&gt;0),0,K245-J246)</f>
        <v>50000</v>
      </c>
      <c r="L246" s="1"/>
      <c r="M246" s="199">
        <v>243.0</v>
      </c>
      <c r="N246" s="200">
        <f>if('Deal Analysis'!D284="Yes",'Deal Analysis'!D291,0)</f>
        <v>0</v>
      </c>
      <c r="O246" s="200">
        <f t="shared" si="4"/>
        <v>0</v>
      </c>
      <c r="P246" s="200">
        <f t="shared" si="5"/>
        <v>0</v>
      </c>
      <c r="Q246" s="200">
        <f>if(AND('Deal Analysis'!$D$47*12&lt;M246,'Deal Analysis'!$D$47&gt;0),0,Q245-P246)</f>
        <v>0</v>
      </c>
      <c r="R246" s="1"/>
      <c r="S246" s="1"/>
      <c r="T246" s="1"/>
      <c r="U246" s="1"/>
      <c r="V246" s="1"/>
      <c r="W246" s="1"/>
      <c r="X246" s="1"/>
      <c r="Y246" s="1"/>
      <c r="Z246" s="1"/>
      <c r="AA246" s="1"/>
    </row>
    <row r="247">
      <c r="A247" s="199">
        <v>244.0</v>
      </c>
      <c r="B247" s="200">
        <f t="shared" si="6"/>
        <v>3046.641421</v>
      </c>
      <c r="C247" s="200">
        <f>'Deal Analysis'!$D$24/12*E246</f>
        <v>916.4002405</v>
      </c>
      <c r="D247" s="200">
        <f t="shared" si="1"/>
        <v>2130.241181</v>
      </c>
      <c r="E247" s="200">
        <f t="shared" si="2"/>
        <v>120056.4576</v>
      </c>
      <c r="F247" s="1"/>
      <c r="G247" s="199">
        <v>244.0</v>
      </c>
      <c r="H247" s="200">
        <f>if(AND('Deal Analysis'!$D$37*12&lt;G247,'Deal Analysis'!$D$37&gt;0),0,H246)</f>
        <v>333.3333333</v>
      </c>
      <c r="I247" s="200">
        <f>if(H247&gt;0,'Deal Analysis'!$D$35/12*K246,0)</f>
        <v>333.3333333</v>
      </c>
      <c r="J247" s="200">
        <f t="shared" si="3"/>
        <v>0</v>
      </c>
      <c r="K247" s="200">
        <f>if(AND('Deal Analysis'!$D$37*12&lt;G247,'Deal Analysis'!$D$37&gt;0),0,K246-J247)</f>
        <v>50000</v>
      </c>
      <c r="L247" s="1"/>
      <c r="M247" s="199">
        <v>244.0</v>
      </c>
      <c r="N247" s="200">
        <f>if('Deal Analysis'!D285="Yes",'Deal Analysis'!D292,0)</f>
        <v>0</v>
      </c>
      <c r="O247" s="200">
        <f t="shared" si="4"/>
        <v>0</v>
      </c>
      <c r="P247" s="200">
        <f t="shared" si="5"/>
        <v>0</v>
      </c>
      <c r="Q247" s="200">
        <f>if(AND('Deal Analysis'!$D$47*12&lt;M247,'Deal Analysis'!$D$47&gt;0),0,Q246-P247)</f>
        <v>0</v>
      </c>
      <c r="R247" s="1"/>
      <c r="S247" s="1"/>
      <c r="T247" s="1"/>
      <c r="U247" s="1"/>
      <c r="V247" s="1"/>
      <c r="W247" s="1"/>
      <c r="X247" s="1"/>
      <c r="Y247" s="1"/>
      <c r="Z247" s="1"/>
      <c r="AA247" s="1"/>
    </row>
    <row r="248">
      <c r="A248" s="199">
        <v>245.0</v>
      </c>
      <c r="B248" s="200">
        <f t="shared" si="6"/>
        <v>3046.641421</v>
      </c>
      <c r="C248" s="200">
        <f>'Deal Analysis'!$D$24/12*E247</f>
        <v>900.4234316</v>
      </c>
      <c r="D248" s="200">
        <f t="shared" si="1"/>
        <v>2146.217989</v>
      </c>
      <c r="E248" s="200">
        <f t="shared" si="2"/>
        <v>117910.2396</v>
      </c>
      <c r="F248" s="1"/>
      <c r="G248" s="199">
        <v>245.0</v>
      </c>
      <c r="H248" s="200">
        <f>if(AND('Deal Analysis'!$D$37*12&lt;G248,'Deal Analysis'!$D$37&gt;0),0,H247)</f>
        <v>333.3333333</v>
      </c>
      <c r="I248" s="200">
        <f>if(H248&gt;0,'Deal Analysis'!$D$35/12*K247,0)</f>
        <v>333.3333333</v>
      </c>
      <c r="J248" s="200">
        <f t="shared" si="3"/>
        <v>0</v>
      </c>
      <c r="K248" s="200">
        <f>if(AND('Deal Analysis'!$D$37*12&lt;G248,'Deal Analysis'!$D$37&gt;0),0,K247-J248)</f>
        <v>50000</v>
      </c>
      <c r="L248" s="1"/>
      <c r="M248" s="199">
        <v>245.0</v>
      </c>
      <c r="N248" s="200">
        <f>if('Deal Analysis'!D286="Yes",'Deal Analysis'!D293,0)</f>
        <v>0</v>
      </c>
      <c r="O248" s="200">
        <f t="shared" si="4"/>
        <v>0</v>
      </c>
      <c r="P248" s="200">
        <f t="shared" si="5"/>
        <v>0</v>
      </c>
      <c r="Q248" s="200">
        <f>if(AND('Deal Analysis'!$D$47*12&lt;M248,'Deal Analysis'!$D$47&gt;0),0,Q247-P248)</f>
        <v>0</v>
      </c>
      <c r="R248" s="1"/>
      <c r="S248" s="1"/>
      <c r="T248" s="1"/>
      <c r="U248" s="1"/>
      <c r="V248" s="1"/>
      <c r="W248" s="1"/>
      <c r="X248" s="1"/>
      <c r="Y248" s="1"/>
      <c r="Z248" s="1"/>
      <c r="AA248" s="1"/>
    </row>
    <row r="249">
      <c r="A249" s="199">
        <v>246.0</v>
      </c>
      <c r="B249" s="200">
        <f t="shared" si="6"/>
        <v>3046.641421</v>
      </c>
      <c r="C249" s="200">
        <f>'Deal Analysis'!$D$24/12*E248</f>
        <v>884.3267967</v>
      </c>
      <c r="D249" s="200">
        <f t="shared" si="1"/>
        <v>2162.314624</v>
      </c>
      <c r="E249" s="200">
        <f t="shared" si="2"/>
        <v>115747.9249</v>
      </c>
      <c r="F249" s="1"/>
      <c r="G249" s="199">
        <v>246.0</v>
      </c>
      <c r="H249" s="200">
        <f>if(AND('Deal Analysis'!$D$37*12&lt;G249,'Deal Analysis'!$D$37&gt;0),0,H248)</f>
        <v>333.3333333</v>
      </c>
      <c r="I249" s="200">
        <f>if(H249&gt;0,'Deal Analysis'!$D$35/12*K248,0)</f>
        <v>333.3333333</v>
      </c>
      <c r="J249" s="200">
        <f t="shared" si="3"/>
        <v>0</v>
      </c>
      <c r="K249" s="200">
        <f>if(AND('Deal Analysis'!$D$37*12&lt;G249,'Deal Analysis'!$D$37&gt;0),0,K248-J249)</f>
        <v>50000</v>
      </c>
      <c r="L249" s="1"/>
      <c r="M249" s="199">
        <v>246.0</v>
      </c>
      <c r="N249" s="200">
        <f>if('Deal Analysis'!D287="Yes",'Deal Analysis'!D294,0)</f>
        <v>0</v>
      </c>
      <c r="O249" s="200">
        <f t="shared" si="4"/>
        <v>0</v>
      </c>
      <c r="P249" s="200">
        <f t="shared" si="5"/>
        <v>0</v>
      </c>
      <c r="Q249" s="200">
        <f>if(AND('Deal Analysis'!$D$47*12&lt;M249,'Deal Analysis'!$D$47&gt;0),0,Q248-P249)</f>
        <v>0</v>
      </c>
      <c r="R249" s="1"/>
      <c r="S249" s="1"/>
      <c r="T249" s="1"/>
      <c r="U249" s="1"/>
      <c r="V249" s="1"/>
      <c r="W249" s="1"/>
      <c r="X249" s="1"/>
      <c r="Y249" s="1"/>
      <c r="Z249" s="1"/>
      <c r="AA249" s="1"/>
    </row>
    <row r="250">
      <c r="A250" s="199">
        <v>247.0</v>
      </c>
      <c r="B250" s="200">
        <f t="shared" si="6"/>
        <v>3046.641421</v>
      </c>
      <c r="C250" s="200">
        <f>'Deal Analysis'!$D$24/12*E249</f>
        <v>868.109437</v>
      </c>
      <c r="D250" s="200">
        <f t="shared" si="1"/>
        <v>2178.531984</v>
      </c>
      <c r="E250" s="200">
        <f t="shared" si="2"/>
        <v>113569.393</v>
      </c>
      <c r="F250" s="1"/>
      <c r="G250" s="199">
        <v>247.0</v>
      </c>
      <c r="H250" s="200">
        <f>if(AND('Deal Analysis'!$D$37*12&lt;G250,'Deal Analysis'!$D$37&gt;0),0,H249)</f>
        <v>333.3333333</v>
      </c>
      <c r="I250" s="200">
        <f>if(H250&gt;0,'Deal Analysis'!$D$35/12*K249,0)</f>
        <v>333.3333333</v>
      </c>
      <c r="J250" s="200">
        <f t="shared" si="3"/>
        <v>0</v>
      </c>
      <c r="K250" s="200">
        <f>if(AND('Deal Analysis'!$D$37*12&lt;G250,'Deal Analysis'!$D$37&gt;0),0,K249-J250)</f>
        <v>50000</v>
      </c>
      <c r="L250" s="1"/>
      <c r="M250" s="199">
        <v>247.0</v>
      </c>
      <c r="N250" s="200">
        <f>if('Deal Analysis'!D288="Yes",'Deal Analysis'!D295,0)</f>
        <v>0</v>
      </c>
      <c r="O250" s="200">
        <f t="shared" si="4"/>
        <v>0</v>
      </c>
      <c r="P250" s="200">
        <f t="shared" si="5"/>
        <v>0</v>
      </c>
      <c r="Q250" s="200">
        <f>if(AND('Deal Analysis'!$D$47*12&lt;M250,'Deal Analysis'!$D$47&gt;0),0,Q249-P250)</f>
        <v>0</v>
      </c>
      <c r="R250" s="1"/>
      <c r="S250" s="1"/>
      <c r="T250" s="1"/>
      <c r="U250" s="1"/>
      <c r="V250" s="1"/>
      <c r="W250" s="1"/>
      <c r="X250" s="1"/>
      <c r="Y250" s="1"/>
      <c r="Z250" s="1"/>
      <c r="AA250" s="1"/>
    </row>
    <row r="251">
      <c r="A251" s="199">
        <v>248.0</v>
      </c>
      <c r="B251" s="200">
        <f t="shared" si="6"/>
        <v>3046.641421</v>
      </c>
      <c r="C251" s="200">
        <f>'Deal Analysis'!$D$24/12*E250</f>
        <v>851.7704471</v>
      </c>
      <c r="D251" s="200">
        <f t="shared" si="1"/>
        <v>2194.870974</v>
      </c>
      <c r="E251" s="200">
        <f t="shared" si="2"/>
        <v>111374.522</v>
      </c>
      <c r="F251" s="1"/>
      <c r="G251" s="199">
        <v>248.0</v>
      </c>
      <c r="H251" s="200">
        <f>if(AND('Deal Analysis'!$D$37*12&lt;G251,'Deal Analysis'!$D$37&gt;0),0,H250)</f>
        <v>333.3333333</v>
      </c>
      <c r="I251" s="200">
        <f>if(H251&gt;0,'Deal Analysis'!$D$35/12*K250,0)</f>
        <v>333.3333333</v>
      </c>
      <c r="J251" s="200">
        <f t="shared" si="3"/>
        <v>0</v>
      </c>
      <c r="K251" s="200">
        <f>if(AND('Deal Analysis'!$D$37*12&lt;G251,'Deal Analysis'!$D$37&gt;0),0,K250-J251)</f>
        <v>50000</v>
      </c>
      <c r="L251" s="1"/>
      <c r="M251" s="199">
        <v>248.0</v>
      </c>
      <c r="N251" s="200">
        <f>if('Deal Analysis'!D289="Yes",'Deal Analysis'!D296,0)</f>
        <v>0</v>
      </c>
      <c r="O251" s="200">
        <f t="shared" si="4"/>
        <v>0</v>
      </c>
      <c r="P251" s="200">
        <f t="shared" si="5"/>
        <v>0</v>
      </c>
      <c r="Q251" s="200">
        <f>if(AND('Deal Analysis'!$D$47*12&lt;M251,'Deal Analysis'!$D$47&gt;0),0,Q250-P251)</f>
        <v>0</v>
      </c>
      <c r="R251" s="1"/>
      <c r="S251" s="1"/>
      <c r="T251" s="1"/>
      <c r="U251" s="1"/>
      <c r="V251" s="1"/>
      <c r="W251" s="1"/>
      <c r="X251" s="1"/>
      <c r="Y251" s="1"/>
      <c r="Z251" s="1"/>
      <c r="AA251" s="1"/>
    </row>
    <row r="252">
      <c r="A252" s="199">
        <v>249.0</v>
      </c>
      <c r="B252" s="200">
        <f t="shared" si="6"/>
        <v>3046.641421</v>
      </c>
      <c r="C252" s="200">
        <f>'Deal Analysis'!$D$24/12*E251</f>
        <v>835.3089148</v>
      </c>
      <c r="D252" s="200">
        <f t="shared" si="1"/>
        <v>2211.332506</v>
      </c>
      <c r="E252" s="200">
        <f t="shared" si="2"/>
        <v>109163.1895</v>
      </c>
      <c r="F252" s="1"/>
      <c r="G252" s="199">
        <v>249.0</v>
      </c>
      <c r="H252" s="200">
        <f>if(AND('Deal Analysis'!$D$37*12&lt;G252,'Deal Analysis'!$D$37&gt;0),0,H251)</f>
        <v>333.3333333</v>
      </c>
      <c r="I252" s="200">
        <f>if(H252&gt;0,'Deal Analysis'!$D$35/12*K251,0)</f>
        <v>333.3333333</v>
      </c>
      <c r="J252" s="200">
        <f t="shared" si="3"/>
        <v>0</v>
      </c>
      <c r="K252" s="200">
        <f>if(AND('Deal Analysis'!$D$37*12&lt;G252,'Deal Analysis'!$D$37&gt;0),0,K251-J252)</f>
        <v>50000</v>
      </c>
      <c r="L252" s="1"/>
      <c r="M252" s="199">
        <v>249.0</v>
      </c>
      <c r="N252" s="200">
        <f>if('Deal Analysis'!D290="Yes",'Deal Analysis'!D297,0)</f>
        <v>0</v>
      </c>
      <c r="O252" s="200">
        <f t="shared" si="4"/>
        <v>0</v>
      </c>
      <c r="P252" s="200">
        <f t="shared" si="5"/>
        <v>0</v>
      </c>
      <c r="Q252" s="200">
        <f>if(AND('Deal Analysis'!$D$47*12&lt;M252,'Deal Analysis'!$D$47&gt;0),0,Q251-P252)</f>
        <v>0</v>
      </c>
      <c r="R252" s="1"/>
      <c r="S252" s="1"/>
      <c r="T252" s="1"/>
      <c r="U252" s="1"/>
      <c r="V252" s="1"/>
      <c r="W252" s="1"/>
      <c r="X252" s="1"/>
      <c r="Y252" s="1"/>
      <c r="Z252" s="1"/>
      <c r="AA252" s="1"/>
    </row>
    <row r="253">
      <c r="A253" s="199">
        <v>250.0</v>
      </c>
      <c r="B253" s="200">
        <f t="shared" si="6"/>
        <v>3046.641421</v>
      </c>
      <c r="C253" s="200">
        <f>'Deal Analysis'!$D$24/12*E252</f>
        <v>818.723921</v>
      </c>
      <c r="D253" s="200">
        <f t="shared" si="1"/>
        <v>2227.9175</v>
      </c>
      <c r="E253" s="200">
        <f t="shared" si="2"/>
        <v>106935.272</v>
      </c>
      <c r="F253" s="1"/>
      <c r="G253" s="199">
        <v>250.0</v>
      </c>
      <c r="H253" s="200">
        <f>if(AND('Deal Analysis'!$D$37*12&lt;G253,'Deal Analysis'!$D$37&gt;0),0,H252)</f>
        <v>333.3333333</v>
      </c>
      <c r="I253" s="200">
        <f>if(H253&gt;0,'Deal Analysis'!$D$35/12*K252,0)</f>
        <v>333.3333333</v>
      </c>
      <c r="J253" s="200">
        <f t="shared" si="3"/>
        <v>0</v>
      </c>
      <c r="K253" s="200">
        <f>if(AND('Deal Analysis'!$D$37*12&lt;G253,'Deal Analysis'!$D$37&gt;0),0,K252-J253)</f>
        <v>50000</v>
      </c>
      <c r="L253" s="1"/>
      <c r="M253" s="199">
        <v>250.0</v>
      </c>
      <c r="N253" s="200">
        <f>if('Deal Analysis'!D291="Yes",'Deal Analysis'!D298,0)</f>
        <v>0</v>
      </c>
      <c r="O253" s="200">
        <f t="shared" si="4"/>
        <v>0</v>
      </c>
      <c r="P253" s="200">
        <f t="shared" si="5"/>
        <v>0</v>
      </c>
      <c r="Q253" s="200">
        <f>if(AND('Deal Analysis'!$D$47*12&lt;M253,'Deal Analysis'!$D$47&gt;0),0,Q252-P253)</f>
        <v>0</v>
      </c>
      <c r="R253" s="1"/>
      <c r="S253" s="1"/>
      <c r="T253" s="1"/>
      <c r="U253" s="1"/>
      <c r="V253" s="1"/>
      <c r="W253" s="1"/>
      <c r="X253" s="1"/>
      <c r="Y253" s="1"/>
      <c r="Z253" s="1"/>
      <c r="AA253" s="1"/>
    </row>
    <row r="254">
      <c r="A254" s="199">
        <v>251.0</v>
      </c>
      <c r="B254" s="200">
        <f t="shared" si="6"/>
        <v>3046.641421</v>
      </c>
      <c r="C254" s="200">
        <f>'Deal Analysis'!$D$24/12*E253</f>
        <v>802.0145398</v>
      </c>
      <c r="D254" s="200">
        <f t="shared" si="1"/>
        <v>2244.626881</v>
      </c>
      <c r="E254" s="200">
        <f t="shared" si="2"/>
        <v>104690.6451</v>
      </c>
      <c r="F254" s="1"/>
      <c r="G254" s="199">
        <v>251.0</v>
      </c>
      <c r="H254" s="200">
        <f>if(AND('Deal Analysis'!$D$37*12&lt;G254,'Deal Analysis'!$D$37&gt;0),0,H253)</f>
        <v>333.3333333</v>
      </c>
      <c r="I254" s="200">
        <f>if(H254&gt;0,'Deal Analysis'!$D$35/12*K253,0)</f>
        <v>333.3333333</v>
      </c>
      <c r="J254" s="200">
        <f t="shared" si="3"/>
        <v>0</v>
      </c>
      <c r="K254" s="200">
        <f>if(AND('Deal Analysis'!$D$37*12&lt;G254,'Deal Analysis'!$D$37&gt;0),0,K253-J254)</f>
        <v>50000</v>
      </c>
      <c r="L254" s="1"/>
      <c r="M254" s="199">
        <v>251.0</v>
      </c>
      <c r="N254" s="200">
        <f>if('Deal Analysis'!D292="Yes",'Deal Analysis'!D299,0)</f>
        <v>0</v>
      </c>
      <c r="O254" s="200">
        <f t="shared" si="4"/>
        <v>0</v>
      </c>
      <c r="P254" s="200">
        <f t="shared" si="5"/>
        <v>0</v>
      </c>
      <c r="Q254" s="200">
        <f>if(AND('Deal Analysis'!$D$47*12&lt;M254,'Deal Analysis'!$D$47&gt;0),0,Q253-P254)</f>
        <v>0</v>
      </c>
      <c r="R254" s="1"/>
      <c r="S254" s="1"/>
      <c r="T254" s="1"/>
      <c r="U254" s="1"/>
      <c r="V254" s="1"/>
      <c r="W254" s="1"/>
      <c r="X254" s="1"/>
      <c r="Y254" s="1"/>
      <c r="Z254" s="1"/>
      <c r="AA254" s="1"/>
    </row>
    <row r="255">
      <c r="A255" s="199">
        <v>252.0</v>
      </c>
      <c r="B255" s="200">
        <f t="shared" si="6"/>
        <v>3046.641421</v>
      </c>
      <c r="C255" s="200">
        <f>'Deal Analysis'!$D$24/12*E254</f>
        <v>785.1798382</v>
      </c>
      <c r="D255" s="200">
        <f t="shared" si="1"/>
        <v>2261.461583</v>
      </c>
      <c r="E255" s="200">
        <f t="shared" si="2"/>
        <v>102429.1835</v>
      </c>
      <c r="F255" s="1"/>
      <c r="G255" s="199">
        <v>252.0</v>
      </c>
      <c r="H255" s="200">
        <f>if(AND('Deal Analysis'!$D$37*12&lt;G255,'Deal Analysis'!$D$37&gt;0),0,H254)</f>
        <v>333.3333333</v>
      </c>
      <c r="I255" s="200">
        <f>if(H255&gt;0,'Deal Analysis'!$D$35/12*K254,0)</f>
        <v>333.3333333</v>
      </c>
      <c r="J255" s="200">
        <f t="shared" si="3"/>
        <v>0</v>
      </c>
      <c r="K255" s="200">
        <f>if(AND('Deal Analysis'!$D$37*12&lt;G255,'Deal Analysis'!$D$37&gt;0),0,K254-J255)</f>
        <v>50000</v>
      </c>
      <c r="L255" s="1"/>
      <c r="M255" s="199">
        <v>252.0</v>
      </c>
      <c r="N255" s="200">
        <f>if('Deal Analysis'!D293="Yes",'Deal Analysis'!D300,0)</f>
        <v>0</v>
      </c>
      <c r="O255" s="200">
        <f t="shared" si="4"/>
        <v>0</v>
      </c>
      <c r="P255" s="200">
        <f t="shared" si="5"/>
        <v>0</v>
      </c>
      <c r="Q255" s="200">
        <f>if(AND('Deal Analysis'!$D$47*12&lt;M255,'Deal Analysis'!$D$47&gt;0),0,Q254-P255)</f>
        <v>0</v>
      </c>
      <c r="R255" s="1"/>
      <c r="S255" s="1"/>
      <c r="T255" s="1"/>
      <c r="U255" s="1"/>
      <c r="V255" s="1"/>
      <c r="W255" s="1"/>
      <c r="X255" s="1"/>
      <c r="Y255" s="1"/>
      <c r="Z255" s="1"/>
      <c r="AA255" s="1"/>
    </row>
    <row r="256">
      <c r="A256" s="199">
        <v>253.0</v>
      </c>
      <c r="B256" s="200">
        <f t="shared" si="6"/>
        <v>3046.641421</v>
      </c>
      <c r="C256" s="200">
        <f>'Deal Analysis'!$D$24/12*E255</f>
        <v>768.2188763</v>
      </c>
      <c r="D256" s="200">
        <f t="shared" si="1"/>
        <v>2278.422545</v>
      </c>
      <c r="E256" s="200">
        <f t="shared" si="2"/>
        <v>100150.761</v>
      </c>
      <c r="F256" s="1"/>
      <c r="G256" s="199">
        <v>253.0</v>
      </c>
      <c r="H256" s="200">
        <f>if(AND('Deal Analysis'!$D$37*12&lt;G256,'Deal Analysis'!$D$37&gt;0),0,H255)</f>
        <v>333.3333333</v>
      </c>
      <c r="I256" s="200">
        <f>if(H256&gt;0,'Deal Analysis'!$D$35/12*K255,0)</f>
        <v>333.3333333</v>
      </c>
      <c r="J256" s="200">
        <f t="shared" si="3"/>
        <v>0</v>
      </c>
      <c r="K256" s="200">
        <f>if(AND('Deal Analysis'!$D$37*12&lt;G256,'Deal Analysis'!$D$37&gt;0),0,K255-J256)</f>
        <v>50000</v>
      </c>
      <c r="L256" s="1"/>
      <c r="M256" s="199">
        <v>253.0</v>
      </c>
      <c r="N256" s="200">
        <f>if('Deal Analysis'!D294="Yes",'Deal Analysis'!D301,0)</f>
        <v>0</v>
      </c>
      <c r="O256" s="200">
        <f t="shared" si="4"/>
        <v>0</v>
      </c>
      <c r="P256" s="200">
        <f t="shared" si="5"/>
        <v>0</v>
      </c>
      <c r="Q256" s="200">
        <f>if(AND('Deal Analysis'!$D$47*12&lt;M256,'Deal Analysis'!$D$47&gt;0),0,Q255-P256)</f>
        <v>0</v>
      </c>
      <c r="R256" s="1"/>
      <c r="S256" s="1"/>
      <c r="T256" s="1"/>
      <c r="U256" s="1"/>
      <c r="V256" s="1"/>
      <c r="W256" s="1"/>
      <c r="X256" s="1"/>
      <c r="Y256" s="1"/>
      <c r="Z256" s="1"/>
      <c r="AA256" s="1"/>
    </row>
    <row r="257">
      <c r="A257" s="199">
        <v>254.0</v>
      </c>
      <c r="B257" s="200">
        <f t="shared" si="6"/>
        <v>3046.641421</v>
      </c>
      <c r="C257" s="200">
        <f>'Deal Analysis'!$D$24/12*E256</f>
        <v>751.1307072</v>
      </c>
      <c r="D257" s="200">
        <f t="shared" si="1"/>
        <v>2295.510714</v>
      </c>
      <c r="E257" s="200">
        <f t="shared" si="2"/>
        <v>97855.25025</v>
      </c>
      <c r="F257" s="1"/>
      <c r="G257" s="199">
        <v>254.0</v>
      </c>
      <c r="H257" s="200">
        <f>if(AND('Deal Analysis'!$D$37*12&lt;G257,'Deal Analysis'!$D$37&gt;0),0,H256)</f>
        <v>333.3333333</v>
      </c>
      <c r="I257" s="200">
        <f>if(H257&gt;0,'Deal Analysis'!$D$35/12*K256,0)</f>
        <v>333.3333333</v>
      </c>
      <c r="J257" s="200">
        <f t="shared" si="3"/>
        <v>0</v>
      </c>
      <c r="K257" s="200">
        <f>if(AND('Deal Analysis'!$D$37*12&lt;G257,'Deal Analysis'!$D$37&gt;0),0,K256-J257)</f>
        <v>50000</v>
      </c>
      <c r="L257" s="1"/>
      <c r="M257" s="199">
        <v>254.0</v>
      </c>
      <c r="N257" s="200">
        <f>if('Deal Analysis'!D295="Yes",'Deal Analysis'!D302,0)</f>
        <v>0</v>
      </c>
      <c r="O257" s="200">
        <f t="shared" si="4"/>
        <v>0</v>
      </c>
      <c r="P257" s="200">
        <f t="shared" si="5"/>
        <v>0</v>
      </c>
      <c r="Q257" s="200">
        <f>if(AND('Deal Analysis'!$D$47*12&lt;M257,'Deal Analysis'!$D$47&gt;0),0,Q256-P257)</f>
        <v>0</v>
      </c>
      <c r="R257" s="1"/>
      <c r="S257" s="1"/>
      <c r="T257" s="1"/>
      <c r="U257" s="1"/>
      <c r="V257" s="1"/>
      <c r="W257" s="1"/>
      <c r="X257" s="1"/>
      <c r="Y257" s="1"/>
      <c r="Z257" s="1"/>
      <c r="AA257" s="1"/>
    </row>
    <row r="258">
      <c r="A258" s="199">
        <v>255.0</v>
      </c>
      <c r="B258" s="200">
        <f t="shared" si="6"/>
        <v>3046.641421</v>
      </c>
      <c r="C258" s="200">
        <f>'Deal Analysis'!$D$24/12*E257</f>
        <v>733.9143769</v>
      </c>
      <c r="D258" s="200">
        <f t="shared" si="1"/>
        <v>2312.727044</v>
      </c>
      <c r="E258" s="200">
        <f t="shared" si="2"/>
        <v>95542.52321</v>
      </c>
      <c r="F258" s="1"/>
      <c r="G258" s="199">
        <v>255.0</v>
      </c>
      <c r="H258" s="200">
        <f>if(AND('Deal Analysis'!$D$37*12&lt;G258,'Deal Analysis'!$D$37&gt;0),0,H257)</f>
        <v>333.3333333</v>
      </c>
      <c r="I258" s="200">
        <f>if(H258&gt;0,'Deal Analysis'!$D$35/12*K257,0)</f>
        <v>333.3333333</v>
      </c>
      <c r="J258" s="200">
        <f t="shared" si="3"/>
        <v>0</v>
      </c>
      <c r="K258" s="200">
        <f>if(AND('Deal Analysis'!$D$37*12&lt;G258,'Deal Analysis'!$D$37&gt;0),0,K257-J258)</f>
        <v>50000</v>
      </c>
      <c r="L258" s="1"/>
      <c r="M258" s="199">
        <v>255.0</v>
      </c>
      <c r="N258" s="200">
        <f>if('Deal Analysis'!D296="Yes",'Deal Analysis'!D303,0)</f>
        <v>0</v>
      </c>
      <c r="O258" s="200">
        <f t="shared" si="4"/>
        <v>0</v>
      </c>
      <c r="P258" s="200">
        <f t="shared" si="5"/>
        <v>0</v>
      </c>
      <c r="Q258" s="200">
        <f>if(AND('Deal Analysis'!$D$47*12&lt;M258,'Deal Analysis'!$D$47&gt;0),0,Q257-P258)</f>
        <v>0</v>
      </c>
      <c r="R258" s="1"/>
      <c r="S258" s="1"/>
      <c r="T258" s="1"/>
      <c r="U258" s="1"/>
      <c r="V258" s="1"/>
      <c r="W258" s="1"/>
      <c r="X258" s="1"/>
      <c r="Y258" s="1"/>
      <c r="Z258" s="1"/>
      <c r="AA258" s="1"/>
    </row>
    <row r="259">
      <c r="A259" s="199">
        <v>256.0</v>
      </c>
      <c r="B259" s="200">
        <f t="shared" si="6"/>
        <v>3046.641421</v>
      </c>
      <c r="C259" s="200">
        <f>'Deal Analysis'!$D$24/12*E258</f>
        <v>716.568924</v>
      </c>
      <c r="D259" s="200">
        <f t="shared" si="1"/>
        <v>2330.072497</v>
      </c>
      <c r="E259" s="200">
        <f t="shared" si="2"/>
        <v>93212.45071</v>
      </c>
      <c r="F259" s="1"/>
      <c r="G259" s="199">
        <v>256.0</v>
      </c>
      <c r="H259" s="200">
        <f>if(AND('Deal Analysis'!$D$37*12&lt;G259,'Deal Analysis'!$D$37&gt;0),0,H258)</f>
        <v>333.3333333</v>
      </c>
      <c r="I259" s="200">
        <f>if(H259&gt;0,'Deal Analysis'!$D$35/12*K258,0)</f>
        <v>333.3333333</v>
      </c>
      <c r="J259" s="200">
        <f t="shared" si="3"/>
        <v>0</v>
      </c>
      <c r="K259" s="200">
        <f>if(AND('Deal Analysis'!$D$37*12&lt;G259,'Deal Analysis'!$D$37&gt;0),0,K258-J259)</f>
        <v>50000</v>
      </c>
      <c r="L259" s="1"/>
      <c r="M259" s="199">
        <v>256.0</v>
      </c>
      <c r="N259" s="200">
        <f>if('Deal Analysis'!D297="Yes",'Deal Analysis'!D304,0)</f>
        <v>0</v>
      </c>
      <c r="O259" s="200">
        <f t="shared" si="4"/>
        <v>0</v>
      </c>
      <c r="P259" s="200">
        <f t="shared" si="5"/>
        <v>0</v>
      </c>
      <c r="Q259" s="200">
        <f>if(AND('Deal Analysis'!$D$47*12&lt;M259,'Deal Analysis'!$D$47&gt;0),0,Q258-P259)</f>
        <v>0</v>
      </c>
      <c r="R259" s="1"/>
      <c r="S259" s="1"/>
      <c r="T259" s="1"/>
      <c r="U259" s="1"/>
      <c r="V259" s="1"/>
      <c r="W259" s="1"/>
      <c r="X259" s="1"/>
      <c r="Y259" s="1"/>
      <c r="Z259" s="1"/>
      <c r="AA259" s="1"/>
    </row>
    <row r="260">
      <c r="A260" s="199">
        <v>257.0</v>
      </c>
      <c r="B260" s="200">
        <f t="shared" si="6"/>
        <v>3046.641421</v>
      </c>
      <c r="C260" s="200">
        <f>'Deal Analysis'!$D$24/12*E259</f>
        <v>699.0933803</v>
      </c>
      <c r="D260" s="200">
        <f t="shared" si="1"/>
        <v>2347.548041</v>
      </c>
      <c r="E260" s="200">
        <f t="shared" si="2"/>
        <v>90864.90267</v>
      </c>
      <c r="F260" s="1"/>
      <c r="G260" s="199">
        <v>257.0</v>
      </c>
      <c r="H260" s="200">
        <f>if(AND('Deal Analysis'!$D$37*12&lt;G260,'Deal Analysis'!$D$37&gt;0),0,H259)</f>
        <v>333.3333333</v>
      </c>
      <c r="I260" s="200">
        <f>if(H260&gt;0,'Deal Analysis'!$D$35/12*K259,0)</f>
        <v>333.3333333</v>
      </c>
      <c r="J260" s="200">
        <f t="shared" si="3"/>
        <v>0</v>
      </c>
      <c r="K260" s="200">
        <f>if(AND('Deal Analysis'!$D$37*12&lt;G260,'Deal Analysis'!$D$37&gt;0),0,K259-J260)</f>
        <v>50000</v>
      </c>
      <c r="L260" s="1"/>
      <c r="M260" s="199">
        <v>257.0</v>
      </c>
      <c r="N260" s="200">
        <f>if('Deal Analysis'!D298="Yes",'Deal Analysis'!D305,0)</f>
        <v>0</v>
      </c>
      <c r="O260" s="200">
        <f t="shared" si="4"/>
        <v>0</v>
      </c>
      <c r="P260" s="200">
        <f t="shared" si="5"/>
        <v>0</v>
      </c>
      <c r="Q260" s="200">
        <f>if(AND('Deal Analysis'!$D$47*12&lt;M260,'Deal Analysis'!$D$47&gt;0),0,Q259-P260)</f>
        <v>0</v>
      </c>
      <c r="R260" s="1"/>
      <c r="S260" s="1"/>
      <c r="T260" s="1"/>
      <c r="U260" s="1"/>
      <c r="V260" s="1"/>
      <c r="W260" s="1"/>
      <c r="X260" s="1"/>
      <c r="Y260" s="1"/>
      <c r="Z260" s="1"/>
      <c r="AA260" s="1"/>
    </row>
    <row r="261">
      <c r="A261" s="199">
        <v>258.0</v>
      </c>
      <c r="B261" s="200">
        <f t="shared" si="6"/>
        <v>3046.641421</v>
      </c>
      <c r="C261" s="200">
        <f>'Deal Analysis'!$D$24/12*E260</f>
        <v>681.48677</v>
      </c>
      <c r="D261" s="200">
        <f t="shared" si="1"/>
        <v>2365.154651</v>
      </c>
      <c r="E261" s="200">
        <f t="shared" si="2"/>
        <v>88499.74802</v>
      </c>
      <c r="F261" s="1"/>
      <c r="G261" s="199">
        <v>258.0</v>
      </c>
      <c r="H261" s="200">
        <f>if(AND('Deal Analysis'!$D$37*12&lt;G261,'Deal Analysis'!$D$37&gt;0),0,H260)</f>
        <v>333.3333333</v>
      </c>
      <c r="I261" s="200">
        <f>if(H261&gt;0,'Deal Analysis'!$D$35/12*K260,0)</f>
        <v>333.3333333</v>
      </c>
      <c r="J261" s="200">
        <f t="shared" si="3"/>
        <v>0</v>
      </c>
      <c r="K261" s="200">
        <f>if(AND('Deal Analysis'!$D$37*12&lt;G261,'Deal Analysis'!$D$37&gt;0),0,K260-J261)</f>
        <v>50000</v>
      </c>
      <c r="L261" s="1"/>
      <c r="M261" s="199">
        <v>258.0</v>
      </c>
      <c r="N261" s="200">
        <f>if('Deal Analysis'!D299="Yes",'Deal Analysis'!D306,0)</f>
        <v>0</v>
      </c>
      <c r="O261" s="200">
        <f t="shared" si="4"/>
        <v>0</v>
      </c>
      <c r="P261" s="200">
        <f t="shared" si="5"/>
        <v>0</v>
      </c>
      <c r="Q261" s="200">
        <f>if(AND('Deal Analysis'!$D$47*12&lt;M261,'Deal Analysis'!$D$47&gt;0),0,Q260-P261)</f>
        <v>0</v>
      </c>
      <c r="R261" s="1"/>
      <c r="S261" s="1"/>
      <c r="T261" s="1"/>
      <c r="U261" s="1"/>
      <c r="V261" s="1"/>
      <c r="W261" s="1"/>
      <c r="X261" s="1"/>
      <c r="Y261" s="1"/>
      <c r="Z261" s="1"/>
      <c r="AA261" s="1"/>
    </row>
    <row r="262">
      <c r="A262" s="199">
        <v>259.0</v>
      </c>
      <c r="B262" s="200">
        <f t="shared" si="6"/>
        <v>3046.641421</v>
      </c>
      <c r="C262" s="200">
        <f>'Deal Analysis'!$D$24/12*E261</f>
        <v>663.7481101</v>
      </c>
      <c r="D262" s="200">
        <f t="shared" si="1"/>
        <v>2382.893311</v>
      </c>
      <c r="E262" s="200">
        <f t="shared" si="2"/>
        <v>86116.85471</v>
      </c>
      <c r="F262" s="1"/>
      <c r="G262" s="199">
        <v>259.0</v>
      </c>
      <c r="H262" s="200">
        <f>if(AND('Deal Analysis'!$D$37*12&lt;G262,'Deal Analysis'!$D$37&gt;0),0,H261)</f>
        <v>333.3333333</v>
      </c>
      <c r="I262" s="200">
        <f>if(H262&gt;0,'Deal Analysis'!$D$35/12*K261,0)</f>
        <v>333.3333333</v>
      </c>
      <c r="J262" s="200">
        <f t="shared" si="3"/>
        <v>0</v>
      </c>
      <c r="K262" s="200">
        <f>if(AND('Deal Analysis'!$D$37*12&lt;G262,'Deal Analysis'!$D$37&gt;0),0,K261-J262)</f>
        <v>50000</v>
      </c>
      <c r="L262" s="1"/>
      <c r="M262" s="199">
        <v>259.0</v>
      </c>
      <c r="N262" s="200">
        <f>if('Deal Analysis'!D300="Yes",'Deal Analysis'!D307,0)</f>
        <v>0</v>
      </c>
      <c r="O262" s="200">
        <f t="shared" si="4"/>
        <v>0</v>
      </c>
      <c r="P262" s="200">
        <f t="shared" si="5"/>
        <v>0</v>
      </c>
      <c r="Q262" s="200">
        <f>if(AND('Deal Analysis'!$D$47*12&lt;M262,'Deal Analysis'!$D$47&gt;0),0,Q261-P262)</f>
        <v>0</v>
      </c>
      <c r="R262" s="1"/>
      <c r="S262" s="1"/>
      <c r="T262" s="1"/>
      <c r="U262" s="1"/>
      <c r="V262" s="1"/>
      <c r="W262" s="1"/>
      <c r="X262" s="1"/>
      <c r="Y262" s="1"/>
      <c r="Z262" s="1"/>
      <c r="AA262" s="1"/>
    </row>
    <row r="263">
      <c r="A263" s="199">
        <v>260.0</v>
      </c>
      <c r="B263" s="200">
        <f t="shared" si="6"/>
        <v>3046.641421</v>
      </c>
      <c r="C263" s="200">
        <f>'Deal Analysis'!$D$24/12*E262</f>
        <v>645.8764103</v>
      </c>
      <c r="D263" s="200">
        <f t="shared" si="1"/>
        <v>2400.765011</v>
      </c>
      <c r="E263" s="200">
        <f t="shared" si="2"/>
        <v>83716.0897</v>
      </c>
      <c r="F263" s="1"/>
      <c r="G263" s="199">
        <v>260.0</v>
      </c>
      <c r="H263" s="200">
        <f>if(AND('Deal Analysis'!$D$37*12&lt;G263,'Deal Analysis'!$D$37&gt;0),0,H262)</f>
        <v>333.3333333</v>
      </c>
      <c r="I263" s="200">
        <f>if(H263&gt;0,'Deal Analysis'!$D$35/12*K262,0)</f>
        <v>333.3333333</v>
      </c>
      <c r="J263" s="200">
        <f t="shared" si="3"/>
        <v>0</v>
      </c>
      <c r="K263" s="200">
        <f>if(AND('Deal Analysis'!$D$37*12&lt;G263,'Deal Analysis'!$D$37&gt;0),0,K262-J263)</f>
        <v>50000</v>
      </c>
      <c r="L263" s="1"/>
      <c r="M263" s="199">
        <v>260.0</v>
      </c>
      <c r="N263" s="200">
        <f>if('Deal Analysis'!D301="Yes",'Deal Analysis'!D308,0)</f>
        <v>0</v>
      </c>
      <c r="O263" s="200">
        <f t="shared" si="4"/>
        <v>0</v>
      </c>
      <c r="P263" s="200">
        <f t="shared" si="5"/>
        <v>0</v>
      </c>
      <c r="Q263" s="200">
        <f>if(AND('Deal Analysis'!$D$47*12&lt;M263,'Deal Analysis'!$D$47&gt;0),0,Q262-P263)</f>
        <v>0</v>
      </c>
      <c r="R263" s="1"/>
      <c r="S263" s="1"/>
      <c r="T263" s="1"/>
      <c r="U263" s="1"/>
      <c r="V263" s="1"/>
      <c r="W263" s="1"/>
      <c r="X263" s="1"/>
      <c r="Y263" s="1"/>
      <c r="Z263" s="1"/>
      <c r="AA263" s="1"/>
    </row>
    <row r="264">
      <c r="A264" s="199">
        <v>261.0</v>
      </c>
      <c r="B264" s="200">
        <f t="shared" si="6"/>
        <v>3046.641421</v>
      </c>
      <c r="C264" s="200">
        <f>'Deal Analysis'!$D$24/12*E263</f>
        <v>627.8706727</v>
      </c>
      <c r="D264" s="200">
        <f t="shared" si="1"/>
        <v>2418.770748</v>
      </c>
      <c r="E264" s="200">
        <f t="shared" si="2"/>
        <v>81297.31895</v>
      </c>
      <c r="F264" s="1"/>
      <c r="G264" s="199">
        <v>261.0</v>
      </c>
      <c r="H264" s="200">
        <f>if(AND('Deal Analysis'!$D$37*12&lt;G264,'Deal Analysis'!$D$37&gt;0),0,H263)</f>
        <v>333.3333333</v>
      </c>
      <c r="I264" s="200">
        <f>if(H264&gt;0,'Deal Analysis'!$D$35/12*K263,0)</f>
        <v>333.3333333</v>
      </c>
      <c r="J264" s="200">
        <f t="shared" si="3"/>
        <v>0</v>
      </c>
      <c r="K264" s="200">
        <f>if(AND('Deal Analysis'!$D$37*12&lt;G264,'Deal Analysis'!$D$37&gt;0),0,K263-J264)</f>
        <v>50000</v>
      </c>
      <c r="L264" s="1"/>
      <c r="M264" s="199">
        <v>261.0</v>
      </c>
      <c r="N264" s="200">
        <f>if('Deal Analysis'!D302="Yes",'Deal Analysis'!D309,0)</f>
        <v>0</v>
      </c>
      <c r="O264" s="200">
        <f t="shared" si="4"/>
        <v>0</v>
      </c>
      <c r="P264" s="200">
        <f t="shared" si="5"/>
        <v>0</v>
      </c>
      <c r="Q264" s="200">
        <f>if(AND('Deal Analysis'!$D$47*12&lt;M264,'Deal Analysis'!$D$47&gt;0),0,Q263-P264)</f>
        <v>0</v>
      </c>
      <c r="R264" s="1"/>
      <c r="S264" s="1"/>
      <c r="T264" s="1"/>
      <c r="U264" s="1"/>
      <c r="V264" s="1"/>
      <c r="W264" s="1"/>
      <c r="X264" s="1"/>
      <c r="Y264" s="1"/>
      <c r="Z264" s="1"/>
      <c r="AA264" s="1"/>
    </row>
    <row r="265">
      <c r="A265" s="199">
        <v>262.0</v>
      </c>
      <c r="B265" s="200">
        <f t="shared" si="6"/>
        <v>3046.641421</v>
      </c>
      <c r="C265" s="200">
        <f>'Deal Analysis'!$D$24/12*E264</f>
        <v>609.7298921</v>
      </c>
      <c r="D265" s="200">
        <f t="shared" si="1"/>
        <v>2436.911529</v>
      </c>
      <c r="E265" s="200">
        <f t="shared" si="2"/>
        <v>78860.40742</v>
      </c>
      <c r="F265" s="1"/>
      <c r="G265" s="199">
        <v>262.0</v>
      </c>
      <c r="H265" s="200">
        <f>if(AND('Deal Analysis'!$D$37*12&lt;G265,'Deal Analysis'!$D$37&gt;0),0,H264)</f>
        <v>333.3333333</v>
      </c>
      <c r="I265" s="200">
        <f>if(H265&gt;0,'Deal Analysis'!$D$35/12*K264,0)</f>
        <v>333.3333333</v>
      </c>
      <c r="J265" s="200">
        <f t="shared" si="3"/>
        <v>0</v>
      </c>
      <c r="K265" s="200">
        <f>if(AND('Deal Analysis'!$D$37*12&lt;G265,'Deal Analysis'!$D$37&gt;0),0,K264-J265)</f>
        <v>50000</v>
      </c>
      <c r="L265" s="1"/>
      <c r="M265" s="199">
        <v>262.0</v>
      </c>
      <c r="N265" s="200">
        <f>if('Deal Analysis'!D303="Yes",'Deal Analysis'!D310,0)</f>
        <v>0</v>
      </c>
      <c r="O265" s="200">
        <f t="shared" si="4"/>
        <v>0</v>
      </c>
      <c r="P265" s="200">
        <f t="shared" si="5"/>
        <v>0</v>
      </c>
      <c r="Q265" s="200">
        <f>if(AND('Deal Analysis'!$D$47*12&lt;M265,'Deal Analysis'!$D$47&gt;0),0,Q264-P265)</f>
        <v>0</v>
      </c>
      <c r="R265" s="1"/>
      <c r="S265" s="1"/>
      <c r="T265" s="1"/>
      <c r="U265" s="1"/>
      <c r="V265" s="1"/>
      <c r="W265" s="1"/>
      <c r="X265" s="1"/>
      <c r="Y265" s="1"/>
      <c r="Z265" s="1"/>
      <c r="AA265" s="1"/>
    </row>
    <row r="266">
      <c r="A266" s="199">
        <v>263.0</v>
      </c>
      <c r="B266" s="200">
        <f t="shared" si="6"/>
        <v>3046.641421</v>
      </c>
      <c r="C266" s="200">
        <f>'Deal Analysis'!$D$24/12*E265</f>
        <v>591.4530556</v>
      </c>
      <c r="D266" s="200">
        <f t="shared" si="1"/>
        <v>2455.188365</v>
      </c>
      <c r="E266" s="200">
        <f t="shared" si="2"/>
        <v>76405.21905</v>
      </c>
      <c r="F266" s="1"/>
      <c r="G266" s="199">
        <v>263.0</v>
      </c>
      <c r="H266" s="200">
        <f>if(AND('Deal Analysis'!$D$37*12&lt;G266,'Deal Analysis'!$D$37&gt;0),0,H265)</f>
        <v>333.3333333</v>
      </c>
      <c r="I266" s="200">
        <f>if(H266&gt;0,'Deal Analysis'!$D$35/12*K265,0)</f>
        <v>333.3333333</v>
      </c>
      <c r="J266" s="200">
        <f t="shared" si="3"/>
        <v>0</v>
      </c>
      <c r="K266" s="200">
        <f>if(AND('Deal Analysis'!$D$37*12&lt;G266,'Deal Analysis'!$D$37&gt;0),0,K265-J266)</f>
        <v>50000</v>
      </c>
      <c r="L266" s="1"/>
      <c r="M266" s="199">
        <v>263.0</v>
      </c>
      <c r="N266" s="200">
        <f>if('Deal Analysis'!D304="Yes",'Deal Analysis'!D311,0)</f>
        <v>0</v>
      </c>
      <c r="O266" s="200">
        <f t="shared" si="4"/>
        <v>0</v>
      </c>
      <c r="P266" s="200">
        <f t="shared" si="5"/>
        <v>0</v>
      </c>
      <c r="Q266" s="200">
        <f>if(AND('Deal Analysis'!$D$47*12&lt;M266,'Deal Analysis'!$D$47&gt;0),0,Q265-P266)</f>
        <v>0</v>
      </c>
      <c r="R266" s="1"/>
      <c r="S266" s="1"/>
      <c r="T266" s="1"/>
      <c r="U266" s="1"/>
      <c r="V266" s="1"/>
      <c r="W266" s="1"/>
      <c r="X266" s="1"/>
      <c r="Y266" s="1"/>
      <c r="Z266" s="1"/>
      <c r="AA266" s="1"/>
    </row>
    <row r="267">
      <c r="A267" s="199">
        <v>264.0</v>
      </c>
      <c r="B267" s="200">
        <f t="shared" si="6"/>
        <v>3046.641421</v>
      </c>
      <c r="C267" s="200">
        <f>'Deal Analysis'!$D$24/12*E266</f>
        <v>573.0391429</v>
      </c>
      <c r="D267" s="200">
        <f t="shared" si="1"/>
        <v>2473.602278</v>
      </c>
      <c r="E267" s="200">
        <f t="shared" si="2"/>
        <v>73931.61678</v>
      </c>
      <c r="F267" s="1"/>
      <c r="G267" s="199">
        <v>264.0</v>
      </c>
      <c r="H267" s="200">
        <f>if(AND('Deal Analysis'!$D$37*12&lt;G267,'Deal Analysis'!$D$37&gt;0),0,H266)</f>
        <v>333.3333333</v>
      </c>
      <c r="I267" s="200">
        <f>if(H267&gt;0,'Deal Analysis'!$D$35/12*K266,0)</f>
        <v>333.3333333</v>
      </c>
      <c r="J267" s="200">
        <f t="shared" si="3"/>
        <v>0</v>
      </c>
      <c r="K267" s="200">
        <f>if(AND('Deal Analysis'!$D$37*12&lt;G267,'Deal Analysis'!$D$37&gt;0),0,K266-J267)</f>
        <v>50000</v>
      </c>
      <c r="L267" s="1"/>
      <c r="M267" s="199">
        <v>264.0</v>
      </c>
      <c r="N267" s="200">
        <f>if('Deal Analysis'!D305="Yes",'Deal Analysis'!D312,0)</f>
        <v>0</v>
      </c>
      <c r="O267" s="200">
        <f t="shared" si="4"/>
        <v>0</v>
      </c>
      <c r="P267" s="200">
        <f t="shared" si="5"/>
        <v>0</v>
      </c>
      <c r="Q267" s="200">
        <f>if(AND('Deal Analysis'!$D$47*12&lt;M267,'Deal Analysis'!$D$47&gt;0),0,Q266-P267)</f>
        <v>0</v>
      </c>
      <c r="R267" s="1"/>
      <c r="S267" s="1"/>
      <c r="T267" s="1"/>
      <c r="U267" s="1"/>
      <c r="V267" s="1"/>
      <c r="W267" s="1"/>
      <c r="X267" s="1"/>
      <c r="Y267" s="1"/>
      <c r="Z267" s="1"/>
      <c r="AA267" s="1"/>
    </row>
    <row r="268">
      <c r="A268" s="199">
        <v>265.0</v>
      </c>
      <c r="B268" s="200">
        <f t="shared" si="6"/>
        <v>3046.641421</v>
      </c>
      <c r="C268" s="200">
        <f>'Deal Analysis'!$D$24/12*E267</f>
        <v>554.4871258</v>
      </c>
      <c r="D268" s="200">
        <f t="shared" si="1"/>
        <v>2492.154295</v>
      </c>
      <c r="E268" s="200">
        <f t="shared" si="2"/>
        <v>71439.46248</v>
      </c>
      <c r="F268" s="1"/>
      <c r="G268" s="199">
        <v>265.0</v>
      </c>
      <c r="H268" s="200">
        <f>if(AND('Deal Analysis'!$D$37*12&lt;G268,'Deal Analysis'!$D$37&gt;0),0,H267)</f>
        <v>333.3333333</v>
      </c>
      <c r="I268" s="200">
        <f>if(H268&gt;0,'Deal Analysis'!$D$35/12*K267,0)</f>
        <v>333.3333333</v>
      </c>
      <c r="J268" s="200">
        <f t="shared" si="3"/>
        <v>0</v>
      </c>
      <c r="K268" s="200">
        <f>if(AND('Deal Analysis'!$D$37*12&lt;G268,'Deal Analysis'!$D$37&gt;0),0,K267-J268)</f>
        <v>50000</v>
      </c>
      <c r="L268" s="1"/>
      <c r="M268" s="199">
        <v>265.0</v>
      </c>
      <c r="N268" s="200">
        <f>if('Deal Analysis'!D306="Yes",'Deal Analysis'!D313,0)</f>
        <v>0</v>
      </c>
      <c r="O268" s="200">
        <f t="shared" si="4"/>
        <v>0</v>
      </c>
      <c r="P268" s="200">
        <f t="shared" si="5"/>
        <v>0</v>
      </c>
      <c r="Q268" s="200">
        <f>if(AND('Deal Analysis'!$D$47*12&lt;M268,'Deal Analysis'!$D$47&gt;0),0,Q267-P268)</f>
        <v>0</v>
      </c>
      <c r="R268" s="1"/>
      <c r="S268" s="1"/>
      <c r="T268" s="1"/>
      <c r="U268" s="1"/>
      <c r="V268" s="1"/>
      <c r="W268" s="1"/>
      <c r="X268" s="1"/>
      <c r="Y268" s="1"/>
      <c r="Z268" s="1"/>
      <c r="AA268" s="1"/>
    </row>
    <row r="269">
      <c r="A269" s="199">
        <v>266.0</v>
      </c>
      <c r="B269" s="200">
        <f t="shared" si="6"/>
        <v>3046.641421</v>
      </c>
      <c r="C269" s="200">
        <f>'Deal Analysis'!$D$24/12*E268</f>
        <v>535.7959686</v>
      </c>
      <c r="D269" s="200">
        <f t="shared" si="1"/>
        <v>2510.845452</v>
      </c>
      <c r="E269" s="200">
        <f t="shared" si="2"/>
        <v>68928.61703</v>
      </c>
      <c r="F269" s="1"/>
      <c r="G269" s="199">
        <v>266.0</v>
      </c>
      <c r="H269" s="200">
        <f>if(AND('Deal Analysis'!$D$37*12&lt;G269,'Deal Analysis'!$D$37&gt;0),0,H268)</f>
        <v>333.3333333</v>
      </c>
      <c r="I269" s="200">
        <f>if(H269&gt;0,'Deal Analysis'!$D$35/12*K268,0)</f>
        <v>333.3333333</v>
      </c>
      <c r="J269" s="200">
        <f t="shared" si="3"/>
        <v>0</v>
      </c>
      <c r="K269" s="200">
        <f>if(AND('Deal Analysis'!$D$37*12&lt;G269,'Deal Analysis'!$D$37&gt;0),0,K268-J269)</f>
        <v>50000</v>
      </c>
      <c r="L269" s="1"/>
      <c r="M269" s="199">
        <v>266.0</v>
      </c>
      <c r="N269" s="200">
        <f>if('Deal Analysis'!D307="Yes",'Deal Analysis'!D314,0)</f>
        <v>0</v>
      </c>
      <c r="O269" s="200">
        <f t="shared" si="4"/>
        <v>0</v>
      </c>
      <c r="P269" s="200">
        <f t="shared" si="5"/>
        <v>0</v>
      </c>
      <c r="Q269" s="200">
        <f>if(AND('Deal Analysis'!$D$47*12&lt;M269,'Deal Analysis'!$D$47&gt;0),0,Q268-P269)</f>
        <v>0</v>
      </c>
      <c r="R269" s="1"/>
      <c r="S269" s="1"/>
      <c r="T269" s="1"/>
      <c r="U269" s="1"/>
      <c r="V269" s="1"/>
      <c r="W269" s="1"/>
      <c r="X269" s="1"/>
      <c r="Y269" s="1"/>
      <c r="Z269" s="1"/>
      <c r="AA269" s="1"/>
    </row>
    <row r="270">
      <c r="A270" s="199">
        <v>267.0</v>
      </c>
      <c r="B270" s="200">
        <f t="shared" si="6"/>
        <v>3046.641421</v>
      </c>
      <c r="C270" s="200">
        <f>'Deal Analysis'!$D$24/12*E269</f>
        <v>516.9646277</v>
      </c>
      <c r="D270" s="200">
        <f t="shared" si="1"/>
        <v>2529.676793</v>
      </c>
      <c r="E270" s="200">
        <f t="shared" si="2"/>
        <v>66398.94023</v>
      </c>
      <c r="F270" s="1"/>
      <c r="G270" s="199">
        <v>267.0</v>
      </c>
      <c r="H270" s="200">
        <f>if(AND('Deal Analysis'!$D$37*12&lt;G270,'Deal Analysis'!$D$37&gt;0),0,H269)</f>
        <v>333.3333333</v>
      </c>
      <c r="I270" s="200">
        <f>if(H270&gt;0,'Deal Analysis'!$D$35/12*K269,0)</f>
        <v>333.3333333</v>
      </c>
      <c r="J270" s="200">
        <f t="shared" si="3"/>
        <v>0</v>
      </c>
      <c r="K270" s="200">
        <f>if(AND('Deal Analysis'!$D$37*12&lt;G270,'Deal Analysis'!$D$37&gt;0),0,K269-J270)</f>
        <v>50000</v>
      </c>
      <c r="L270" s="1"/>
      <c r="M270" s="199">
        <v>267.0</v>
      </c>
      <c r="N270" s="200">
        <f>if('Deal Analysis'!D308="Yes",'Deal Analysis'!D315,0)</f>
        <v>0</v>
      </c>
      <c r="O270" s="200">
        <f t="shared" si="4"/>
        <v>0</v>
      </c>
      <c r="P270" s="200">
        <f t="shared" si="5"/>
        <v>0</v>
      </c>
      <c r="Q270" s="200">
        <f>if(AND('Deal Analysis'!$D$47*12&lt;M270,'Deal Analysis'!$D$47&gt;0),0,Q269-P270)</f>
        <v>0</v>
      </c>
      <c r="R270" s="1"/>
      <c r="S270" s="1"/>
      <c r="T270" s="1"/>
      <c r="U270" s="1"/>
      <c r="V270" s="1"/>
      <c r="W270" s="1"/>
      <c r="X270" s="1"/>
      <c r="Y270" s="1"/>
      <c r="Z270" s="1"/>
      <c r="AA270" s="1"/>
    </row>
    <row r="271">
      <c r="A271" s="199">
        <v>268.0</v>
      </c>
      <c r="B271" s="200">
        <f t="shared" si="6"/>
        <v>3046.641421</v>
      </c>
      <c r="C271" s="200">
        <f>'Deal Analysis'!$D$24/12*E270</f>
        <v>497.9920518</v>
      </c>
      <c r="D271" s="200">
        <f t="shared" si="1"/>
        <v>2548.649369</v>
      </c>
      <c r="E271" s="200">
        <f t="shared" si="2"/>
        <v>63850.29086</v>
      </c>
      <c r="F271" s="1"/>
      <c r="G271" s="199">
        <v>268.0</v>
      </c>
      <c r="H271" s="200">
        <f>if(AND('Deal Analysis'!$D$37*12&lt;G271,'Deal Analysis'!$D$37&gt;0),0,H270)</f>
        <v>333.3333333</v>
      </c>
      <c r="I271" s="200">
        <f>if(H271&gt;0,'Deal Analysis'!$D$35/12*K270,0)</f>
        <v>333.3333333</v>
      </c>
      <c r="J271" s="200">
        <f t="shared" si="3"/>
        <v>0</v>
      </c>
      <c r="K271" s="200">
        <f>if(AND('Deal Analysis'!$D$37*12&lt;G271,'Deal Analysis'!$D$37&gt;0),0,K270-J271)</f>
        <v>50000</v>
      </c>
      <c r="L271" s="1"/>
      <c r="M271" s="199">
        <v>268.0</v>
      </c>
      <c r="N271" s="200">
        <f>if('Deal Analysis'!D309="Yes",'Deal Analysis'!D316,0)</f>
        <v>0</v>
      </c>
      <c r="O271" s="200">
        <f t="shared" si="4"/>
        <v>0</v>
      </c>
      <c r="P271" s="200">
        <f t="shared" si="5"/>
        <v>0</v>
      </c>
      <c r="Q271" s="200">
        <f>if(AND('Deal Analysis'!$D$47*12&lt;M271,'Deal Analysis'!$D$47&gt;0),0,Q270-P271)</f>
        <v>0</v>
      </c>
      <c r="R271" s="1"/>
      <c r="S271" s="1"/>
      <c r="T271" s="1"/>
      <c r="U271" s="1"/>
      <c r="V271" s="1"/>
      <c r="W271" s="1"/>
      <c r="X271" s="1"/>
      <c r="Y271" s="1"/>
      <c r="Z271" s="1"/>
      <c r="AA271" s="1"/>
    </row>
    <row r="272">
      <c r="A272" s="199">
        <v>269.0</v>
      </c>
      <c r="B272" s="200">
        <f t="shared" si="6"/>
        <v>3046.641421</v>
      </c>
      <c r="C272" s="200">
        <f>'Deal Analysis'!$D$24/12*E271</f>
        <v>478.8771815</v>
      </c>
      <c r="D272" s="200">
        <f t="shared" si="1"/>
        <v>2567.76424</v>
      </c>
      <c r="E272" s="200">
        <f t="shared" si="2"/>
        <v>61282.52663</v>
      </c>
      <c r="F272" s="1"/>
      <c r="G272" s="199">
        <v>269.0</v>
      </c>
      <c r="H272" s="200">
        <f>if(AND('Deal Analysis'!$D$37*12&lt;G272,'Deal Analysis'!$D$37&gt;0),0,H271)</f>
        <v>333.3333333</v>
      </c>
      <c r="I272" s="200">
        <f>if(H272&gt;0,'Deal Analysis'!$D$35/12*K271,0)</f>
        <v>333.3333333</v>
      </c>
      <c r="J272" s="200">
        <f t="shared" si="3"/>
        <v>0</v>
      </c>
      <c r="K272" s="200">
        <f>if(AND('Deal Analysis'!$D$37*12&lt;G272,'Deal Analysis'!$D$37&gt;0),0,K271-J272)</f>
        <v>50000</v>
      </c>
      <c r="L272" s="1"/>
      <c r="M272" s="199">
        <v>269.0</v>
      </c>
      <c r="N272" s="200">
        <f>if('Deal Analysis'!D310="Yes",'Deal Analysis'!D317,0)</f>
        <v>0</v>
      </c>
      <c r="O272" s="200">
        <f t="shared" si="4"/>
        <v>0</v>
      </c>
      <c r="P272" s="200">
        <f t="shared" si="5"/>
        <v>0</v>
      </c>
      <c r="Q272" s="200">
        <f>if(AND('Deal Analysis'!$D$47*12&lt;M272,'Deal Analysis'!$D$47&gt;0),0,Q271-P272)</f>
        <v>0</v>
      </c>
      <c r="R272" s="1"/>
      <c r="S272" s="1"/>
      <c r="T272" s="1"/>
      <c r="U272" s="1"/>
      <c r="V272" s="1"/>
      <c r="W272" s="1"/>
      <c r="X272" s="1"/>
      <c r="Y272" s="1"/>
      <c r="Z272" s="1"/>
      <c r="AA272" s="1"/>
    </row>
    <row r="273">
      <c r="A273" s="199">
        <v>270.0</v>
      </c>
      <c r="B273" s="200">
        <f t="shared" si="6"/>
        <v>3046.641421</v>
      </c>
      <c r="C273" s="200">
        <f>'Deal Analysis'!$D$24/12*E272</f>
        <v>459.6189497</v>
      </c>
      <c r="D273" s="200">
        <f t="shared" si="1"/>
        <v>2587.022471</v>
      </c>
      <c r="E273" s="200">
        <f t="shared" si="2"/>
        <v>58695.50415</v>
      </c>
      <c r="F273" s="1"/>
      <c r="G273" s="199">
        <v>270.0</v>
      </c>
      <c r="H273" s="200">
        <f>if(AND('Deal Analysis'!$D$37*12&lt;G273,'Deal Analysis'!$D$37&gt;0),0,H272)</f>
        <v>333.3333333</v>
      </c>
      <c r="I273" s="200">
        <f>if(H273&gt;0,'Deal Analysis'!$D$35/12*K272,0)</f>
        <v>333.3333333</v>
      </c>
      <c r="J273" s="200">
        <f t="shared" si="3"/>
        <v>0</v>
      </c>
      <c r="K273" s="200">
        <f>if(AND('Deal Analysis'!$D$37*12&lt;G273,'Deal Analysis'!$D$37&gt;0),0,K272-J273)</f>
        <v>50000</v>
      </c>
      <c r="L273" s="1"/>
      <c r="M273" s="199">
        <v>270.0</v>
      </c>
      <c r="N273" s="200">
        <f>if('Deal Analysis'!D311="Yes",'Deal Analysis'!D318,0)</f>
        <v>0</v>
      </c>
      <c r="O273" s="200">
        <f t="shared" si="4"/>
        <v>0</v>
      </c>
      <c r="P273" s="200">
        <f t="shared" si="5"/>
        <v>0</v>
      </c>
      <c r="Q273" s="200">
        <f>if(AND('Deal Analysis'!$D$47*12&lt;M273,'Deal Analysis'!$D$47&gt;0),0,Q272-P273)</f>
        <v>0</v>
      </c>
      <c r="R273" s="1"/>
      <c r="S273" s="1"/>
      <c r="T273" s="1"/>
      <c r="U273" s="1"/>
      <c r="V273" s="1"/>
      <c r="W273" s="1"/>
      <c r="X273" s="1"/>
      <c r="Y273" s="1"/>
      <c r="Z273" s="1"/>
      <c r="AA273" s="1"/>
    </row>
    <row r="274">
      <c r="A274" s="199">
        <v>271.0</v>
      </c>
      <c r="B274" s="200">
        <f t="shared" si="6"/>
        <v>3046.641421</v>
      </c>
      <c r="C274" s="200">
        <f>'Deal Analysis'!$D$24/12*E273</f>
        <v>440.2162812</v>
      </c>
      <c r="D274" s="200">
        <f t="shared" si="1"/>
        <v>2606.42514</v>
      </c>
      <c r="E274" s="200">
        <f t="shared" si="2"/>
        <v>56089.07901</v>
      </c>
      <c r="F274" s="1"/>
      <c r="G274" s="199">
        <v>271.0</v>
      </c>
      <c r="H274" s="200">
        <f>if(AND('Deal Analysis'!$D$37*12&lt;G274,'Deal Analysis'!$D$37&gt;0),0,H273)</f>
        <v>333.3333333</v>
      </c>
      <c r="I274" s="200">
        <f>if(H274&gt;0,'Deal Analysis'!$D$35/12*K273,0)</f>
        <v>333.3333333</v>
      </c>
      <c r="J274" s="200">
        <f t="shared" si="3"/>
        <v>0</v>
      </c>
      <c r="K274" s="200">
        <f>if(AND('Deal Analysis'!$D$37*12&lt;G274,'Deal Analysis'!$D$37&gt;0),0,K273-J274)</f>
        <v>50000</v>
      </c>
      <c r="L274" s="1"/>
      <c r="M274" s="199">
        <v>271.0</v>
      </c>
      <c r="N274" s="200">
        <f>if('Deal Analysis'!D312="Yes",'Deal Analysis'!D319,0)</f>
        <v>0</v>
      </c>
      <c r="O274" s="200">
        <f t="shared" si="4"/>
        <v>0</v>
      </c>
      <c r="P274" s="200">
        <f t="shared" si="5"/>
        <v>0</v>
      </c>
      <c r="Q274" s="200">
        <f>if(AND('Deal Analysis'!$D$47*12&lt;M274,'Deal Analysis'!$D$47&gt;0),0,Q273-P274)</f>
        <v>0</v>
      </c>
      <c r="R274" s="1"/>
      <c r="S274" s="1"/>
      <c r="T274" s="1"/>
      <c r="U274" s="1"/>
      <c r="V274" s="1"/>
      <c r="W274" s="1"/>
      <c r="X274" s="1"/>
      <c r="Y274" s="1"/>
      <c r="Z274" s="1"/>
      <c r="AA274" s="1"/>
    </row>
    <row r="275">
      <c r="A275" s="199">
        <v>272.0</v>
      </c>
      <c r="B275" s="200">
        <f t="shared" si="6"/>
        <v>3046.641421</v>
      </c>
      <c r="C275" s="200">
        <f>'Deal Analysis'!$D$24/12*E274</f>
        <v>420.6680926</v>
      </c>
      <c r="D275" s="200">
        <f t="shared" si="1"/>
        <v>2625.973328</v>
      </c>
      <c r="E275" s="200">
        <f t="shared" si="2"/>
        <v>53463.10569</v>
      </c>
      <c r="F275" s="1"/>
      <c r="G275" s="199">
        <v>272.0</v>
      </c>
      <c r="H275" s="200">
        <f>if(AND('Deal Analysis'!$D$37*12&lt;G275,'Deal Analysis'!$D$37&gt;0),0,H274)</f>
        <v>333.3333333</v>
      </c>
      <c r="I275" s="200">
        <f>if(H275&gt;0,'Deal Analysis'!$D$35/12*K274,0)</f>
        <v>333.3333333</v>
      </c>
      <c r="J275" s="200">
        <f t="shared" si="3"/>
        <v>0</v>
      </c>
      <c r="K275" s="200">
        <f>if(AND('Deal Analysis'!$D$37*12&lt;G275,'Deal Analysis'!$D$37&gt;0),0,K274-J275)</f>
        <v>50000</v>
      </c>
      <c r="L275" s="1"/>
      <c r="M275" s="199">
        <v>272.0</v>
      </c>
      <c r="N275" s="200">
        <f>if('Deal Analysis'!D313="Yes",'Deal Analysis'!D320,0)</f>
        <v>0</v>
      </c>
      <c r="O275" s="200">
        <f t="shared" si="4"/>
        <v>0</v>
      </c>
      <c r="P275" s="200">
        <f t="shared" si="5"/>
        <v>0</v>
      </c>
      <c r="Q275" s="200">
        <f>if(AND('Deal Analysis'!$D$47*12&lt;M275,'Deal Analysis'!$D$47&gt;0),0,Q274-P275)</f>
        <v>0</v>
      </c>
      <c r="R275" s="1"/>
      <c r="S275" s="1"/>
      <c r="T275" s="1"/>
      <c r="U275" s="1"/>
      <c r="V275" s="1"/>
      <c r="W275" s="1"/>
      <c r="X275" s="1"/>
      <c r="Y275" s="1"/>
      <c r="Z275" s="1"/>
      <c r="AA275" s="1"/>
    </row>
    <row r="276">
      <c r="A276" s="199">
        <v>273.0</v>
      </c>
      <c r="B276" s="200">
        <f t="shared" si="6"/>
        <v>3046.641421</v>
      </c>
      <c r="C276" s="200">
        <f>'Deal Analysis'!$D$24/12*E275</f>
        <v>400.9732926</v>
      </c>
      <c r="D276" s="200">
        <f t="shared" si="1"/>
        <v>2645.668128</v>
      </c>
      <c r="E276" s="200">
        <f t="shared" si="2"/>
        <v>50817.43756</v>
      </c>
      <c r="F276" s="1"/>
      <c r="G276" s="199">
        <v>273.0</v>
      </c>
      <c r="H276" s="200">
        <f>if(AND('Deal Analysis'!$D$37*12&lt;G276,'Deal Analysis'!$D$37&gt;0),0,H275)</f>
        <v>333.3333333</v>
      </c>
      <c r="I276" s="200">
        <f>if(H276&gt;0,'Deal Analysis'!$D$35/12*K275,0)</f>
        <v>333.3333333</v>
      </c>
      <c r="J276" s="200">
        <f t="shared" si="3"/>
        <v>0</v>
      </c>
      <c r="K276" s="200">
        <f>if(AND('Deal Analysis'!$D$37*12&lt;G276,'Deal Analysis'!$D$37&gt;0),0,K275-J276)</f>
        <v>50000</v>
      </c>
      <c r="L276" s="1"/>
      <c r="M276" s="199">
        <v>273.0</v>
      </c>
      <c r="N276" s="200">
        <f>if('Deal Analysis'!D314="Yes",'Deal Analysis'!D321,0)</f>
        <v>0</v>
      </c>
      <c r="O276" s="200">
        <f t="shared" si="4"/>
        <v>0</v>
      </c>
      <c r="P276" s="200">
        <f t="shared" si="5"/>
        <v>0</v>
      </c>
      <c r="Q276" s="200">
        <f>if(AND('Deal Analysis'!$D$47*12&lt;M276,'Deal Analysis'!$D$47&gt;0),0,Q275-P276)</f>
        <v>0</v>
      </c>
      <c r="R276" s="1"/>
      <c r="S276" s="1"/>
      <c r="T276" s="1"/>
      <c r="U276" s="1"/>
      <c r="V276" s="1"/>
      <c r="W276" s="1"/>
      <c r="X276" s="1"/>
      <c r="Y276" s="1"/>
      <c r="Z276" s="1"/>
      <c r="AA276" s="1"/>
    </row>
    <row r="277">
      <c r="A277" s="199">
        <v>274.0</v>
      </c>
      <c r="B277" s="200">
        <f t="shared" si="6"/>
        <v>3046.641421</v>
      </c>
      <c r="C277" s="200">
        <f>'Deal Analysis'!$D$24/12*E276</f>
        <v>381.1307817</v>
      </c>
      <c r="D277" s="200">
        <f t="shared" si="1"/>
        <v>2665.510639</v>
      </c>
      <c r="E277" s="200">
        <f t="shared" si="2"/>
        <v>48151.92692</v>
      </c>
      <c r="F277" s="1"/>
      <c r="G277" s="199">
        <v>274.0</v>
      </c>
      <c r="H277" s="200">
        <f>if(AND('Deal Analysis'!$D$37*12&lt;G277,'Deal Analysis'!$D$37&gt;0),0,H276)</f>
        <v>333.3333333</v>
      </c>
      <c r="I277" s="200">
        <f>if(H277&gt;0,'Deal Analysis'!$D$35/12*K276,0)</f>
        <v>333.3333333</v>
      </c>
      <c r="J277" s="200">
        <f t="shared" si="3"/>
        <v>0</v>
      </c>
      <c r="K277" s="200">
        <f>if(AND('Deal Analysis'!$D$37*12&lt;G277,'Deal Analysis'!$D$37&gt;0),0,K276-J277)</f>
        <v>50000</v>
      </c>
      <c r="L277" s="1"/>
      <c r="M277" s="199">
        <v>274.0</v>
      </c>
      <c r="N277" s="200">
        <f>if('Deal Analysis'!D315="Yes",'Deal Analysis'!D322,0)</f>
        <v>0</v>
      </c>
      <c r="O277" s="200">
        <f t="shared" si="4"/>
        <v>0</v>
      </c>
      <c r="P277" s="200">
        <f t="shared" si="5"/>
        <v>0</v>
      </c>
      <c r="Q277" s="200">
        <f>if(AND('Deal Analysis'!$D$47*12&lt;M277,'Deal Analysis'!$D$47&gt;0),0,Q276-P277)</f>
        <v>0</v>
      </c>
      <c r="R277" s="1"/>
      <c r="S277" s="1"/>
      <c r="T277" s="1"/>
      <c r="U277" s="1"/>
      <c r="V277" s="1"/>
      <c r="W277" s="1"/>
      <c r="X277" s="1"/>
      <c r="Y277" s="1"/>
      <c r="Z277" s="1"/>
      <c r="AA277" s="1"/>
    </row>
    <row r="278">
      <c r="A278" s="199">
        <v>275.0</v>
      </c>
      <c r="B278" s="200">
        <f t="shared" si="6"/>
        <v>3046.641421</v>
      </c>
      <c r="C278" s="200">
        <f>'Deal Analysis'!$D$24/12*E277</f>
        <v>361.1394519</v>
      </c>
      <c r="D278" s="200">
        <f t="shared" si="1"/>
        <v>2685.501969</v>
      </c>
      <c r="E278" s="200">
        <f t="shared" si="2"/>
        <v>45466.42495</v>
      </c>
      <c r="F278" s="1"/>
      <c r="G278" s="199">
        <v>275.0</v>
      </c>
      <c r="H278" s="200">
        <f>if(AND('Deal Analysis'!$D$37*12&lt;G278,'Deal Analysis'!$D$37&gt;0),0,H277)</f>
        <v>333.3333333</v>
      </c>
      <c r="I278" s="200">
        <f>if(H278&gt;0,'Deal Analysis'!$D$35/12*K277,0)</f>
        <v>333.3333333</v>
      </c>
      <c r="J278" s="200">
        <f t="shared" si="3"/>
        <v>0</v>
      </c>
      <c r="K278" s="200">
        <f>if(AND('Deal Analysis'!$D$37*12&lt;G278,'Deal Analysis'!$D$37&gt;0),0,K277-J278)</f>
        <v>50000</v>
      </c>
      <c r="L278" s="1"/>
      <c r="M278" s="199">
        <v>275.0</v>
      </c>
      <c r="N278" s="200">
        <f>if('Deal Analysis'!D316="Yes",'Deal Analysis'!D323,0)</f>
        <v>0</v>
      </c>
      <c r="O278" s="200">
        <f t="shared" si="4"/>
        <v>0</v>
      </c>
      <c r="P278" s="200">
        <f t="shared" si="5"/>
        <v>0</v>
      </c>
      <c r="Q278" s="200">
        <f>if(AND('Deal Analysis'!$D$47*12&lt;M278,'Deal Analysis'!$D$47&gt;0),0,Q277-P278)</f>
        <v>0</v>
      </c>
      <c r="R278" s="1"/>
      <c r="S278" s="1"/>
      <c r="T278" s="1"/>
      <c r="U278" s="1"/>
      <c r="V278" s="1"/>
      <c r="W278" s="1"/>
      <c r="X278" s="1"/>
      <c r="Y278" s="1"/>
      <c r="Z278" s="1"/>
      <c r="AA278" s="1"/>
    </row>
    <row r="279">
      <c r="A279" s="199">
        <v>276.0</v>
      </c>
      <c r="B279" s="200">
        <f t="shared" si="6"/>
        <v>3046.641421</v>
      </c>
      <c r="C279" s="200">
        <f>'Deal Analysis'!$D$24/12*E278</f>
        <v>340.9981871</v>
      </c>
      <c r="D279" s="200">
        <f t="shared" si="1"/>
        <v>2705.643234</v>
      </c>
      <c r="E279" s="200">
        <f t="shared" si="2"/>
        <v>42760.78172</v>
      </c>
      <c r="F279" s="1"/>
      <c r="G279" s="199">
        <v>276.0</v>
      </c>
      <c r="H279" s="200">
        <f>if(AND('Deal Analysis'!$D$37*12&lt;G279,'Deal Analysis'!$D$37&gt;0),0,H278)</f>
        <v>333.3333333</v>
      </c>
      <c r="I279" s="200">
        <f>if(H279&gt;0,'Deal Analysis'!$D$35/12*K278,0)</f>
        <v>333.3333333</v>
      </c>
      <c r="J279" s="200">
        <f t="shared" si="3"/>
        <v>0</v>
      </c>
      <c r="K279" s="200">
        <f>if(AND('Deal Analysis'!$D$37*12&lt;G279,'Deal Analysis'!$D$37&gt;0),0,K278-J279)</f>
        <v>50000</v>
      </c>
      <c r="L279" s="1"/>
      <c r="M279" s="199">
        <v>276.0</v>
      </c>
      <c r="N279" s="200">
        <f>if('Deal Analysis'!D317="Yes",'Deal Analysis'!D324,0)</f>
        <v>0</v>
      </c>
      <c r="O279" s="200">
        <f t="shared" si="4"/>
        <v>0</v>
      </c>
      <c r="P279" s="200">
        <f t="shared" si="5"/>
        <v>0</v>
      </c>
      <c r="Q279" s="200">
        <f>if(AND('Deal Analysis'!$D$47*12&lt;M279,'Deal Analysis'!$D$47&gt;0),0,Q278-P279)</f>
        <v>0</v>
      </c>
      <c r="R279" s="1"/>
      <c r="S279" s="1"/>
      <c r="T279" s="1"/>
      <c r="U279" s="1"/>
      <c r="V279" s="1"/>
      <c r="W279" s="1"/>
      <c r="X279" s="1"/>
      <c r="Y279" s="1"/>
      <c r="Z279" s="1"/>
      <c r="AA279" s="1"/>
    </row>
    <row r="280">
      <c r="A280" s="199">
        <v>277.0</v>
      </c>
      <c r="B280" s="200">
        <f t="shared" si="6"/>
        <v>3046.641421</v>
      </c>
      <c r="C280" s="200">
        <f>'Deal Analysis'!$D$24/12*E279</f>
        <v>320.7058629</v>
      </c>
      <c r="D280" s="200">
        <f t="shared" si="1"/>
        <v>2725.935558</v>
      </c>
      <c r="E280" s="200">
        <f t="shared" si="2"/>
        <v>40034.84616</v>
      </c>
      <c r="F280" s="1"/>
      <c r="G280" s="199">
        <v>277.0</v>
      </c>
      <c r="H280" s="200">
        <f>if(AND('Deal Analysis'!$D$37*12&lt;G280,'Deal Analysis'!$D$37&gt;0),0,H279)</f>
        <v>333.3333333</v>
      </c>
      <c r="I280" s="200">
        <f>if(H280&gt;0,'Deal Analysis'!$D$35/12*K279,0)</f>
        <v>333.3333333</v>
      </c>
      <c r="J280" s="200">
        <f t="shared" si="3"/>
        <v>0</v>
      </c>
      <c r="K280" s="200">
        <f>if(AND('Deal Analysis'!$D$37*12&lt;G280,'Deal Analysis'!$D$37&gt;0),0,K279-J280)</f>
        <v>50000</v>
      </c>
      <c r="L280" s="1"/>
      <c r="M280" s="199">
        <v>277.0</v>
      </c>
      <c r="N280" s="200">
        <f>if('Deal Analysis'!D318="Yes",'Deal Analysis'!D325,0)</f>
        <v>0</v>
      </c>
      <c r="O280" s="200">
        <f t="shared" si="4"/>
        <v>0</v>
      </c>
      <c r="P280" s="200">
        <f t="shared" si="5"/>
        <v>0</v>
      </c>
      <c r="Q280" s="200">
        <f>if(AND('Deal Analysis'!$D$47*12&lt;M280,'Deal Analysis'!$D$47&gt;0),0,Q279-P280)</f>
        <v>0</v>
      </c>
      <c r="R280" s="1"/>
      <c r="S280" s="1"/>
      <c r="T280" s="1"/>
      <c r="U280" s="1"/>
      <c r="V280" s="1"/>
      <c r="W280" s="1"/>
      <c r="X280" s="1"/>
      <c r="Y280" s="1"/>
      <c r="Z280" s="1"/>
      <c r="AA280" s="1"/>
    </row>
    <row r="281">
      <c r="A281" s="199">
        <v>278.0</v>
      </c>
      <c r="B281" s="200">
        <f t="shared" si="6"/>
        <v>3046.641421</v>
      </c>
      <c r="C281" s="200">
        <f>'Deal Analysis'!$D$24/12*E280</f>
        <v>300.2613462</v>
      </c>
      <c r="D281" s="200">
        <f t="shared" si="1"/>
        <v>2746.380075</v>
      </c>
      <c r="E281" s="200">
        <f t="shared" si="2"/>
        <v>37288.46608</v>
      </c>
      <c r="F281" s="1"/>
      <c r="G281" s="199">
        <v>278.0</v>
      </c>
      <c r="H281" s="200">
        <f>if(AND('Deal Analysis'!$D$37*12&lt;G281,'Deal Analysis'!$D$37&gt;0),0,H280)</f>
        <v>333.3333333</v>
      </c>
      <c r="I281" s="200">
        <f>if(H281&gt;0,'Deal Analysis'!$D$35/12*K280,0)</f>
        <v>333.3333333</v>
      </c>
      <c r="J281" s="200">
        <f t="shared" si="3"/>
        <v>0</v>
      </c>
      <c r="K281" s="200">
        <f>if(AND('Deal Analysis'!$D$37*12&lt;G281,'Deal Analysis'!$D$37&gt;0),0,K280-J281)</f>
        <v>50000</v>
      </c>
      <c r="L281" s="1"/>
      <c r="M281" s="199">
        <v>278.0</v>
      </c>
      <c r="N281" s="200">
        <f>if('Deal Analysis'!D319="Yes",'Deal Analysis'!D326,0)</f>
        <v>0</v>
      </c>
      <c r="O281" s="200">
        <f t="shared" si="4"/>
        <v>0</v>
      </c>
      <c r="P281" s="200">
        <f t="shared" si="5"/>
        <v>0</v>
      </c>
      <c r="Q281" s="200">
        <f>if(AND('Deal Analysis'!$D$47*12&lt;M281,'Deal Analysis'!$D$47&gt;0),0,Q280-P281)</f>
        <v>0</v>
      </c>
      <c r="R281" s="1"/>
      <c r="S281" s="1"/>
      <c r="T281" s="1"/>
      <c r="U281" s="1"/>
      <c r="V281" s="1"/>
      <c r="W281" s="1"/>
      <c r="X281" s="1"/>
      <c r="Y281" s="1"/>
      <c r="Z281" s="1"/>
      <c r="AA281" s="1"/>
    </row>
    <row r="282">
      <c r="A282" s="199">
        <v>279.0</v>
      </c>
      <c r="B282" s="200">
        <f t="shared" si="6"/>
        <v>3046.641421</v>
      </c>
      <c r="C282" s="200">
        <f>'Deal Analysis'!$D$24/12*E281</f>
        <v>279.6634956</v>
      </c>
      <c r="D282" s="200">
        <f t="shared" si="1"/>
        <v>2766.977925</v>
      </c>
      <c r="E282" s="200">
        <f t="shared" si="2"/>
        <v>34521.48816</v>
      </c>
      <c r="F282" s="1"/>
      <c r="G282" s="199">
        <v>279.0</v>
      </c>
      <c r="H282" s="200">
        <f>if(AND('Deal Analysis'!$D$37*12&lt;G282,'Deal Analysis'!$D$37&gt;0),0,H281)</f>
        <v>333.3333333</v>
      </c>
      <c r="I282" s="200">
        <f>if(H282&gt;0,'Deal Analysis'!$D$35/12*K281,0)</f>
        <v>333.3333333</v>
      </c>
      <c r="J282" s="200">
        <f t="shared" si="3"/>
        <v>0</v>
      </c>
      <c r="K282" s="200">
        <f>if(AND('Deal Analysis'!$D$37*12&lt;G282,'Deal Analysis'!$D$37&gt;0),0,K281-J282)</f>
        <v>50000</v>
      </c>
      <c r="L282" s="1"/>
      <c r="M282" s="199">
        <v>279.0</v>
      </c>
      <c r="N282" s="200">
        <f>if('Deal Analysis'!D320="Yes",'Deal Analysis'!D327,0)</f>
        <v>0</v>
      </c>
      <c r="O282" s="200">
        <f t="shared" si="4"/>
        <v>0</v>
      </c>
      <c r="P282" s="200">
        <f t="shared" si="5"/>
        <v>0</v>
      </c>
      <c r="Q282" s="200">
        <f>if(AND('Deal Analysis'!$D$47*12&lt;M282,'Deal Analysis'!$D$47&gt;0),0,Q281-P282)</f>
        <v>0</v>
      </c>
      <c r="R282" s="1"/>
      <c r="S282" s="1"/>
      <c r="T282" s="1"/>
      <c r="U282" s="1"/>
      <c r="V282" s="1"/>
      <c r="W282" s="1"/>
      <c r="X282" s="1"/>
      <c r="Y282" s="1"/>
      <c r="Z282" s="1"/>
      <c r="AA282" s="1"/>
    </row>
    <row r="283">
      <c r="A283" s="199">
        <v>280.0</v>
      </c>
      <c r="B283" s="200">
        <f t="shared" si="6"/>
        <v>3046.641421</v>
      </c>
      <c r="C283" s="200">
        <f>'Deal Analysis'!$D$24/12*E282</f>
        <v>258.9111612</v>
      </c>
      <c r="D283" s="200">
        <f t="shared" si="1"/>
        <v>2787.73026</v>
      </c>
      <c r="E283" s="200">
        <f t="shared" si="2"/>
        <v>31733.7579</v>
      </c>
      <c r="F283" s="1"/>
      <c r="G283" s="199">
        <v>280.0</v>
      </c>
      <c r="H283" s="200">
        <f>if(AND('Deal Analysis'!$D$37*12&lt;G283,'Deal Analysis'!$D$37&gt;0),0,H282)</f>
        <v>333.3333333</v>
      </c>
      <c r="I283" s="200">
        <f>if(H283&gt;0,'Deal Analysis'!$D$35/12*K282,0)</f>
        <v>333.3333333</v>
      </c>
      <c r="J283" s="200">
        <f t="shared" si="3"/>
        <v>0</v>
      </c>
      <c r="K283" s="200">
        <f>if(AND('Deal Analysis'!$D$37*12&lt;G283,'Deal Analysis'!$D$37&gt;0),0,K282-J283)</f>
        <v>50000</v>
      </c>
      <c r="L283" s="1"/>
      <c r="M283" s="199">
        <v>280.0</v>
      </c>
      <c r="N283" s="200">
        <f>if('Deal Analysis'!D321="Yes",'Deal Analysis'!D328,0)</f>
        <v>0</v>
      </c>
      <c r="O283" s="200">
        <f t="shared" si="4"/>
        <v>0</v>
      </c>
      <c r="P283" s="200">
        <f t="shared" si="5"/>
        <v>0</v>
      </c>
      <c r="Q283" s="200">
        <f>if(AND('Deal Analysis'!$D$47*12&lt;M283,'Deal Analysis'!$D$47&gt;0),0,Q282-P283)</f>
        <v>0</v>
      </c>
      <c r="R283" s="1"/>
      <c r="S283" s="1"/>
      <c r="T283" s="1"/>
      <c r="U283" s="1"/>
      <c r="V283" s="1"/>
      <c r="W283" s="1"/>
      <c r="X283" s="1"/>
      <c r="Y283" s="1"/>
      <c r="Z283" s="1"/>
      <c r="AA283" s="1"/>
    </row>
    <row r="284">
      <c r="A284" s="199">
        <v>281.0</v>
      </c>
      <c r="B284" s="200">
        <f t="shared" si="6"/>
        <v>3046.641421</v>
      </c>
      <c r="C284" s="200">
        <f>'Deal Analysis'!$D$24/12*E283</f>
        <v>238.0031842</v>
      </c>
      <c r="D284" s="200">
        <f t="shared" si="1"/>
        <v>2808.638237</v>
      </c>
      <c r="E284" s="200">
        <f t="shared" si="2"/>
        <v>28925.11966</v>
      </c>
      <c r="F284" s="1"/>
      <c r="G284" s="199">
        <v>281.0</v>
      </c>
      <c r="H284" s="200">
        <f>if(AND('Deal Analysis'!$D$37*12&lt;G284,'Deal Analysis'!$D$37&gt;0),0,H283)</f>
        <v>333.3333333</v>
      </c>
      <c r="I284" s="200">
        <f>if(H284&gt;0,'Deal Analysis'!$D$35/12*K283,0)</f>
        <v>333.3333333</v>
      </c>
      <c r="J284" s="200">
        <f t="shared" si="3"/>
        <v>0</v>
      </c>
      <c r="K284" s="200">
        <f>if(AND('Deal Analysis'!$D$37*12&lt;G284,'Deal Analysis'!$D$37&gt;0),0,K283-J284)</f>
        <v>50000</v>
      </c>
      <c r="L284" s="1"/>
      <c r="M284" s="199">
        <v>281.0</v>
      </c>
      <c r="N284" s="200">
        <f>if('Deal Analysis'!D322="Yes",'Deal Analysis'!D329,0)</f>
        <v>0</v>
      </c>
      <c r="O284" s="200">
        <f t="shared" si="4"/>
        <v>0</v>
      </c>
      <c r="P284" s="200">
        <f t="shared" si="5"/>
        <v>0</v>
      </c>
      <c r="Q284" s="200">
        <f>if(AND('Deal Analysis'!$D$47*12&lt;M284,'Deal Analysis'!$D$47&gt;0),0,Q283-P284)</f>
        <v>0</v>
      </c>
      <c r="R284" s="1"/>
      <c r="S284" s="1"/>
      <c r="T284" s="1"/>
      <c r="U284" s="1"/>
      <c r="V284" s="1"/>
      <c r="W284" s="1"/>
      <c r="X284" s="1"/>
      <c r="Y284" s="1"/>
      <c r="Z284" s="1"/>
      <c r="AA284" s="1"/>
    </row>
    <row r="285">
      <c r="A285" s="199">
        <v>282.0</v>
      </c>
      <c r="B285" s="200">
        <f t="shared" si="6"/>
        <v>3046.641421</v>
      </c>
      <c r="C285" s="200">
        <f>'Deal Analysis'!$D$24/12*E284</f>
        <v>216.9383975</v>
      </c>
      <c r="D285" s="200">
        <f t="shared" si="1"/>
        <v>2829.703024</v>
      </c>
      <c r="E285" s="200">
        <f t="shared" si="2"/>
        <v>26095.41664</v>
      </c>
      <c r="F285" s="1"/>
      <c r="G285" s="199">
        <v>282.0</v>
      </c>
      <c r="H285" s="200">
        <f>if(AND('Deal Analysis'!$D$37*12&lt;G285,'Deal Analysis'!$D$37&gt;0),0,H284)</f>
        <v>333.3333333</v>
      </c>
      <c r="I285" s="200">
        <f>if(H285&gt;0,'Deal Analysis'!$D$35/12*K284,0)</f>
        <v>333.3333333</v>
      </c>
      <c r="J285" s="200">
        <f t="shared" si="3"/>
        <v>0</v>
      </c>
      <c r="K285" s="200">
        <f>if(AND('Deal Analysis'!$D$37*12&lt;G285,'Deal Analysis'!$D$37&gt;0),0,K284-J285)</f>
        <v>50000</v>
      </c>
      <c r="L285" s="1"/>
      <c r="M285" s="199">
        <v>282.0</v>
      </c>
      <c r="N285" s="200">
        <f>if('Deal Analysis'!D323="Yes",'Deal Analysis'!D330,0)</f>
        <v>0</v>
      </c>
      <c r="O285" s="200">
        <f t="shared" si="4"/>
        <v>0</v>
      </c>
      <c r="P285" s="200">
        <f t="shared" si="5"/>
        <v>0</v>
      </c>
      <c r="Q285" s="200">
        <f>if(AND('Deal Analysis'!$D$47*12&lt;M285,'Deal Analysis'!$D$47&gt;0),0,Q284-P285)</f>
        <v>0</v>
      </c>
      <c r="R285" s="1"/>
      <c r="S285" s="1"/>
      <c r="T285" s="1"/>
      <c r="U285" s="1"/>
      <c r="V285" s="1"/>
      <c r="W285" s="1"/>
      <c r="X285" s="1"/>
      <c r="Y285" s="1"/>
      <c r="Z285" s="1"/>
      <c r="AA285" s="1"/>
    </row>
    <row r="286">
      <c r="A286" s="199">
        <v>283.0</v>
      </c>
      <c r="B286" s="200">
        <f t="shared" si="6"/>
        <v>3046.641421</v>
      </c>
      <c r="C286" s="200">
        <f>'Deal Analysis'!$D$24/12*E285</f>
        <v>195.7156248</v>
      </c>
      <c r="D286" s="200">
        <f t="shared" si="1"/>
        <v>2850.925796</v>
      </c>
      <c r="E286" s="200">
        <f t="shared" si="2"/>
        <v>23244.49084</v>
      </c>
      <c r="F286" s="1"/>
      <c r="G286" s="199">
        <v>283.0</v>
      </c>
      <c r="H286" s="200">
        <f>if(AND('Deal Analysis'!$D$37*12&lt;G286,'Deal Analysis'!$D$37&gt;0),0,H285)</f>
        <v>333.3333333</v>
      </c>
      <c r="I286" s="200">
        <f>if(H286&gt;0,'Deal Analysis'!$D$35/12*K285,0)</f>
        <v>333.3333333</v>
      </c>
      <c r="J286" s="200">
        <f t="shared" si="3"/>
        <v>0</v>
      </c>
      <c r="K286" s="200">
        <f>if(AND('Deal Analysis'!$D$37*12&lt;G286,'Deal Analysis'!$D$37&gt;0),0,K285-J286)</f>
        <v>50000</v>
      </c>
      <c r="L286" s="1"/>
      <c r="M286" s="199">
        <v>283.0</v>
      </c>
      <c r="N286" s="200">
        <f>if('Deal Analysis'!D324="Yes",'Deal Analysis'!D331,0)</f>
        <v>0</v>
      </c>
      <c r="O286" s="200">
        <f t="shared" si="4"/>
        <v>0</v>
      </c>
      <c r="P286" s="200">
        <f t="shared" si="5"/>
        <v>0</v>
      </c>
      <c r="Q286" s="200">
        <f>if(AND('Deal Analysis'!$D$47*12&lt;M286,'Deal Analysis'!$D$47&gt;0),0,Q285-P286)</f>
        <v>0</v>
      </c>
      <c r="R286" s="1"/>
      <c r="S286" s="1"/>
      <c r="T286" s="1"/>
      <c r="U286" s="1"/>
      <c r="V286" s="1"/>
      <c r="W286" s="1"/>
      <c r="X286" s="1"/>
      <c r="Y286" s="1"/>
      <c r="Z286" s="1"/>
      <c r="AA286" s="1"/>
    </row>
    <row r="287">
      <c r="A287" s="199">
        <v>284.0</v>
      </c>
      <c r="B287" s="200">
        <f t="shared" si="6"/>
        <v>3046.641421</v>
      </c>
      <c r="C287" s="200">
        <f>'Deal Analysis'!$D$24/12*E286</f>
        <v>174.3336813</v>
      </c>
      <c r="D287" s="200">
        <f t="shared" si="1"/>
        <v>2872.30774</v>
      </c>
      <c r="E287" s="200">
        <f t="shared" si="2"/>
        <v>20372.1831</v>
      </c>
      <c r="F287" s="1"/>
      <c r="G287" s="199">
        <v>284.0</v>
      </c>
      <c r="H287" s="200">
        <f>if(AND('Deal Analysis'!$D$37*12&lt;G287,'Deal Analysis'!$D$37&gt;0),0,H286)</f>
        <v>333.3333333</v>
      </c>
      <c r="I287" s="200">
        <f>if(H287&gt;0,'Deal Analysis'!$D$35/12*K286,0)</f>
        <v>333.3333333</v>
      </c>
      <c r="J287" s="200">
        <f t="shared" si="3"/>
        <v>0</v>
      </c>
      <c r="K287" s="200">
        <f>if(AND('Deal Analysis'!$D$37*12&lt;G287,'Deal Analysis'!$D$37&gt;0),0,K286-J287)</f>
        <v>50000</v>
      </c>
      <c r="L287" s="1"/>
      <c r="M287" s="199">
        <v>284.0</v>
      </c>
      <c r="N287" s="200">
        <f>if('Deal Analysis'!D325="Yes",'Deal Analysis'!D332,0)</f>
        <v>0</v>
      </c>
      <c r="O287" s="200">
        <f t="shared" si="4"/>
        <v>0</v>
      </c>
      <c r="P287" s="200">
        <f t="shared" si="5"/>
        <v>0</v>
      </c>
      <c r="Q287" s="200">
        <f>if(AND('Deal Analysis'!$D$47*12&lt;M287,'Deal Analysis'!$D$47&gt;0),0,Q286-P287)</f>
        <v>0</v>
      </c>
      <c r="R287" s="1"/>
      <c r="S287" s="1"/>
      <c r="T287" s="1"/>
      <c r="U287" s="1"/>
      <c r="V287" s="1"/>
      <c r="W287" s="1"/>
      <c r="X287" s="1"/>
      <c r="Y287" s="1"/>
      <c r="Z287" s="1"/>
      <c r="AA287" s="1"/>
    </row>
    <row r="288">
      <c r="A288" s="199">
        <v>285.0</v>
      </c>
      <c r="B288" s="200">
        <f t="shared" si="6"/>
        <v>3046.641421</v>
      </c>
      <c r="C288" s="200">
        <f>'Deal Analysis'!$D$24/12*E287</f>
        <v>152.7913733</v>
      </c>
      <c r="D288" s="200">
        <f t="shared" si="1"/>
        <v>2893.850048</v>
      </c>
      <c r="E288" s="200">
        <f t="shared" si="2"/>
        <v>17478.33305</v>
      </c>
      <c r="F288" s="1"/>
      <c r="G288" s="199">
        <v>285.0</v>
      </c>
      <c r="H288" s="200">
        <f>if(AND('Deal Analysis'!$D$37*12&lt;G288,'Deal Analysis'!$D$37&gt;0),0,H287)</f>
        <v>333.3333333</v>
      </c>
      <c r="I288" s="200">
        <f>if(H288&gt;0,'Deal Analysis'!$D$35/12*K287,0)</f>
        <v>333.3333333</v>
      </c>
      <c r="J288" s="200">
        <f t="shared" si="3"/>
        <v>0</v>
      </c>
      <c r="K288" s="200">
        <f>if(AND('Deal Analysis'!$D$37*12&lt;G288,'Deal Analysis'!$D$37&gt;0),0,K287-J288)</f>
        <v>50000</v>
      </c>
      <c r="L288" s="1"/>
      <c r="M288" s="199">
        <v>285.0</v>
      </c>
      <c r="N288" s="200">
        <f>if('Deal Analysis'!D326="Yes",'Deal Analysis'!D333,0)</f>
        <v>0</v>
      </c>
      <c r="O288" s="200">
        <f t="shared" si="4"/>
        <v>0</v>
      </c>
      <c r="P288" s="200">
        <f t="shared" si="5"/>
        <v>0</v>
      </c>
      <c r="Q288" s="200">
        <f>if(AND('Deal Analysis'!$D$47*12&lt;M288,'Deal Analysis'!$D$47&gt;0),0,Q287-P288)</f>
        <v>0</v>
      </c>
      <c r="R288" s="1"/>
      <c r="S288" s="1"/>
      <c r="T288" s="1"/>
      <c r="U288" s="1"/>
      <c r="V288" s="1"/>
      <c r="W288" s="1"/>
      <c r="X288" s="1"/>
      <c r="Y288" s="1"/>
      <c r="Z288" s="1"/>
      <c r="AA288" s="1"/>
    </row>
    <row r="289">
      <c r="A289" s="199">
        <v>286.0</v>
      </c>
      <c r="B289" s="200">
        <f t="shared" si="6"/>
        <v>3046.641421</v>
      </c>
      <c r="C289" s="200">
        <f>'Deal Analysis'!$D$24/12*E288</f>
        <v>131.0874979</v>
      </c>
      <c r="D289" s="200">
        <f t="shared" si="1"/>
        <v>2915.553923</v>
      </c>
      <c r="E289" s="200">
        <f t="shared" si="2"/>
        <v>14562.77913</v>
      </c>
      <c r="F289" s="1"/>
      <c r="G289" s="199">
        <v>286.0</v>
      </c>
      <c r="H289" s="200">
        <f>if(AND('Deal Analysis'!$D$37*12&lt;G289,'Deal Analysis'!$D$37&gt;0),0,H288)</f>
        <v>333.3333333</v>
      </c>
      <c r="I289" s="200">
        <f>if(H289&gt;0,'Deal Analysis'!$D$35/12*K288,0)</f>
        <v>333.3333333</v>
      </c>
      <c r="J289" s="200">
        <f t="shared" si="3"/>
        <v>0</v>
      </c>
      <c r="K289" s="200">
        <f>if(AND('Deal Analysis'!$D$37*12&lt;G289,'Deal Analysis'!$D$37&gt;0),0,K288-J289)</f>
        <v>50000</v>
      </c>
      <c r="L289" s="1"/>
      <c r="M289" s="199">
        <v>286.0</v>
      </c>
      <c r="N289" s="200">
        <f>if('Deal Analysis'!D327="Yes",'Deal Analysis'!D334,0)</f>
        <v>0</v>
      </c>
      <c r="O289" s="200">
        <f t="shared" si="4"/>
        <v>0</v>
      </c>
      <c r="P289" s="200">
        <f t="shared" si="5"/>
        <v>0</v>
      </c>
      <c r="Q289" s="200">
        <f>if(AND('Deal Analysis'!$D$47*12&lt;M289,'Deal Analysis'!$D$47&gt;0),0,Q288-P289)</f>
        <v>0</v>
      </c>
      <c r="R289" s="1"/>
      <c r="S289" s="1"/>
      <c r="T289" s="1"/>
      <c r="U289" s="1"/>
      <c r="V289" s="1"/>
      <c r="W289" s="1"/>
      <c r="X289" s="1"/>
      <c r="Y289" s="1"/>
      <c r="Z289" s="1"/>
      <c r="AA289" s="1"/>
    </row>
    <row r="290">
      <c r="A290" s="199">
        <v>287.0</v>
      </c>
      <c r="B290" s="200">
        <f t="shared" si="6"/>
        <v>3046.641421</v>
      </c>
      <c r="C290" s="200">
        <f>'Deal Analysis'!$D$24/12*E289</f>
        <v>109.2208435</v>
      </c>
      <c r="D290" s="200">
        <f t="shared" si="1"/>
        <v>2937.420578</v>
      </c>
      <c r="E290" s="200">
        <f t="shared" si="2"/>
        <v>11625.35855</v>
      </c>
      <c r="F290" s="1"/>
      <c r="G290" s="199">
        <v>287.0</v>
      </c>
      <c r="H290" s="200">
        <f>if(AND('Deal Analysis'!$D$37*12&lt;G290,'Deal Analysis'!$D$37&gt;0),0,H289)</f>
        <v>333.3333333</v>
      </c>
      <c r="I290" s="200">
        <f>if(H290&gt;0,'Deal Analysis'!$D$35/12*K289,0)</f>
        <v>333.3333333</v>
      </c>
      <c r="J290" s="200">
        <f t="shared" si="3"/>
        <v>0</v>
      </c>
      <c r="K290" s="200">
        <f>if(AND('Deal Analysis'!$D$37*12&lt;G290,'Deal Analysis'!$D$37&gt;0),0,K289-J290)</f>
        <v>50000</v>
      </c>
      <c r="L290" s="1"/>
      <c r="M290" s="199">
        <v>287.0</v>
      </c>
      <c r="N290" s="200">
        <f>if('Deal Analysis'!D328="Yes",'Deal Analysis'!D335,0)</f>
        <v>0</v>
      </c>
      <c r="O290" s="200">
        <f t="shared" si="4"/>
        <v>0</v>
      </c>
      <c r="P290" s="200">
        <f t="shared" si="5"/>
        <v>0</v>
      </c>
      <c r="Q290" s="200">
        <f>if(AND('Deal Analysis'!$D$47*12&lt;M290,'Deal Analysis'!$D$47&gt;0),0,Q289-P290)</f>
        <v>0</v>
      </c>
      <c r="R290" s="1"/>
      <c r="S290" s="1"/>
      <c r="T290" s="1"/>
      <c r="U290" s="1"/>
      <c r="V290" s="1"/>
      <c r="W290" s="1"/>
      <c r="X290" s="1"/>
      <c r="Y290" s="1"/>
      <c r="Z290" s="1"/>
      <c r="AA290" s="1"/>
    </row>
    <row r="291">
      <c r="A291" s="199">
        <v>288.0</v>
      </c>
      <c r="B291" s="200">
        <f t="shared" si="6"/>
        <v>3046.641421</v>
      </c>
      <c r="C291" s="200">
        <f>'Deal Analysis'!$D$24/12*E290</f>
        <v>87.19018914</v>
      </c>
      <c r="D291" s="200">
        <f t="shared" si="1"/>
        <v>2959.451232</v>
      </c>
      <c r="E291" s="200">
        <f t="shared" si="2"/>
        <v>8665.907321</v>
      </c>
      <c r="F291" s="1"/>
      <c r="G291" s="199">
        <v>288.0</v>
      </c>
      <c r="H291" s="200">
        <f>if(AND('Deal Analysis'!$D$37*12&lt;G291,'Deal Analysis'!$D$37&gt;0),0,H290)</f>
        <v>333.3333333</v>
      </c>
      <c r="I291" s="200">
        <f>if(H291&gt;0,'Deal Analysis'!$D$35/12*K290,0)</f>
        <v>333.3333333</v>
      </c>
      <c r="J291" s="200">
        <f t="shared" si="3"/>
        <v>0</v>
      </c>
      <c r="K291" s="200">
        <f>if(AND('Deal Analysis'!$D$37*12&lt;G291,'Deal Analysis'!$D$37&gt;0),0,K290-J291)</f>
        <v>50000</v>
      </c>
      <c r="L291" s="1"/>
      <c r="M291" s="199">
        <v>288.0</v>
      </c>
      <c r="N291" s="200">
        <f>if('Deal Analysis'!D329="Yes",'Deal Analysis'!D336,0)</f>
        <v>0</v>
      </c>
      <c r="O291" s="200">
        <f t="shared" si="4"/>
        <v>0</v>
      </c>
      <c r="P291" s="200">
        <f t="shared" si="5"/>
        <v>0</v>
      </c>
      <c r="Q291" s="200">
        <f>if(AND('Deal Analysis'!$D$47*12&lt;M291,'Deal Analysis'!$D$47&gt;0),0,Q290-P291)</f>
        <v>0</v>
      </c>
      <c r="R291" s="1"/>
      <c r="S291" s="1"/>
      <c r="T291" s="1"/>
      <c r="U291" s="1"/>
      <c r="V291" s="1"/>
      <c r="W291" s="1"/>
      <c r="X291" s="1"/>
      <c r="Y291" s="1"/>
      <c r="Z291" s="1"/>
      <c r="AA291" s="1"/>
    </row>
    <row r="292">
      <c r="A292" s="199">
        <v>289.0</v>
      </c>
      <c r="B292" s="200">
        <f t="shared" si="6"/>
        <v>3046.641421</v>
      </c>
      <c r="C292" s="200">
        <f>'Deal Analysis'!$D$24/12*E291</f>
        <v>64.9943049</v>
      </c>
      <c r="D292" s="200">
        <f t="shared" si="1"/>
        <v>2981.647116</v>
      </c>
      <c r="E292" s="200">
        <f t="shared" si="2"/>
        <v>5684.260205</v>
      </c>
      <c r="F292" s="1"/>
      <c r="G292" s="199">
        <v>289.0</v>
      </c>
      <c r="H292" s="200">
        <f>if(AND('Deal Analysis'!$D$37*12&lt;G292,'Deal Analysis'!$D$37&gt;0),0,H291)</f>
        <v>333.3333333</v>
      </c>
      <c r="I292" s="200">
        <f>if(H292&gt;0,'Deal Analysis'!$D$35/12*K291,0)</f>
        <v>333.3333333</v>
      </c>
      <c r="J292" s="200">
        <f t="shared" si="3"/>
        <v>0</v>
      </c>
      <c r="K292" s="200">
        <f>if(AND('Deal Analysis'!$D$37*12&lt;G292,'Deal Analysis'!$D$37&gt;0),0,K291-J292)</f>
        <v>50000</v>
      </c>
      <c r="L292" s="1"/>
      <c r="M292" s="199">
        <v>289.0</v>
      </c>
      <c r="N292" s="200">
        <f>if('Deal Analysis'!D330="Yes",'Deal Analysis'!D337,0)</f>
        <v>0</v>
      </c>
      <c r="O292" s="200">
        <f t="shared" si="4"/>
        <v>0</v>
      </c>
      <c r="P292" s="200">
        <f t="shared" si="5"/>
        <v>0</v>
      </c>
      <c r="Q292" s="200">
        <f>if(AND('Deal Analysis'!$D$47*12&lt;M292,'Deal Analysis'!$D$47&gt;0),0,Q291-P292)</f>
        <v>0</v>
      </c>
      <c r="R292" s="1"/>
      <c r="S292" s="1"/>
      <c r="T292" s="1"/>
      <c r="U292" s="1"/>
      <c r="V292" s="1"/>
      <c r="W292" s="1"/>
      <c r="X292" s="1"/>
      <c r="Y292" s="1"/>
      <c r="Z292" s="1"/>
      <c r="AA292" s="1"/>
    </row>
    <row r="293">
      <c r="A293" s="199">
        <v>290.0</v>
      </c>
      <c r="B293" s="200">
        <f t="shared" si="6"/>
        <v>3046.641421</v>
      </c>
      <c r="C293" s="200">
        <f>'Deal Analysis'!$D$24/12*E292</f>
        <v>42.63195153</v>
      </c>
      <c r="D293" s="200">
        <f t="shared" si="1"/>
        <v>3004.009469</v>
      </c>
      <c r="E293" s="200">
        <f t="shared" si="2"/>
        <v>2680.250735</v>
      </c>
      <c r="F293" s="1"/>
      <c r="G293" s="199">
        <v>290.0</v>
      </c>
      <c r="H293" s="200">
        <f>if(AND('Deal Analysis'!$D$37*12&lt;G293,'Deal Analysis'!$D$37&gt;0),0,H292)</f>
        <v>333.3333333</v>
      </c>
      <c r="I293" s="200">
        <f>if(H293&gt;0,'Deal Analysis'!$D$35/12*K292,0)</f>
        <v>333.3333333</v>
      </c>
      <c r="J293" s="200">
        <f t="shared" si="3"/>
        <v>0</v>
      </c>
      <c r="K293" s="200">
        <f>if(AND('Deal Analysis'!$D$37*12&lt;G293,'Deal Analysis'!$D$37&gt;0),0,K292-J293)</f>
        <v>50000</v>
      </c>
      <c r="L293" s="1"/>
      <c r="M293" s="199">
        <v>290.0</v>
      </c>
      <c r="N293" s="200">
        <f>if('Deal Analysis'!D331="Yes",'Deal Analysis'!D338,0)</f>
        <v>0</v>
      </c>
      <c r="O293" s="200">
        <f t="shared" si="4"/>
        <v>0</v>
      </c>
      <c r="P293" s="200">
        <f t="shared" si="5"/>
        <v>0</v>
      </c>
      <c r="Q293" s="200">
        <f>if(AND('Deal Analysis'!$D$47*12&lt;M293,'Deal Analysis'!$D$47&gt;0),0,Q292-P293)</f>
        <v>0</v>
      </c>
      <c r="R293" s="1"/>
      <c r="S293" s="1"/>
      <c r="T293" s="1"/>
      <c r="U293" s="1"/>
      <c r="V293" s="1"/>
      <c r="W293" s="1"/>
      <c r="X293" s="1"/>
      <c r="Y293" s="1"/>
      <c r="Z293" s="1"/>
      <c r="AA293" s="1"/>
    </row>
    <row r="294">
      <c r="A294" s="199">
        <v>291.0</v>
      </c>
      <c r="B294" s="200">
        <f t="shared" si="6"/>
        <v>3046.641421</v>
      </c>
      <c r="C294" s="200">
        <f>'Deal Analysis'!$D$24/12*E293</f>
        <v>20.10188051</v>
      </c>
      <c r="D294" s="200">
        <f t="shared" si="1"/>
        <v>3026.53954</v>
      </c>
      <c r="E294" s="200">
        <f t="shared" si="2"/>
        <v>-346.2888054</v>
      </c>
      <c r="F294" s="1"/>
      <c r="G294" s="199">
        <v>291.0</v>
      </c>
      <c r="H294" s="200">
        <f>if(AND('Deal Analysis'!$D$37*12&lt;G294,'Deal Analysis'!$D$37&gt;0),0,H293)</f>
        <v>333.3333333</v>
      </c>
      <c r="I294" s="200">
        <f>if(H294&gt;0,'Deal Analysis'!$D$35/12*K293,0)</f>
        <v>333.3333333</v>
      </c>
      <c r="J294" s="200">
        <f t="shared" si="3"/>
        <v>0</v>
      </c>
      <c r="K294" s="200">
        <f>if(AND('Deal Analysis'!$D$37*12&lt;G294,'Deal Analysis'!$D$37&gt;0),0,K293-J294)</f>
        <v>50000</v>
      </c>
      <c r="L294" s="1"/>
      <c r="M294" s="199">
        <v>291.0</v>
      </c>
      <c r="N294" s="200">
        <f>if('Deal Analysis'!D332="Yes",'Deal Analysis'!D339,0)</f>
        <v>0</v>
      </c>
      <c r="O294" s="200">
        <f t="shared" si="4"/>
        <v>0</v>
      </c>
      <c r="P294" s="200">
        <f t="shared" si="5"/>
        <v>0</v>
      </c>
      <c r="Q294" s="200">
        <f>if(AND('Deal Analysis'!$D$47*12&lt;M294,'Deal Analysis'!$D$47&gt;0),0,Q293-P294)</f>
        <v>0</v>
      </c>
      <c r="R294" s="1"/>
      <c r="S294" s="1"/>
      <c r="T294" s="1"/>
      <c r="U294" s="1"/>
      <c r="V294" s="1"/>
      <c r="W294" s="1"/>
      <c r="X294" s="1"/>
      <c r="Y294" s="1"/>
      <c r="Z294" s="1"/>
      <c r="AA294" s="1"/>
    </row>
    <row r="295">
      <c r="A295" s="199">
        <v>292.0</v>
      </c>
      <c r="B295" s="200">
        <f t="shared" si="6"/>
        <v>3046.641421</v>
      </c>
      <c r="C295" s="200">
        <f>'Deal Analysis'!$D$24/12*E294</f>
        <v>-2.597166041</v>
      </c>
      <c r="D295" s="200">
        <f t="shared" si="1"/>
        <v>3049.238587</v>
      </c>
      <c r="E295" s="200">
        <f t="shared" si="2"/>
        <v>-3395.527392</v>
      </c>
      <c r="F295" s="1"/>
      <c r="G295" s="199">
        <v>292.0</v>
      </c>
      <c r="H295" s="200">
        <f>if(AND('Deal Analysis'!$D$37*12&lt;G295,'Deal Analysis'!$D$37&gt;0),0,H294)</f>
        <v>333.3333333</v>
      </c>
      <c r="I295" s="200">
        <f>if(H295&gt;0,'Deal Analysis'!$D$35/12*K294,0)</f>
        <v>333.3333333</v>
      </c>
      <c r="J295" s="200">
        <f t="shared" si="3"/>
        <v>0</v>
      </c>
      <c r="K295" s="200">
        <f>if(AND('Deal Analysis'!$D$37*12&lt;G295,'Deal Analysis'!$D$37&gt;0),0,K294-J295)</f>
        <v>50000</v>
      </c>
      <c r="L295" s="1"/>
      <c r="M295" s="199">
        <v>292.0</v>
      </c>
      <c r="N295" s="200">
        <f>if('Deal Analysis'!D333="Yes",'Deal Analysis'!D340,0)</f>
        <v>0</v>
      </c>
      <c r="O295" s="200">
        <f t="shared" si="4"/>
        <v>0</v>
      </c>
      <c r="P295" s="200">
        <f t="shared" si="5"/>
        <v>0</v>
      </c>
      <c r="Q295" s="200">
        <f>if(AND('Deal Analysis'!$D$47*12&lt;M295,'Deal Analysis'!$D$47&gt;0),0,Q294-P295)</f>
        <v>0</v>
      </c>
      <c r="R295" s="1"/>
      <c r="S295" s="1"/>
      <c r="T295" s="1"/>
      <c r="U295" s="1"/>
      <c r="V295" s="1"/>
      <c r="W295" s="1"/>
      <c r="X295" s="1"/>
      <c r="Y295" s="1"/>
      <c r="Z295" s="1"/>
      <c r="AA295" s="1"/>
    </row>
    <row r="296">
      <c r="A296" s="199">
        <v>293.0</v>
      </c>
      <c r="B296" s="200">
        <f t="shared" si="6"/>
        <v>3046.641421</v>
      </c>
      <c r="C296" s="200">
        <f>'Deal Analysis'!$D$24/12*E295</f>
        <v>-25.46645544</v>
      </c>
      <c r="D296" s="200">
        <f t="shared" si="1"/>
        <v>3072.107876</v>
      </c>
      <c r="E296" s="200">
        <f t="shared" si="2"/>
        <v>-6467.635269</v>
      </c>
      <c r="F296" s="1"/>
      <c r="G296" s="199">
        <v>293.0</v>
      </c>
      <c r="H296" s="200">
        <f>if(AND('Deal Analysis'!$D$37*12&lt;G296,'Deal Analysis'!$D$37&gt;0),0,H295)</f>
        <v>333.3333333</v>
      </c>
      <c r="I296" s="200">
        <f>if(H296&gt;0,'Deal Analysis'!$D$35/12*K295,0)</f>
        <v>333.3333333</v>
      </c>
      <c r="J296" s="200">
        <f t="shared" si="3"/>
        <v>0</v>
      </c>
      <c r="K296" s="200">
        <f>if(AND('Deal Analysis'!$D$37*12&lt;G296,'Deal Analysis'!$D$37&gt;0),0,K295-J296)</f>
        <v>50000</v>
      </c>
      <c r="L296" s="1"/>
      <c r="M296" s="199">
        <v>293.0</v>
      </c>
      <c r="N296" s="200">
        <f>if('Deal Analysis'!D334="Yes",'Deal Analysis'!D341,0)</f>
        <v>0</v>
      </c>
      <c r="O296" s="200">
        <f t="shared" si="4"/>
        <v>0</v>
      </c>
      <c r="P296" s="200">
        <f t="shared" si="5"/>
        <v>0</v>
      </c>
      <c r="Q296" s="200">
        <f>if(AND('Deal Analysis'!$D$47*12&lt;M296,'Deal Analysis'!$D$47&gt;0),0,Q295-P296)</f>
        <v>0</v>
      </c>
      <c r="R296" s="1"/>
      <c r="S296" s="1"/>
      <c r="T296" s="1"/>
      <c r="U296" s="1"/>
      <c r="V296" s="1"/>
      <c r="W296" s="1"/>
      <c r="X296" s="1"/>
      <c r="Y296" s="1"/>
      <c r="Z296" s="1"/>
      <c r="AA296" s="1"/>
    </row>
    <row r="297">
      <c r="A297" s="199">
        <v>294.0</v>
      </c>
      <c r="B297" s="200">
        <f t="shared" si="6"/>
        <v>3046.641421</v>
      </c>
      <c r="C297" s="200">
        <f>'Deal Analysis'!$D$24/12*E296</f>
        <v>-48.50726452</v>
      </c>
      <c r="D297" s="200">
        <f t="shared" si="1"/>
        <v>3095.148686</v>
      </c>
      <c r="E297" s="200">
        <f t="shared" si="2"/>
        <v>-9562.783954</v>
      </c>
      <c r="F297" s="1"/>
      <c r="G297" s="199">
        <v>294.0</v>
      </c>
      <c r="H297" s="200">
        <f>if(AND('Deal Analysis'!$D$37*12&lt;G297,'Deal Analysis'!$D$37&gt;0),0,H296)</f>
        <v>333.3333333</v>
      </c>
      <c r="I297" s="200">
        <f>if(H297&gt;0,'Deal Analysis'!$D$35/12*K296,0)</f>
        <v>333.3333333</v>
      </c>
      <c r="J297" s="200">
        <f t="shared" si="3"/>
        <v>0</v>
      </c>
      <c r="K297" s="200">
        <f>if(AND('Deal Analysis'!$D$37*12&lt;G297,'Deal Analysis'!$D$37&gt;0),0,K296-J297)</f>
        <v>50000</v>
      </c>
      <c r="L297" s="1"/>
      <c r="M297" s="199">
        <v>294.0</v>
      </c>
      <c r="N297" s="200">
        <f>if('Deal Analysis'!D335="Yes",'Deal Analysis'!D342,0)</f>
        <v>0</v>
      </c>
      <c r="O297" s="200">
        <f t="shared" si="4"/>
        <v>0</v>
      </c>
      <c r="P297" s="200">
        <f t="shared" si="5"/>
        <v>0</v>
      </c>
      <c r="Q297" s="200">
        <f>if(AND('Deal Analysis'!$D$47*12&lt;M297,'Deal Analysis'!$D$47&gt;0),0,Q296-P297)</f>
        <v>0</v>
      </c>
      <c r="R297" s="1"/>
      <c r="S297" s="1"/>
      <c r="T297" s="1"/>
      <c r="U297" s="1"/>
      <c r="V297" s="1"/>
      <c r="W297" s="1"/>
      <c r="X297" s="1"/>
      <c r="Y297" s="1"/>
      <c r="Z297" s="1"/>
      <c r="AA297" s="1"/>
    </row>
    <row r="298">
      <c r="A298" s="199">
        <v>295.0</v>
      </c>
      <c r="B298" s="200">
        <f t="shared" si="6"/>
        <v>3046.641421</v>
      </c>
      <c r="C298" s="200">
        <f>'Deal Analysis'!$D$24/12*E297</f>
        <v>-71.72087966</v>
      </c>
      <c r="D298" s="200">
        <f t="shared" si="1"/>
        <v>3118.362301</v>
      </c>
      <c r="E298" s="200">
        <f t="shared" si="2"/>
        <v>-12681.14626</v>
      </c>
      <c r="F298" s="1"/>
      <c r="G298" s="199">
        <v>295.0</v>
      </c>
      <c r="H298" s="200">
        <f>if(AND('Deal Analysis'!$D$37*12&lt;G298,'Deal Analysis'!$D$37&gt;0),0,H297)</f>
        <v>333.3333333</v>
      </c>
      <c r="I298" s="200">
        <f>if(H298&gt;0,'Deal Analysis'!$D$35/12*K297,0)</f>
        <v>333.3333333</v>
      </c>
      <c r="J298" s="200">
        <f t="shared" si="3"/>
        <v>0</v>
      </c>
      <c r="K298" s="200">
        <f>if(AND('Deal Analysis'!$D$37*12&lt;G298,'Deal Analysis'!$D$37&gt;0),0,K297-J298)</f>
        <v>50000</v>
      </c>
      <c r="L298" s="1"/>
      <c r="M298" s="199">
        <v>295.0</v>
      </c>
      <c r="N298" s="200">
        <f>if('Deal Analysis'!D336="Yes",'Deal Analysis'!D343,0)</f>
        <v>0</v>
      </c>
      <c r="O298" s="200">
        <f t="shared" si="4"/>
        <v>0</v>
      </c>
      <c r="P298" s="200">
        <f t="shared" si="5"/>
        <v>0</v>
      </c>
      <c r="Q298" s="200">
        <f>if(AND('Deal Analysis'!$D$47*12&lt;M298,'Deal Analysis'!$D$47&gt;0),0,Q297-P298)</f>
        <v>0</v>
      </c>
      <c r="R298" s="1"/>
      <c r="S298" s="1"/>
      <c r="T298" s="1"/>
      <c r="U298" s="1"/>
      <c r="V298" s="1"/>
      <c r="W298" s="1"/>
      <c r="X298" s="1"/>
      <c r="Y298" s="1"/>
      <c r="Z298" s="1"/>
      <c r="AA298" s="1"/>
    </row>
    <row r="299">
      <c r="A299" s="199">
        <v>296.0</v>
      </c>
      <c r="B299" s="200">
        <f t="shared" si="6"/>
        <v>3046.641421</v>
      </c>
      <c r="C299" s="200">
        <f>'Deal Analysis'!$D$24/12*E298</f>
        <v>-95.10859691</v>
      </c>
      <c r="D299" s="200">
        <f t="shared" si="1"/>
        <v>3141.750018</v>
      </c>
      <c r="E299" s="200">
        <f t="shared" si="2"/>
        <v>-15822.89627</v>
      </c>
      <c r="F299" s="1"/>
      <c r="G299" s="199">
        <v>296.0</v>
      </c>
      <c r="H299" s="200">
        <f>if(AND('Deal Analysis'!$D$37*12&lt;G299,'Deal Analysis'!$D$37&gt;0),0,H298)</f>
        <v>333.3333333</v>
      </c>
      <c r="I299" s="200">
        <f>if(H299&gt;0,'Deal Analysis'!$D$35/12*K298,0)</f>
        <v>333.3333333</v>
      </c>
      <c r="J299" s="200">
        <f t="shared" si="3"/>
        <v>0</v>
      </c>
      <c r="K299" s="200">
        <f>if(AND('Deal Analysis'!$D$37*12&lt;G299,'Deal Analysis'!$D$37&gt;0),0,K298-J299)</f>
        <v>50000</v>
      </c>
      <c r="L299" s="1"/>
      <c r="M299" s="199">
        <v>296.0</v>
      </c>
      <c r="N299" s="200">
        <f>if('Deal Analysis'!D337="Yes",'Deal Analysis'!D344,0)</f>
        <v>0</v>
      </c>
      <c r="O299" s="200">
        <f t="shared" si="4"/>
        <v>0</v>
      </c>
      <c r="P299" s="200">
        <f t="shared" si="5"/>
        <v>0</v>
      </c>
      <c r="Q299" s="200">
        <f>if(AND('Deal Analysis'!$D$47*12&lt;M299,'Deal Analysis'!$D$47&gt;0),0,Q298-P299)</f>
        <v>0</v>
      </c>
      <c r="R299" s="1"/>
      <c r="S299" s="1"/>
      <c r="T299" s="1"/>
      <c r="U299" s="1"/>
      <c r="V299" s="1"/>
      <c r="W299" s="1"/>
      <c r="X299" s="1"/>
      <c r="Y299" s="1"/>
      <c r="Z299" s="1"/>
      <c r="AA299" s="1"/>
    </row>
    <row r="300">
      <c r="A300" s="199">
        <v>297.0</v>
      </c>
      <c r="B300" s="200">
        <f t="shared" si="6"/>
        <v>3046.641421</v>
      </c>
      <c r="C300" s="200">
        <f>'Deal Analysis'!$D$24/12*E299</f>
        <v>-118.671722</v>
      </c>
      <c r="D300" s="200">
        <f t="shared" si="1"/>
        <v>3165.313143</v>
      </c>
      <c r="E300" s="200">
        <f t="shared" si="2"/>
        <v>-18988.20942</v>
      </c>
      <c r="F300" s="1"/>
      <c r="G300" s="199">
        <v>297.0</v>
      </c>
      <c r="H300" s="200">
        <f>if(AND('Deal Analysis'!$D$37*12&lt;G300,'Deal Analysis'!$D$37&gt;0),0,H299)</f>
        <v>333.3333333</v>
      </c>
      <c r="I300" s="200">
        <f>if(H300&gt;0,'Deal Analysis'!$D$35/12*K299,0)</f>
        <v>333.3333333</v>
      </c>
      <c r="J300" s="200">
        <f t="shared" si="3"/>
        <v>0</v>
      </c>
      <c r="K300" s="200">
        <f>if(AND('Deal Analysis'!$D$37*12&lt;G300,'Deal Analysis'!$D$37&gt;0),0,K299-J300)</f>
        <v>50000</v>
      </c>
      <c r="L300" s="1"/>
      <c r="M300" s="199">
        <v>297.0</v>
      </c>
      <c r="N300" s="200">
        <f>if('Deal Analysis'!D338="Yes",'Deal Analysis'!D345,0)</f>
        <v>0</v>
      </c>
      <c r="O300" s="200">
        <f t="shared" si="4"/>
        <v>0</v>
      </c>
      <c r="P300" s="200">
        <f t="shared" si="5"/>
        <v>0</v>
      </c>
      <c r="Q300" s="200">
        <f>if(AND('Deal Analysis'!$D$47*12&lt;M300,'Deal Analysis'!$D$47&gt;0),0,Q299-P300)</f>
        <v>0</v>
      </c>
      <c r="R300" s="1"/>
      <c r="S300" s="1"/>
      <c r="T300" s="1"/>
      <c r="U300" s="1"/>
      <c r="V300" s="1"/>
      <c r="W300" s="1"/>
      <c r="X300" s="1"/>
      <c r="Y300" s="1"/>
      <c r="Z300" s="1"/>
      <c r="AA300" s="1"/>
    </row>
    <row r="301">
      <c r="A301" s="199">
        <v>298.0</v>
      </c>
      <c r="B301" s="200">
        <f t="shared" si="6"/>
        <v>3046.641421</v>
      </c>
      <c r="C301" s="200">
        <f>'Deal Analysis'!$D$24/12*E300</f>
        <v>-142.4115706</v>
      </c>
      <c r="D301" s="200">
        <f t="shared" si="1"/>
        <v>3189.052992</v>
      </c>
      <c r="E301" s="200">
        <f t="shared" si="2"/>
        <v>-22177.26241</v>
      </c>
      <c r="F301" s="1"/>
      <c r="G301" s="199">
        <v>298.0</v>
      </c>
      <c r="H301" s="200">
        <f>if(AND('Deal Analysis'!$D$37*12&lt;G301,'Deal Analysis'!$D$37&gt;0),0,H300)</f>
        <v>333.3333333</v>
      </c>
      <c r="I301" s="200">
        <f>if(H301&gt;0,'Deal Analysis'!$D$35/12*K300,0)</f>
        <v>333.3333333</v>
      </c>
      <c r="J301" s="200">
        <f t="shared" si="3"/>
        <v>0</v>
      </c>
      <c r="K301" s="200">
        <f>if(AND('Deal Analysis'!$D$37*12&lt;G301,'Deal Analysis'!$D$37&gt;0),0,K300-J301)</f>
        <v>50000</v>
      </c>
      <c r="L301" s="1"/>
      <c r="M301" s="199">
        <v>298.0</v>
      </c>
      <c r="N301" s="200">
        <f>if('Deal Analysis'!D339="Yes",'Deal Analysis'!D346,0)</f>
        <v>0</v>
      </c>
      <c r="O301" s="200">
        <f t="shared" si="4"/>
        <v>0</v>
      </c>
      <c r="P301" s="200">
        <f t="shared" si="5"/>
        <v>0</v>
      </c>
      <c r="Q301" s="200">
        <f>if(AND('Deal Analysis'!$D$47*12&lt;M301,'Deal Analysis'!$D$47&gt;0),0,Q300-P301)</f>
        <v>0</v>
      </c>
      <c r="R301" s="1"/>
      <c r="S301" s="1"/>
      <c r="T301" s="1"/>
      <c r="U301" s="1"/>
      <c r="V301" s="1"/>
      <c r="W301" s="1"/>
      <c r="X301" s="1"/>
      <c r="Y301" s="1"/>
      <c r="Z301" s="1"/>
      <c r="AA301" s="1"/>
    </row>
    <row r="302">
      <c r="A302" s="199">
        <v>299.0</v>
      </c>
      <c r="B302" s="200">
        <f t="shared" si="6"/>
        <v>3046.641421</v>
      </c>
      <c r="C302" s="200">
        <f>'Deal Analysis'!$D$24/12*E301</f>
        <v>-166.3294681</v>
      </c>
      <c r="D302" s="200">
        <f t="shared" si="1"/>
        <v>3212.970889</v>
      </c>
      <c r="E302" s="200">
        <f t="shared" si="2"/>
        <v>-25390.2333</v>
      </c>
      <c r="F302" s="1"/>
      <c r="G302" s="199">
        <v>299.0</v>
      </c>
      <c r="H302" s="200">
        <f>if(AND('Deal Analysis'!$D$37*12&lt;G302,'Deal Analysis'!$D$37&gt;0),0,H301)</f>
        <v>333.3333333</v>
      </c>
      <c r="I302" s="200">
        <f>if(H302&gt;0,'Deal Analysis'!$D$35/12*K301,0)</f>
        <v>333.3333333</v>
      </c>
      <c r="J302" s="200">
        <f t="shared" si="3"/>
        <v>0</v>
      </c>
      <c r="K302" s="200">
        <f>if(AND('Deal Analysis'!$D$37*12&lt;G302,'Deal Analysis'!$D$37&gt;0),0,K301-J302)</f>
        <v>50000</v>
      </c>
      <c r="L302" s="1"/>
      <c r="M302" s="199">
        <v>299.0</v>
      </c>
      <c r="N302" s="200">
        <f>if('Deal Analysis'!D340="Yes",'Deal Analysis'!D347,0)</f>
        <v>0</v>
      </c>
      <c r="O302" s="200">
        <f t="shared" si="4"/>
        <v>0</v>
      </c>
      <c r="P302" s="200">
        <f t="shared" si="5"/>
        <v>0</v>
      </c>
      <c r="Q302" s="200">
        <f>if(AND('Deal Analysis'!$D$47*12&lt;M302,'Deal Analysis'!$D$47&gt;0),0,Q301-P302)</f>
        <v>0</v>
      </c>
      <c r="R302" s="1"/>
      <c r="S302" s="1"/>
      <c r="T302" s="1"/>
      <c r="U302" s="1"/>
      <c r="V302" s="1"/>
      <c r="W302" s="1"/>
      <c r="X302" s="1"/>
      <c r="Y302" s="1"/>
      <c r="Z302" s="1"/>
      <c r="AA302" s="1"/>
    </row>
    <row r="303">
      <c r="A303" s="199">
        <v>300.0</v>
      </c>
      <c r="B303" s="200">
        <f t="shared" si="6"/>
        <v>3046.641421</v>
      </c>
      <c r="C303" s="200">
        <f>'Deal Analysis'!$D$24/12*E302</f>
        <v>-190.4267497</v>
      </c>
      <c r="D303" s="200">
        <f t="shared" si="1"/>
        <v>3237.068171</v>
      </c>
      <c r="E303" s="200">
        <f t="shared" si="2"/>
        <v>-28627.30147</v>
      </c>
      <c r="F303" s="1"/>
      <c r="G303" s="199">
        <v>300.0</v>
      </c>
      <c r="H303" s="200">
        <f>if(AND('Deal Analysis'!$D$37*12&lt;G303,'Deal Analysis'!$D$37&gt;0),0,H302)</f>
        <v>333.3333333</v>
      </c>
      <c r="I303" s="200">
        <f>if(H303&gt;0,'Deal Analysis'!$D$35/12*K302,0)</f>
        <v>333.3333333</v>
      </c>
      <c r="J303" s="200">
        <f t="shared" si="3"/>
        <v>0</v>
      </c>
      <c r="K303" s="200">
        <f>if(AND('Deal Analysis'!$D$37*12&lt;G303,'Deal Analysis'!$D$37&gt;0),0,K302-J303)</f>
        <v>50000</v>
      </c>
      <c r="L303" s="1"/>
      <c r="M303" s="199">
        <v>300.0</v>
      </c>
      <c r="N303" s="200">
        <f>if('Deal Analysis'!D341="Yes",'Deal Analysis'!D348,0)</f>
        <v>0</v>
      </c>
      <c r="O303" s="200">
        <f t="shared" si="4"/>
        <v>0</v>
      </c>
      <c r="P303" s="200">
        <f t="shared" si="5"/>
        <v>0</v>
      </c>
      <c r="Q303" s="200">
        <f>if(AND('Deal Analysis'!$D$47*12&lt;M303,'Deal Analysis'!$D$47&gt;0),0,Q302-P303)</f>
        <v>0</v>
      </c>
      <c r="R303" s="1"/>
      <c r="S303" s="1"/>
      <c r="T303" s="1"/>
      <c r="U303" s="1"/>
      <c r="V303" s="1"/>
      <c r="W303" s="1"/>
      <c r="X303" s="1"/>
      <c r="Y303" s="1"/>
      <c r="Z303" s="1"/>
      <c r="AA303" s="1"/>
    </row>
    <row r="304">
      <c r="A304" s="199">
        <v>301.0</v>
      </c>
      <c r="B304" s="200">
        <f t="shared" si="6"/>
        <v>3046.641421</v>
      </c>
      <c r="C304" s="200">
        <f>'Deal Analysis'!$D$24/12*E303</f>
        <v>-214.704761</v>
      </c>
      <c r="D304" s="200">
        <f t="shared" si="1"/>
        <v>3261.346182</v>
      </c>
      <c r="E304" s="200">
        <f t="shared" si="2"/>
        <v>-31888.64765</v>
      </c>
      <c r="F304" s="1"/>
      <c r="G304" s="199">
        <v>301.0</v>
      </c>
      <c r="H304" s="200">
        <f>if(AND('Deal Analysis'!$D$37*12&lt;G304,'Deal Analysis'!$D$37&gt;0),0,H303)</f>
        <v>333.3333333</v>
      </c>
      <c r="I304" s="200">
        <f>if(H304&gt;0,'Deal Analysis'!$D$35/12*K303,0)</f>
        <v>333.3333333</v>
      </c>
      <c r="J304" s="200">
        <f t="shared" si="3"/>
        <v>0</v>
      </c>
      <c r="K304" s="200">
        <f>if(AND('Deal Analysis'!$D$37*12&lt;G304,'Deal Analysis'!$D$37&gt;0),0,K303-J304)</f>
        <v>50000</v>
      </c>
      <c r="L304" s="1"/>
      <c r="M304" s="199">
        <v>301.0</v>
      </c>
      <c r="N304" s="200">
        <f>if('Deal Analysis'!D342="Yes",'Deal Analysis'!D349,0)</f>
        <v>0</v>
      </c>
      <c r="O304" s="200">
        <f t="shared" si="4"/>
        <v>0</v>
      </c>
      <c r="P304" s="200">
        <f t="shared" si="5"/>
        <v>0</v>
      </c>
      <c r="Q304" s="200">
        <f>if(AND('Deal Analysis'!$D$47*12&lt;M304,'Deal Analysis'!$D$47&gt;0),0,Q303-P304)</f>
        <v>0</v>
      </c>
      <c r="R304" s="1"/>
      <c r="S304" s="1"/>
      <c r="T304" s="1"/>
      <c r="U304" s="1"/>
      <c r="V304" s="1"/>
      <c r="W304" s="1"/>
      <c r="X304" s="1"/>
      <c r="Y304" s="1"/>
      <c r="Z304" s="1"/>
      <c r="AA304" s="1"/>
    </row>
    <row r="305">
      <c r="A305" s="199">
        <v>302.0</v>
      </c>
      <c r="B305" s="200">
        <f t="shared" si="6"/>
        <v>3046.641421</v>
      </c>
      <c r="C305" s="200">
        <f>'Deal Analysis'!$D$24/12*E304</f>
        <v>-239.1648574</v>
      </c>
      <c r="D305" s="200">
        <f t="shared" si="1"/>
        <v>3285.806278</v>
      </c>
      <c r="E305" s="200">
        <f t="shared" si="2"/>
        <v>-35174.45393</v>
      </c>
      <c r="F305" s="1"/>
      <c r="G305" s="199">
        <v>302.0</v>
      </c>
      <c r="H305" s="200">
        <f>if(AND('Deal Analysis'!$D$37*12&lt;G305,'Deal Analysis'!$D$37&gt;0),0,H304)</f>
        <v>333.3333333</v>
      </c>
      <c r="I305" s="200">
        <f>if(H305&gt;0,'Deal Analysis'!$D$35/12*K304,0)</f>
        <v>333.3333333</v>
      </c>
      <c r="J305" s="200">
        <f t="shared" si="3"/>
        <v>0</v>
      </c>
      <c r="K305" s="200">
        <f>if(AND('Deal Analysis'!$D$37*12&lt;G305,'Deal Analysis'!$D$37&gt;0),0,K304-J305)</f>
        <v>50000</v>
      </c>
      <c r="L305" s="1"/>
      <c r="M305" s="199">
        <v>302.0</v>
      </c>
      <c r="N305" s="200">
        <f>if('Deal Analysis'!D343="Yes",'Deal Analysis'!D350,0)</f>
        <v>0</v>
      </c>
      <c r="O305" s="200">
        <f t="shared" si="4"/>
        <v>0</v>
      </c>
      <c r="P305" s="200">
        <f t="shared" si="5"/>
        <v>0</v>
      </c>
      <c r="Q305" s="200">
        <f>if(AND('Deal Analysis'!$D$47*12&lt;M305,'Deal Analysis'!$D$47&gt;0),0,Q304-P305)</f>
        <v>0</v>
      </c>
      <c r="R305" s="1"/>
      <c r="S305" s="1"/>
      <c r="T305" s="1"/>
      <c r="U305" s="1"/>
      <c r="V305" s="1"/>
      <c r="W305" s="1"/>
      <c r="X305" s="1"/>
      <c r="Y305" s="1"/>
      <c r="Z305" s="1"/>
      <c r="AA305" s="1"/>
    </row>
    <row r="306">
      <c r="A306" s="199">
        <v>303.0</v>
      </c>
      <c r="B306" s="200">
        <f t="shared" si="6"/>
        <v>3046.641421</v>
      </c>
      <c r="C306" s="200">
        <f>'Deal Analysis'!$D$24/12*E305</f>
        <v>-263.8084045</v>
      </c>
      <c r="D306" s="200">
        <f t="shared" si="1"/>
        <v>3310.449825</v>
      </c>
      <c r="E306" s="200">
        <f t="shared" si="2"/>
        <v>-38484.90375</v>
      </c>
      <c r="F306" s="1"/>
      <c r="G306" s="199">
        <v>303.0</v>
      </c>
      <c r="H306" s="200">
        <f>if(AND('Deal Analysis'!$D$37*12&lt;G306,'Deal Analysis'!$D$37&gt;0),0,H305)</f>
        <v>333.3333333</v>
      </c>
      <c r="I306" s="200">
        <f>if(H306&gt;0,'Deal Analysis'!$D$35/12*K305,0)</f>
        <v>333.3333333</v>
      </c>
      <c r="J306" s="200">
        <f t="shared" si="3"/>
        <v>0</v>
      </c>
      <c r="K306" s="200">
        <f>if(AND('Deal Analysis'!$D$37*12&lt;G306,'Deal Analysis'!$D$37&gt;0),0,K305-J306)</f>
        <v>50000</v>
      </c>
      <c r="L306" s="1"/>
      <c r="M306" s="199">
        <v>303.0</v>
      </c>
      <c r="N306" s="200">
        <f>if('Deal Analysis'!D344="Yes",'Deal Analysis'!D351,0)</f>
        <v>0</v>
      </c>
      <c r="O306" s="200">
        <f t="shared" si="4"/>
        <v>0</v>
      </c>
      <c r="P306" s="200">
        <f t="shared" si="5"/>
        <v>0</v>
      </c>
      <c r="Q306" s="200">
        <f>if(AND('Deal Analysis'!$D$47*12&lt;M306,'Deal Analysis'!$D$47&gt;0),0,Q305-P306)</f>
        <v>0</v>
      </c>
      <c r="R306" s="1"/>
      <c r="S306" s="1"/>
      <c r="T306" s="1"/>
      <c r="U306" s="1"/>
      <c r="V306" s="1"/>
      <c r="W306" s="1"/>
      <c r="X306" s="1"/>
      <c r="Y306" s="1"/>
      <c r="Z306" s="1"/>
      <c r="AA306" s="1"/>
    </row>
    <row r="307">
      <c r="A307" s="199">
        <v>304.0</v>
      </c>
      <c r="B307" s="200">
        <f t="shared" si="6"/>
        <v>3046.641421</v>
      </c>
      <c r="C307" s="200">
        <f>'Deal Analysis'!$D$24/12*E306</f>
        <v>-288.6367781</v>
      </c>
      <c r="D307" s="200">
        <f t="shared" si="1"/>
        <v>3335.278199</v>
      </c>
      <c r="E307" s="200">
        <f t="shared" si="2"/>
        <v>-41820.18195</v>
      </c>
      <c r="F307" s="1"/>
      <c r="G307" s="199">
        <v>304.0</v>
      </c>
      <c r="H307" s="200">
        <f>if(AND('Deal Analysis'!$D$37*12&lt;G307,'Deal Analysis'!$D$37&gt;0),0,H306)</f>
        <v>333.3333333</v>
      </c>
      <c r="I307" s="200">
        <f>if(H307&gt;0,'Deal Analysis'!$D$35/12*K306,0)</f>
        <v>333.3333333</v>
      </c>
      <c r="J307" s="200">
        <f t="shared" si="3"/>
        <v>0</v>
      </c>
      <c r="K307" s="200">
        <f>if(AND('Deal Analysis'!$D$37*12&lt;G307,'Deal Analysis'!$D$37&gt;0),0,K306-J307)</f>
        <v>50000</v>
      </c>
      <c r="L307" s="1"/>
      <c r="M307" s="199">
        <v>304.0</v>
      </c>
      <c r="N307" s="200">
        <f>if('Deal Analysis'!D345="Yes",'Deal Analysis'!D352,0)</f>
        <v>0</v>
      </c>
      <c r="O307" s="200">
        <f t="shared" si="4"/>
        <v>0</v>
      </c>
      <c r="P307" s="200">
        <f t="shared" si="5"/>
        <v>0</v>
      </c>
      <c r="Q307" s="200">
        <f>if(AND('Deal Analysis'!$D$47*12&lt;M307,'Deal Analysis'!$D$47&gt;0),0,Q306-P307)</f>
        <v>0</v>
      </c>
      <c r="R307" s="1"/>
      <c r="S307" s="1"/>
      <c r="T307" s="1"/>
      <c r="U307" s="1"/>
      <c r="V307" s="1"/>
      <c r="W307" s="1"/>
      <c r="X307" s="1"/>
      <c r="Y307" s="1"/>
      <c r="Z307" s="1"/>
      <c r="AA307" s="1"/>
    </row>
    <row r="308">
      <c r="A308" s="199">
        <v>305.0</v>
      </c>
      <c r="B308" s="200">
        <f t="shared" si="6"/>
        <v>3046.641421</v>
      </c>
      <c r="C308" s="200">
        <f>'Deal Analysis'!$D$24/12*E307</f>
        <v>-313.6513646</v>
      </c>
      <c r="D308" s="200">
        <f t="shared" si="1"/>
        <v>3360.292786</v>
      </c>
      <c r="E308" s="200">
        <f t="shared" si="2"/>
        <v>-45180.47474</v>
      </c>
      <c r="F308" s="1"/>
      <c r="G308" s="199">
        <v>305.0</v>
      </c>
      <c r="H308" s="200">
        <f>if(AND('Deal Analysis'!$D$37*12&lt;G308,'Deal Analysis'!$D$37&gt;0),0,H307)</f>
        <v>333.3333333</v>
      </c>
      <c r="I308" s="200">
        <f>if(H308&gt;0,'Deal Analysis'!$D$35/12*K307,0)</f>
        <v>333.3333333</v>
      </c>
      <c r="J308" s="200">
        <f t="shared" si="3"/>
        <v>0</v>
      </c>
      <c r="K308" s="200">
        <f>if(AND('Deal Analysis'!$D$37*12&lt;G308,'Deal Analysis'!$D$37&gt;0),0,K307-J308)</f>
        <v>50000</v>
      </c>
      <c r="L308" s="1"/>
      <c r="M308" s="199">
        <v>305.0</v>
      </c>
      <c r="N308" s="200">
        <f>if('Deal Analysis'!D346="Yes",'Deal Analysis'!D353,0)</f>
        <v>0</v>
      </c>
      <c r="O308" s="200">
        <f t="shared" si="4"/>
        <v>0</v>
      </c>
      <c r="P308" s="200">
        <f t="shared" si="5"/>
        <v>0</v>
      </c>
      <c r="Q308" s="200">
        <f>if(AND('Deal Analysis'!$D$47*12&lt;M308,'Deal Analysis'!$D$47&gt;0),0,Q307-P308)</f>
        <v>0</v>
      </c>
      <c r="R308" s="1"/>
      <c r="S308" s="1"/>
      <c r="T308" s="1"/>
      <c r="U308" s="1"/>
      <c r="V308" s="1"/>
      <c r="W308" s="1"/>
      <c r="X308" s="1"/>
      <c r="Y308" s="1"/>
      <c r="Z308" s="1"/>
      <c r="AA308" s="1"/>
    </row>
    <row r="309">
      <c r="A309" s="199">
        <v>306.0</v>
      </c>
      <c r="B309" s="200">
        <f t="shared" si="6"/>
        <v>3046.641421</v>
      </c>
      <c r="C309" s="200">
        <f>'Deal Analysis'!$D$24/12*E308</f>
        <v>-338.8535605</v>
      </c>
      <c r="D309" s="200">
        <f t="shared" si="1"/>
        <v>3385.494982</v>
      </c>
      <c r="E309" s="200">
        <f t="shared" si="2"/>
        <v>-48565.96972</v>
      </c>
      <c r="F309" s="1"/>
      <c r="G309" s="199">
        <v>306.0</v>
      </c>
      <c r="H309" s="200">
        <f>if(AND('Deal Analysis'!$D$37*12&lt;G309,'Deal Analysis'!$D$37&gt;0),0,H308)</f>
        <v>333.3333333</v>
      </c>
      <c r="I309" s="200">
        <f>if(H309&gt;0,'Deal Analysis'!$D$35/12*K308,0)</f>
        <v>333.3333333</v>
      </c>
      <c r="J309" s="200">
        <f t="shared" si="3"/>
        <v>0</v>
      </c>
      <c r="K309" s="200">
        <f>if(AND('Deal Analysis'!$D$37*12&lt;G309,'Deal Analysis'!$D$37&gt;0),0,K308-J309)</f>
        <v>50000</v>
      </c>
      <c r="L309" s="1"/>
      <c r="M309" s="199">
        <v>306.0</v>
      </c>
      <c r="N309" s="200">
        <f>if('Deal Analysis'!D347="Yes",'Deal Analysis'!D354,0)</f>
        <v>0</v>
      </c>
      <c r="O309" s="200">
        <f t="shared" si="4"/>
        <v>0</v>
      </c>
      <c r="P309" s="200">
        <f t="shared" si="5"/>
        <v>0</v>
      </c>
      <c r="Q309" s="200">
        <f>if(AND('Deal Analysis'!$D$47*12&lt;M309,'Deal Analysis'!$D$47&gt;0),0,Q308-P309)</f>
        <v>0</v>
      </c>
      <c r="R309" s="1"/>
      <c r="S309" s="1"/>
      <c r="T309" s="1"/>
      <c r="U309" s="1"/>
      <c r="V309" s="1"/>
      <c r="W309" s="1"/>
      <c r="X309" s="1"/>
      <c r="Y309" s="1"/>
      <c r="Z309" s="1"/>
      <c r="AA309" s="1"/>
    </row>
    <row r="310">
      <c r="A310" s="199">
        <v>307.0</v>
      </c>
      <c r="B310" s="200">
        <f t="shared" si="6"/>
        <v>3046.641421</v>
      </c>
      <c r="C310" s="200">
        <f>'Deal Analysis'!$D$24/12*E309</f>
        <v>-364.2447729</v>
      </c>
      <c r="D310" s="200">
        <f t="shared" si="1"/>
        <v>3410.886194</v>
      </c>
      <c r="E310" s="200">
        <f t="shared" si="2"/>
        <v>-51976.85591</v>
      </c>
      <c r="F310" s="1"/>
      <c r="G310" s="199">
        <v>307.0</v>
      </c>
      <c r="H310" s="200">
        <f>if(AND('Deal Analysis'!$D$37*12&lt;G310,'Deal Analysis'!$D$37&gt;0),0,H309)</f>
        <v>333.3333333</v>
      </c>
      <c r="I310" s="200">
        <f>if(H310&gt;0,'Deal Analysis'!$D$35/12*K309,0)</f>
        <v>333.3333333</v>
      </c>
      <c r="J310" s="200">
        <f t="shared" si="3"/>
        <v>0</v>
      </c>
      <c r="K310" s="200">
        <f>if(AND('Deal Analysis'!$D$37*12&lt;G310,'Deal Analysis'!$D$37&gt;0),0,K309-J310)</f>
        <v>50000</v>
      </c>
      <c r="L310" s="1"/>
      <c r="M310" s="199">
        <v>307.0</v>
      </c>
      <c r="N310" s="200">
        <f>if('Deal Analysis'!D348="Yes",'Deal Analysis'!D355,0)</f>
        <v>0</v>
      </c>
      <c r="O310" s="200">
        <f t="shared" si="4"/>
        <v>0</v>
      </c>
      <c r="P310" s="200">
        <f t="shared" si="5"/>
        <v>0</v>
      </c>
      <c r="Q310" s="200">
        <f>if(AND('Deal Analysis'!$D$47*12&lt;M310,'Deal Analysis'!$D$47&gt;0),0,Q309-P310)</f>
        <v>0</v>
      </c>
      <c r="R310" s="1"/>
      <c r="S310" s="1"/>
      <c r="T310" s="1"/>
      <c r="U310" s="1"/>
      <c r="V310" s="1"/>
      <c r="W310" s="1"/>
      <c r="X310" s="1"/>
      <c r="Y310" s="1"/>
      <c r="Z310" s="1"/>
      <c r="AA310" s="1"/>
    </row>
    <row r="311">
      <c r="A311" s="199">
        <v>308.0</v>
      </c>
      <c r="B311" s="200">
        <f t="shared" si="6"/>
        <v>3046.641421</v>
      </c>
      <c r="C311" s="200">
        <f>'Deal Analysis'!$D$24/12*E310</f>
        <v>-389.8264194</v>
      </c>
      <c r="D311" s="200">
        <f t="shared" si="1"/>
        <v>3436.46784</v>
      </c>
      <c r="E311" s="200">
        <f t="shared" si="2"/>
        <v>-55413.32375</v>
      </c>
      <c r="F311" s="1"/>
      <c r="G311" s="199">
        <v>308.0</v>
      </c>
      <c r="H311" s="200">
        <f>if(AND('Deal Analysis'!$D$37*12&lt;G311,'Deal Analysis'!$D$37&gt;0),0,H310)</f>
        <v>333.3333333</v>
      </c>
      <c r="I311" s="200">
        <f>if(H311&gt;0,'Deal Analysis'!$D$35/12*K310,0)</f>
        <v>333.3333333</v>
      </c>
      <c r="J311" s="200">
        <f t="shared" si="3"/>
        <v>0</v>
      </c>
      <c r="K311" s="200">
        <f>if(AND('Deal Analysis'!$D$37*12&lt;G311,'Deal Analysis'!$D$37&gt;0),0,K310-J311)</f>
        <v>50000</v>
      </c>
      <c r="L311" s="1"/>
      <c r="M311" s="199">
        <v>308.0</v>
      </c>
      <c r="N311" s="200">
        <f>if('Deal Analysis'!D349="Yes",'Deal Analysis'!D356,0)</f>
        <v>0</v>
      </c>
      <c r="O311" s="200">
        <f t="shared" si="4"/>
        <v>0</v>
      </c>
      <c r="P311" s="200">
        <f t="shared" si="5"/>
        <v>0</v>
      </c>
      <c r="Q311" s="200">
        <f>if(AND('Deal Analysis'!$D$47*12&lt;M311,'Deal Analysis'!$D$47&gt;0),0,Q310-P311)</f>
        <v>0</v>
      </c>
      <c r="R311" s="1"/>
      <c r="S311" s="1"/>
      <c r="T311" s="1"/>
      <c r="U311" s="1"/>
      <c r="V311" s="1"/>
      <c r="W311" s="1"/>
      <c r="X311" s="1"/>
      <c r="Y311" s="1"/>
      <c r="Z311" s="1"/>
      <c r="AA311" s="1"/>
    </row>
    <row r="312">
      <c r="A312" s="199">
        <v>309.0</v>
      </c>
      <c r="B312" s="200">
        <f t="shared" si="6"/>
        <v>3046.641421</v>
      </c>
      <c r="C312" s="200">
        <f>'Deal Analysis'!$D$24/12*E311</f>
        <v>-415.5999282</v>
      </c>
      <c r="D312" s="200">
        <f t="shared" si="1"/>
        <v>3462.241349</v>
      </c>
      <c r="E312" s="200">
        <f t="shared" si="2"/>
        <v>-58875.5651</v>
      </c>
      <c r="F312" s="1"/>
      <c r="G312" s="199">
        <v>309.0</v>
      </c>
      <c r="H312" s="200">
        <f>if(AND('Deal Analysis'!$D$37*12&lt;G312,'Deal Analysis'!$D$37&gt;0),0,H311)</f>
        <v>333.3333333</v>
      </c>
      <c r="I312" s="200">
        <f>if(H312&gt;0,'Deal Analysis'!$D$35/12*K311,0)</f>
        <v>333.3333333</v>
      </c>
      <c r="J312" s="200">
        <f t="shared" si="3"/>
        <v>0</v>
      </c>
      <c r="K312" s="200">
        <f>if(AND('Deal Analysis'!$D$37*12&lt;G312,'Deal Analysis'!$D$37&gt;0),0,K311-J312)</f>
        <v>50000</v>
      </c>
      <c r="L312" s="1"/>
      <c r="M312" s="199">
        <v>309.0</v>
      </c>
      <c r="N312" s="200">
        <f>if('Deal Analysis'!D350="Yes",'Deal Analysis'!D357,0)</f>
        <v>0</v>
      </c>
      <c r="O312" s="200">
        <f t="shared" si="4"/>
        <v>0</v>
      </c>
      <c r="P312" s="200">
        <f t="shared" si="5"/>
        <v>0</v>
      </c>
      <c r="Q312" s="200">
        <f>if(AND('Deal Analysis'!$D$47*12&lt;M312,'Deal Analysis'!$D$47&gt;0),0,Q311-P312)</f>
        <v>0</v>
      </c>
      <c r="R312" s="1"/>
      <c r="S312" s="1"/>
      <c r="T312" s="1"/>
      <c r="U312" s="1"/>
      <c r="V312" s="1"/>
      <c r="W312" s="1"/>
      <c r="X312" s="1"/>
      <c r="Y312" s="1"/>
      <c r="Z312" s="1"/>
      <c r="AA312" s="1"/>
    </row>
    <row r="313">
      <c r="A313" s="199">
        <v>310.0</v>
      </c>
      <c r="B313" s="200">
        <f t="shared" si="6"/>
        <v>3046.641421</v>
      </c>
      <c r="C313" s="200">
        <f>'Deal Analysis'!$D$24/12*E312</f>
        <v>-441.5667383</v>
      </c>
      <c r="D313" s="200">
        <f t="shared" si="1"/>
        <v>3488.208159</v>
      </c>
      <c r="E313" s="200">
        <f t="shared" si="2"/>
        <v>-62363.77326</v>
      </c>
      <c r="F313" s="1"/>
      <c r="G313" s="199">
        <v>310.0</v>
      </c>
      <c r="H313" s="200">
        <f>if(AND('Deal Analysis'!$D$37*12&lt;G313,'Deal Analysis'!$D$37&gt;0),0,H312)</f>
        <v>333.3333333</v>
      </c>
      <c r="I313" s="200">
        <f>if(H313&gt;0,'Deal Analysis'!$D$35/12*K312,0)</f>
        <v>333.3333333</v>
      </c>
      <c r="J313" s="200">
        <f t="shared" si="3"/>
        <v>0</v>
      </c>
      <c r="K313" s="200">
        <f>if(AND('Deal Analysis'!$D$37*12&lt;G313,'Deal Analysis'!$D$37&gt;0),0,K312-J313)</f>
        <v>50000</v>
      </c>
      <c r="L313" s="1"/>
      <c r="M313" s="199">
        <v>310.0</v>
      </c>
      <c r="N313" s="200">
        <f>if('Deal Analysis'!D351="Yes",'Deal Analysis'!D358,0)</f>
        <v>0</v>
      </c>
      <c r="O313" s="200">
        <f t="shared" si="4"/>
        <v>0</v>
      </c>
      <c r="P313" s="200">
        <f t="shared" si="5"/>
        <v>0</v>
      </c>
      <c r="Q313" s="200">
        <f>if(AND('Deal Analysis'!$D$47*12&lt;M313,'Deal Analysis'!$D$47&gt;0),0,Q312-P313)</f>
        <v>0</v>
      </c>
      <c r="R313" s="1"/>
      <c r="S313" s="1"/>
      <c r="T313" s="1"/>
      <c r="U313" s="1"/>
      <c r="V313" s="1"/>
      <c r="W313" s="1"/>
      <c r="X313" s="1"/>
      <c r="Y313" s="1"/>
      <c r="Z313" s="1"/>
      <c r="AA313" s="1"/>
    </row>
    <row r="314">
      <c r="A314" s="199">
        <v>311.0</v>
      </c>
      <c r="B314" s="200">
        <f t="shared" si="6"/>
        <v>3046.641421</v>
      </c>
      <c r="C314" s="200">
        <f>'Deal Analysis'!$D$24/12*E313</f>
        <v>-467.7282995</v>
      </c>
      <c r="D314" s="200">
        <f t="shared" si="1"/>
        <v>3514.36972</v>
      </c>
      <c r="E314" s="200">
        <f t="shared" si="2"/>
        <v>-65878.14298</v>
      </c>
      <c r="F314" s="1"/>
      <c r="G314" s="199">
        <v>311.0</v>
      </c>
      <c r="H314" s="200">
        <f>if(AND('Deal Analysis'!$D$37*12&lt;G314,'Deal Analysis'!$D$37&gt;0),0,H313)</f>
        <v>333.3333333</v>
      </c>
      <c r="I314" s="200">
        <f>if(H314&gt;0,'Deal Analysis'!$D$35/12*K313,0)</f>
        <v>333.3333333</v>
      </c>
      <c r="J314" s="200">
        <f t="shared" si="3"/>
        <v>0</v>
      </c>
      <c r="K314" s="200">
        <f>if(AND('Deal Analysis'!$D$37*12&lt;G314,'Deal Analysis'!$D$37&gt;0),0,K313-J314)</f>
        <v>50000</v>
      </c>
      <c r="L314" s="1"/>
      <c r="M314" s="199">
        <v>311.0</v>
      </c>
      <c r="N314" s="200">
        <f>if('Deal Analysis'!D352="Yes",'Deal Analysis'!D359,0)</f>
        <v>0</v>
      </c>
      <c r="O314" s="200">
        <f t="shared" si="4"/>
        <v>0</v>
      </c>
      <c r="P314" s="200">
        <f t="shared" si="5"/>
        <v>0</v>
      </c>
      <c r="Q314" s="200">
        <f>if(AND('Deal Analysis'!$D$47*12&lt;M314,'Deal Analysis'!$D$47&gt;0),0,Q313-P314)</f>
        <v>0</v>
      </c>
      <c r="R314" s="1"/>
      <c r="S314" s="1"/>
      <c r="T314" s="1"/>
      <c r="U314" s="1"/>
      <c r="V314" s="1"/>
      <c r="W314" s="1"/>
      <c r="X314" s="1"/>
      <c r="Y314" s="1"/>
      <c r="Z314" s="1"/>
      <c r="AA314" s="1"/>
    </row>
    <row r="315">
      <c r="A315" s="199">
        <v>312.0</v>
      </c>
      <c r="B315" s="200">
        <f t="shared" si="6"/>
        <v>3046.641421</v>
      </c>
      <c r="C315" s="200">
        <f>'Deal Analysis'!$D$24/12*E314</f>
        <v>-494.0860724</v>
      </c>
      <c r="D315" s="200">
        <f t="shared" si="1"/>
        <v>3540.727493</v>
      </c>
      <c r="E315" s="200">
        <f t="shared" si="2"/>
        <v>-69418.87048</v>
      </c>
      <c r="F315" s="1"/>
      <c r="G315" s="199">
        <v>312.0</v>
      </c>
      <c r="H315" s="200">
        <f>if(AND('Deal Analysis'!$D$37*12&lt;G315,'Deal Analysis'!$D$37&gt;0),0,H314)</f>
        <v>333.3333333</v>
      </c>
      <c r="I315" s="200">
        <f>if(H315&gt;0,'Deal Analysis'!$D$35/12*K314,0)</f>
        <v>333.3333333</v>
      </c>
      <c r="J315" s="200">
        <f t="shared" si="3"/>
        <v>0</v>
      </c>
      <c r="K315" s="200">
        <f>if(AND('Deal Analysis'!$D$37*12&lt;G315,'Deal Analysis'!$D$37&gt;0),0,K314-J315)</f>
        <v>50000</v>
      </c>
      <c r="L315" s="1"/>
      <c r="M315" s="199">
        <v>312.0</v>
      </c>
      <c r="N315" s="200">
        <f>if('Deal Analysis'!D353="Yes",'Deal Analysis'!D360,0)</f>
        <v>0</v>
      </c>
      <c r="O315" s="200">
        <f t="shared" si="4"/>
        <v>0</v>
      </c>
      <c r="P315" s="200">
        <f t="shared" si="5"/>
        <v>0</v>
      </c>
      <c r="Q315" s="200">
        <f>if(AND('Deal Analysis'!$D$47*12&lt;M315,'Deal Analysis'!$D$47&gt;0),0,Q314-P315)</f>
        <v>0</v>
      </c>
      <c r="R315" s="1"/>
      <c r="S315" s="1"/>
      <c r="T315" s="1"/>
      <c r="U315" s="1"/>
      <c r="V315" s="1"/>
      <c r="W315" s="1"/>
      <c r="X315" s="1"/>
      <c r="Y315" s="1"/>
      <c r="Z315" s="1"/>
      <c r="AA315" s="1"/>
    </row>
    <row r="316">
      <c r="A316" s="199">
        <v>313.0</v>
      </c>
      <c r="B316" s="200">
        <f t="shared" si="6"/>
        <v>3046.641421</v>
      </c>
      <c r="C316" s="200">
        <f>'Deal Analysis'!$D$24/12*E315</f>
        <v>-520.6415286</v>
      </c>
      <c r="D316" s="200">
        <f t="shared" si="1"/>
        <v>3567.28295</v>
      </c>
      <c r="E316" s="200">
        <f t="shared" si="2"/>
        <v>-72986.15343</v>
      </c>
      <c r="F316" s="1"/>
      <c r="G316" s="199">
        <v>313.0</v>
      </c>
      <c r="H316" s="200">
        <f>if(AND('Deal Analysis'!$D$37*12&lt;G316,'Deal Analysis'!$D$37&gt;0),0,H315)</f>
        <v>333.3333333</v>
      </c>
      <c r="I316" s="200">
        <f>if(H316&gt;0,'Deal Analysis'!$D$35/12*K315,0)</f>
        <v>333.3333333</v>
      </c>
      <c r="J316" s="200">
        <f t="shared" si="3"/>
        <v>0</v>
      </c>
      <c r="K316" s="200">
        <f>if(AND('Deal Analysis'!$D$37*12&lt;G316,'Deal Analysis'!$D$37&gt;0),0,K315-J316)</f>
        <v>50000</v>
      </c>
      <c r="L316" s="1"/>
      <c r="M316" s="199">
        <v>313.0</v>
      </c>
      <c r="N316" s="200">
        <f>if('Deal Analysis'!D354="Yes",'Deal Analysis'!D361,0)</f>
        <v>0</v>
      </c>
      <c r="O316" s="200">
        <f t="shared" si="4"/>
        <v>0</v>
      </c>
      <c r="P316" s="200">
        <f t="shared" si="5"/>
        <v>0</v>
      </c>
      <c r="Q316" s="200">
        <f>if(AND('Deal Analysis'!$D$47*12&lt;M316,'Deal Analysis'!$D$47&gt;0),0,Q315-P316)</f>
        <v>0</v>
      </c>
      <c r="R316" s="1"/>
      <c r="S316" s="1"/>
      <c r="T316" s="1"/>
      <c r="U316" s="1"/>
      <c r="V316" s="1"/>
      <c r="W316" s="1"/>
      <c r="X316" s="1"/>
      <c r="Y316" s="1"/>
      <c r="Z316" s="1"/>
      <c r="AA316" s="1"/>
    </row>
    <row r="317">
      <c r="A317" s="199">
        <v>314.0</v>
      </c>
      <c r="B317" s="200">
        <f t="shared" si="6"/>
        <v>3046.641421</v>
      </c>
      <c r="C317" s="200">
        <f>'Deal Analysis'!$D$24/12*E316</f>
        <v>-547.3961507</v>
      </c>
      <c r="D317" s="200">
        <f t="shared" si="1"/>
        <v>3594.037572</v>
      </c>
      <c r="E317" s="200">
        <f t="shared" si="2"/>
        <v>-76580.191</v>
      </c>
      <c r="F317" s="1"/>
      <c r="G317" s="199">
        <v>314.0</v>
      </c>
      <c r="H317" s="200">
        <f>if(AND('Deal Analysis'!$D$37*12&lt;G317,'Deal Analysis'!$D$37&gt;0),0,H316)</f>
        <v>333.3333333</v>
      </c>
      <c r="I317" s="200">
        <f>if(H317&gt;0,'Deal Analysis'!$D$35/12*K316,0)</f>
        <v>333.3333333</v>
      </c>
      <c r="J317" s="200">
        <f t="shared" si="3"/>
        <v>0</v>
      </c>
      <c r="K317" s="200">
        <f>if(AND('Deal Analysis'!$D$37*12&lt;G317,'Deal Analysis'!$D$37&gt;0),0,K316-J317)</f>
        <v>50000</v>
      </c>
      <c r="L317" s="1"/>
      <c r="M317" s="199">
        <v>314.0</v>
      </c>
      <c r="N317" s="200">
        <f>if('Deal Analysis'!D355="Yes",'Deal Analysis'!D362,0)</f>
        <v>0</v>
      </c>
      <c r="O317" s="200">
        <f t="shared" si="4"/>
        <v>0</v>
      </c>
      <c r="P317" s="200">
        <f t="shared" si="5"/>
        <v>0</v>
      </c>
      <c r="Q317" s="200">
        <f>if(AND('Deal Analysis'!$D$47*12&lt;M317,'Deal Analysis'!$D$47&gt;0),0,Q316-P317)</f>
        <v>0</v>
      </c>
      <c r="R317" s="1"/>
      <c r="S317" s="1"/>
      <c r="T317" s="1"/>
      <c r="U317" s="1"/>
      <c r="V317" s="1"/>
      <c r="W317" s="1"/>
      <c r="X317" s="1"/>
      <c r="Y317" s="1"/>
      <c r="Z317" s="1"/>
      <c r="AA317" s="1"/>
    </row>
    <row r="318">
      <c r="A318" s="199">
        <v>315.0</v>
      </c>
      <c r="B318" s="200">
        <f t="shared" si="6"/>
        <v>3046.641421</v>
      </c>
      <c r="C318" s="200">
        <f>'Deal Analysis'!$D$24/12*E317</f>
        <v>-574.3514325</v>
      </c>
      <c r="D318" s="200">
        <f t="shared" si="1"/>
        <v>3620.992853</v>
      </c>
      <c r="E318" s="200">
        <f t="shared" si="2"/>
        <v>-80201.18385</v>
      </c>
      <c r="F318" s="1"/>
      <c r="G318" s="199">
        <v>315.0</v>
      </c>
      <c r="H318" s="200">
        <f>if(AND('Deal Analysis'!$D$37*12&lt;G318,'Deal Analysis'!$D$37&gt;0),0,H317)</f>
        <v>333.3333333</v>
      </c>
      <c r="I318" s="200">
        <f>if(H318&gt;0,'Deal Analysis'!$D$35/12*K317,0)</f>
        <v>333.3333333</v>
      </c>
      <c r="J318" s="200">
        <f t="shared" si="3"/>
        <v>0</v>
      </c>
      <c r="K318" s="200">
        <f>if(AND('Deal Analysis'!$D$37*12&lt;G318,'Deal Analysis'!$D$37&gt;0),0,K317-J318)</f>
        <v>50000</v>
      </c>
      <c r="L318" s="1"/>
      <c r="M318" s="199">
        <v>315.0</v>
      </c>
      <c r="N318" s="200">
        <f>if('Deal Analysis'!D356="Yes",'Deal Analysis'!D363,0)</f>
        <v>0</v>
      </c>
      <c r="O318" s="200">
        <f t="shared" si="4"/>
        <v>0</v>
      </c>
      <c r="P318" s="200">
        <f t="shared" si="5"/>
        <v>0</v>
      </c>
      <c r="Q318" s="200">
        <f>if(AND('Deal Analysis'!$D$47*12&lt;M318,'Deal Analysis'!$D$47&gt;0),0,Q317-P318)</f>
        <v>0</v>
      </c>
      <c r="R318" s="1"/>
      <c r="S318" s="1"/>
      <c r="T318" s="1"/>
      <c r="U318" s="1"/>
      <c r="V318" s="1"/>
      <c r="W318" s="1"/>
      <c r="X318" s="1"/>
      <c r="Y318" s="1"/>
      <c r="Z318" s="1"/>
      <c r="AA318" s="1"/>
    </row>
    <row r="319">
      <c r="A319" s="199">
        <v>316.0</v>
      </c>
      <c r="B319" s="200">
        <f t="shared" si="6"/>
        <v>3046.641421</v>
      </c>
      <c r="C319" s="200">
        <f>'Deal Analysis'!$D$24/12*E318</f>
        <v>-601.5088789</v>
      </c>
      <c r="D319" s="200">
        <f t="shared" si="1"/>
        <v>3648.1503</v>
      </c>
      <c r="E319" s="200">
        <f t="shared" si="2"/>
        <v>-83849.33415</v>
      </c>
      <c r="F319" s="1"/>
      <c r="G319" s="199">
        <v>316.0</v>
      </c>
      <c r="H319" s="200">
        <f>if(AND('Deal Analysis'!$D$37*12&lt;G319,'Deal Analysis'!$D$37&gt;0),0,H318)</f>
        <v>333.3333333</v>
      </c>
      <c r="I319" s="200">
        <f>if(H319&gt;0,'Deal Analysis'!$D$35/12*K318,0)</f>
        <v>333.3333333</v>
      </c>
      <c r="J319" s="200">
        <f t="shared" si="3"/>
        <v>0</v>
      </c>
      <c r="K319" s="200">
        <f>if(AND('Deal Analysis'!$D$37*12&lt;G319,'Deal Analysis'!$D$37&gt;0),0,K318-J319)</f>
        <v>50000</v>
      </c>
      <c r="L319" s="1"/>
      <c r="M319" s="199">
        <v>316.0</v>
      </c>
      <c r="N319" s="200">
        <f>if('Deal Analysis'!D357="Yes",'Deal Analysis'!D364,0)</f>
        <v>0</v>
      </c>
      <c r="O319" s="200">
        <f t="shared" si="4"/>
        <v>0</v>
      </c>
      <c r="P319" s="200">
        <f t="shared" si="5"/>
        <v>0</v>
      </c>
      <c r="Q319" s="200">
        <f>if(AND('Deal Analysis'!$D$47*12&lt;M319,'Deal Analysis'!$D$47&gt;0),0,Q318-P319)</f>
        <v>0</v>
      </c>
      <c r="R319" s="1"/>
      <c r="S319" s="1"/>
      <c r="T319" s="1"/>
      <c r="U319" s="1"/>
      <c r="V319" s="1"/>
      <c r="W319" s="1"/>
      <c r="X319" s="1"/>
      <c r="Y319" s="1"/>
      <c r="Z319" s="1"/>
      <c r="AA319" s="1"/>
    </row>
    <row r="320">
      <c r="A320" s="199">
        <v>317.0</v>
      </c>
      <c r="B320" s="200">
        <f t="shared" si="6"/>
        <v>3046.641421</v>
      </c>
      <c r="C320" s="200">
        <f>'Deal Analysis'!$D$24/12*E319</f>
        <v>-628.8700061</v>
      </c>
      <c r="D320" s="200">
        <f t="shared" si="1"/>
        <v>3675.511427</v>
      </c>
      <c r="E320" s="200">
        <f t="shared" si="2"/>
        <v>-87524.84558</v>
      </c>
      <c r="F320" s="1"/>
      <c r="G320" s="199">
        <v>317.0</v>
      </c>
      <c r="H320" s="200">
        <f>if(AND('Deal Analysis'!$D$37*12&lt;G320,'Deal Analysis'!$D$37&gt;0),0,H319)</f>
        <v>333.3333333</v>
      </c>
      <c r="I320" s="200">
        <f>if(H320&gt;0,'Deal Analysis'!$D$35/12*K319,0)</f>
        <v>333.3333333</v>
      </c>
      <c r="J320" s="200">
        <f t="shared" si="3"/>
        <v>0</v>
      </c>
      <c r="K320" s="200">
        <f>if(AND('Deal Analysis'!$D$37*12&lt;G320,'Deal Analysis'!$D$37&gt;0),0,K319-J320)</f>
        <v>50000</v>
      </c>
      <c r="L320" s="1"/>
      <c r="M320" s="199">
        <v>317.0</v>
      </c>
      <c r="N320" s="200">
        <f>if('Deal Analysis'!D358="Yes",'Deal Analysis'!D365,0)</f>
        <v>0</v>
      </c>
      <c r="O320" s="200">
        <f t="shared" si="4"/>
        <v>0</v>
      </c>
      <c r="P320" s="200">
        <f t="shared" si="5"/>
        <v>0</v>
      </c>
      <c r="Q320" s="200">
        <f>if(AND('Deal Analysis'!$D$47*12&lt;M320,'Deal Analysis'!$D$47&gt;0),0,Q319-P320)</f>
        <v>0</v>
      </c>
      <c r="R320" s="1"/>
      <c r="S320" s="1"/>
      <c r="T320" s="1"/>
      <c r="U320" s="1"/>
      <c r="V320" s="1"/>
      <c r="W320" s="1"/>
      <c r="X320" s="1"/>
      <c r="Y320" s="1"/>
      <c r="Z320" s="1"/>
      <c r="AA320" s="1"/>
    </row>
    <row r="321">
      <c r="A321" s="199">
        <v>318.0</v>
      </c>
      <c r="B321" s="200">
        <f t="shared" si="6"/>
        <v>3046.641421</v>
      </c>
      <c r="C321" s="200">
        <f>'Deal Analysis'!$D$24/12*E320</f>
        <v>-656.4363418</v>
      </c>
      <c r="D321" s="200">
        <f t="shared" si="1"/>
        <v>3703.077763</v>
      </c>
      <c r="E321" s="200">
        <f t="shared" si="2"/>
        <v>-91227.92334</v>
      </c>
      <c r="F321" s="1"/>
      <c r="G321" s="199">
        <v>318.0</v>
      </c>
      <c r="H321" s="200">
        <f>if(AND('Deal Analysis'!$D$37*12&lt;G321,'Deal Analysis'!$D$37&gt;0),0,H320)</f>
        <v>333.3333333</v>
      </c>
      <c r="I321" s="200">
        <f>if(H321&gt;0,'Deal Analysis'!$D$35/12*K320,0)</f>
        <v>333.3333333</v>
      </c>
      <c r="J321" s="200">
        <f t="shared" si="3"/>
        <v>0</v>
      </c>
      <c r="K321" s="200">
        <f>if(AND('Deal Analysis'!$D$37*12&lt;G321,'Deal Analysis'!$D$37&gt;0),0,K320-J321)</f>
        <v>50000</v>
      </c>
      <c r="L321" s="1"/>
      <c r="M321" s="199">
        <v>318.0</v>
      </c>
      <c r="N321" s="200">
        <f>if('Deal Analysis'!D359="Yes",'Deal Analysis'!D366,0)</f>
        <v>0</v>
      </c>
      <c r="O321" s="200">
        <f t="shared" si="4"/>
        <v>0</v>
      </c>
      <c r="P321" s="200">
        <f t="shared" si="5"/>
        <v>0</v>
      </c>
      <c r="Q321" s="200">
        <f>if(AND('Deal Analysis'!$D$47*12&lt;M321,'Deal Analysis'!$D$47&gt;0),0,Q320-P321)</f>
        <v>0</v>
      </c>
      <c r="R321" s="1"/>
      <c r="S321" s="1"/>
      <c r="T321" s="1"/>
      <c r="U321" s="1"/>
      <c r="V321" s="1"/>
      <c r="W321" s="1"/>
      <c r="X321" s="1"/>
      <c r="Y321" s="1"/>
      <c r="Z321" s="1"/>
      <c r="AA321" s="1"/>
    </row>
    <row r="322">
      <c r="A322" s="199">
        <v>319.0</v>
      </c>
      <c r="B322" s="200">
        <f t="shared" si="6"/>
        <v>3046.641421</v>
      </c>
      <c r="C322" s="200">
        <f>'Deal Analysis'!$D$24/12*E321</f>
        <v>-684.2094251</v>
      </c>
      <c r="D322" s="200">
        <f t="shared" si="1"/>
        <v>3730.850846</v>
      </c>
      <c r="E322" s="200">
        <f t="shared" si="2"/>
        <v>-94958.77419</v>
      </c>
      <c r="F322" s="1"/>
      <c r="G322" s="199">
        <v>319.0</v>
      </c>
      <c r="H322" s="200">
        <f>if(AND('Deal Analysis'!$D$37*12&lt;G322,'Deal Analysis'!$D$37&gt;0),0,H321)</f>
        <v>333.3333333</v>
      </c>
      <c r="I322" s="200">
        <f>if(H322&gt;0,'Deal Analysis'!$D$35/12*K321,0)</f>
        <v>333.3333333</v>
      </c>
      <c r="J322" s="200">
        <f t="shared" si="3"/>
        <v>0</v>
      </c>
      <c r="K322" s="200">
        <f>if(AND('Deal Analysis'!$D$37*12&lt;G322,'Deal Analysis'!$D$37&gt;0),0,K321-J322)</f>
        <v>50000</v>
      </c>
      <c r="L322" s="1"/>
      <c r="M322" s="199">
        <v>319.0</v>
      </c>
      <c r="N322" s="200">
        <f>if('Deal Analysis'!D360="Yes",'Deal Analysis'!D367,0)</f>
        <v>0</v>
      </c>
      <c r="O322" s="200">
        <f t="shared" si="4"/>
        <v>0</v>
      </c>
      <c r="P322" s="200">
        <f t="shared" si="5"/>
        <v>0</v>
      </c>
      <c r="Q322" s="200">
        <f>if(AND('Deal Analysis'!$D$47*12&lt;M322,'Deal Analysis'!$D$47&gt;0),0,Q321-P322)</f>
        <v>0</v>
      </c>
      <c r="R322" s="1"/>
      <c r="S322" s="1"/>
      <c r="T322" s="1"/>
      <c r="U322" s="1"/>
      <c r="V322" s="1"/>
      <c r="W322" s="1"/>
      <c r="X322" s="1"/>
      <c r="Y322" s="1"/>
      <c r="Z322" s="1"/>
      <c r="AA322" s="1"/>
    </row>
    <row r="323">
      <c r="A323" s="199">
        <v>320.0</v>
      </c>
      <c r="B323" s="200">
        <f t="shared" si="6"/>
        <v>3046.641421</v>
      </c>
      <c r="C323" s="200">
        <f>'Deal Analysis'!$D$24/12*E322</f>
        <v>-712.1908064</v>
      </c>
      <c r="D323" s="200">
        <f t="shared" si="1"/>
        <v>3758.832227</v>
      </c>
      <c r="E323" s="200">
        <f t="shared" si="2"/>
        <v>-98717.60641</v>
      </c>
      <c r="F323" s="1"/>
      <c r="G323" s="199">
        <v>320.0</v>
      </c>
      <c r="H323" s="200">
        <f>if(AND('Deal Analysis'!$D$37*12&lt;G323,'Deal Analysis'!$D$37&gt;0),0,H322)</f>
        <v>333.3333333</v>
      </c>
      <c r="I323" s="200">
        <f>if(H323&gt;0,'Deal Analysis'!$D$35/12*K322,0)</f>
        <v>333.3333333</v>
      </c>
      <c r="J323" s="200">
        <f t="shared" si="3"/>
        <v>0</v>
      </c>
      <c r="K323" s="200">
        <f>if(AND('Deal Analysis'!$D$37*12&lt;G323,'Deal Analysis'!$D$37&gt;0),0,K322-J323)</f>
        <v>50000</v>
      </c>
      <c r="L323" s="1"/>
      <c r="M323" s="199">
        <v>320.0</v>
      </c>
      <c r="N323" s="200">
        <f>if('Deal Analysis'!D361="Yes",'Deal Analysis'!D368,0)</f>
        <v>0</v>
      </c>
      <c r="O323" s="200">
        <f t="shared" si="4"/>
        <v>0</v>
      </c>
      <c r="P323" s="200">
        <f t="shared" si="5"/>
        <v>0</v>
      </c>
      <c r="Q323" s="200">
        <f>if(AND('Deal Analysis'!$D$47*12&lt;M323,'Deal Analysis'!$D$47&gt;0),0,Q322-P323)</f>
        <v>0</v>
      </c>
      <c r="R323" s="1"/>
      <c r="S323" s="1"/>
      <c r="T323" s="1"/>
      <c r="U323" s="1"/>
      <c r="V323" s="1"/>
      <c r="W323" s="1"/>
      <c r="X323" s="1"/>
      <c r="Y323" s="1"/>
      <c r="Z323" s="1"/>
      <c r="AA323" s="1"/>
    </row>
    <row r="324">
      <c r="A324" s="199">
        <v>321.0</v>
      </c>
      <c r="B324" s="200">
        <f t="shared" si="6"/>
        <v>3046.641421</v>
      </c>
      <c r="C324" s="200">
        <f>'Deal Analysis'!$D$24/12*E323</f>
        <v>-740.3820481</v>
      </c>
      <c r="D324" s="200">
        <f t="shared" si="1"/>
        <v>3787.023469</v>
      </c>
      <c r="E324" s="200">
        <f t="shared" si="2"/>
        <v>-102504.6299</v>
      </c>
      <c r="F324" s="1"/>
      <c r="G324" s="199">
        <v>321.0</v>
      </c>
      <c r="H324" s="200">
        <f>if(AND('Deal Analysis'!$D$37*12&lt;G324,'Deal Analysis'!$D$37&gt;0),0,H323)</f>
        <v>333.3333333</v>
      </c>
      <c r="I324" s="200">
        <f>if(H324&gt;0,'Deal Analysis'!$D$35/12*K323,0)</f>
        <v>333.3333333</v>
      </c>
      <c r="J324" s="200">
        <f t="shared" si="3"/>
        <v>0</v>
      </c>
      <c r="K324" s="200">
        <f>if(AND('Deal Analysis'!$D$37*12&lt;G324,'Deal Analysis'!$D$37&gt;0),0,K323-J324)</f>
        <v>50000</v>
      </c>
      <c r="L324" s="1"/>
      <c r="M324" s="199">
        <v>321.0</v>
      </c>
      <c r="N324" s="200">
        <f>if('Deal Analysis'!D362="Yes",'Deal Analysis'!D369,0)</f>
        <v>0</v>
      </c>
      <c r="O324" s="200">
        <f t="shared" si="4"/>
        <v>0</v>
      </c>
      <c r="P324" s="200">
        <f t="shared" si="5"/>
        <v>0</v>
      </c>
      <c r="Q324" s="200">
        <f>if(AND('Deal Analysis'!$D$47*12&lt;M324,'Deal Analysis'!$D$47&gt;0),0,Q323-P324)</f>
        <v>0</v>
      </c>
      <c r="R324" s="1"/>
      <c r="S324" s="1"/>
      <c r="T324" s="1"/>
      <c r="U324" s="1"/>
      <c r="V324" s="1"/>
      <c r="W324" s="1"/>
      <c r="X324" s="1"/>
      <c r="Y324" s="1"/>
      <c r="Z324" s="1"/>
      <c r="AA324" s="1"/>
    </row>
    <row r="325">
      <c r="A325" s="199">
        <v>322.0</v>
      </c>
      <c r="B325" s="200">
        <f t="shared" si="6"/>
        <v>3046.641421</v>
      </c>
      <c r="C325" s="200">
        <f>'Deal Analysis'!$D$24/12*E324</f>
        <v>-768.7847241</v>
      </c>
      <c r="D325" s="200">
        <f t="shared" si="1"/>
        <v>3815.426145</v>
      </c>
      <c r="E325" s="200">
        <f t="shared" si="2"/>
        <v>-106320.056</v>
      </c>
      <c r="F325" s="1"/>
      <c r="G325" s="199">
        <v>322.0</v>
      </c>
      <c r="H325" s="200">
        <f>if(AND('Deal Analysis'!$D$37*12&lt;G325,'Deal Analysis'!$D$37&gt;0),0,H324)</f>
        <v>333.3333333</v>
      </c>
      <c r="I325" s="200">
        <f>if(H325&gt;0,'Deal Analysis'!$D$35/12*K324,0)</f>
        <v>333.3333333</v>
      </c>
      <c r="J325" s="200">
        <f t="shared" si="3"/>
        <v>0</v>
      </c>
      <c r="K325" s="200">
        <f>if(AND('Deal Analysis'!$D$37*12&lt;G325,'Deal Analysis'!$D$37&gt;0),0,K324-J325)</f>
        <v>50000</v>
      </c>
      <c r="L325" s="1"/>
      <c r="M325" s="199">
        <v>322.0</v>
      </c>
      <c r="N325" s="200">
        <f>if('Deal Analysis'!D363="Yes",'Deal Analysis'!D370,0)</f>
        <v>0</v>
      </c>
      <c r="O325" s="200">
        <f t="shared" si="4"/>
        <v>0</v>
      </c>
      <c r="P325" s="200">
        <f t="shared" si="5"/>
        <v>0</v>
      </c>
      <c r="Q325" s="200">
        <f>if(AND('Deal Analysis'!$D$47*12&lt;M325,'Deal Analysis'!$D$47&gt;0),0,Q324-P325)</f>
        <v>0</v>
      </c>
      <c r="R325" s="1"/>
      <c r="S325" s="1"/>
      <c r="T325" s="1"/>
      <c r="U325" s="1"/>
      <c r="V325" s="1"/>
      <c r="W325" s="1"/>
      <c r="X325" s="1"/>
      <c r="Y325" s="1"/>
      <c r="Z325" s="1"/>
      <c r="AA325" s="1"/>
    </row>
    <row r="326">
      <c r="A326" s="199">
        <v>323.0</v>
      </c>
      <c r="B326" s="200">
        <f t="shared" si="6"/>
        <v>3046.641421</v>
      </c>
      <c r="C326" s="200">
        <f>'Deal Analysis'!$D$24/12*E325</f>
        <v>-797.4004202</v>
      </c>
      <c r="D326" s="200">
        <f t="shared" si="1"/>
        <v>3844.041841</v>
      </c>
      <c r="E326" s="200">
        <f t="shared" si="2"/>
        <v>-110164.0979</v>
      </c>
      <c r="F326" s="1"/>
      <c r="G326" s="199">
        <v>323.0</v>
      </c>
      <c r="H326" s="200">
        <f>if(AND('Deal Analysis'!$D$37*12&lt;G326,'Deal Analysis'!$D$37&gt;0),0,H325)</f>
        <v>333.3333333</v>
      </c>
      <c r="I326" s="200">
        <f>if(H326&gt;0,'Deal Analysis'!$D$35/12*K325,0)</f>
        <v>333.3333333</v>
      </c>
      <c r="J326" s="200">
        <f t="shared" si="3"/>
        <v>0</v>
      </c>
      <c r="K326" s="200">
        <f>if(AND('Deal Analysis'!$D$37*12&lt;G326,'Deal Analysis'!$D$37&gt;0),0,K325-J326)</f>
        <v>50000</v>
      </c>
      <c r="L326" s="1"/>
      <c r="M326" s="199">
        <v>323.0</v>
      </c>
      <c r="N326" s="200">
        <f>if('Deal Analysis'!D364="Yes",'Deal Analysis'!D371,0)</f>
        <v>0</v>
      </c>
      <c r="O326" s="200">
        <f t="shared" si="4"/>
        <v>0</v>
      </c>
      <c r="P326" s="200">
        <f t="shared" si="5"/>
        <v>0</v>
      </c>
      <c r="Q326" s="200">
        <f>if(AND('Deal Analysis'!$D$47*12&lt;M326,'Deal Analysis'!$D$47&gt;0),0,Q325-P326)</f>
        <v>0</v>
      </c>
      <c r="R326" s="1"/>
      <c r="S326" s="1"/>
      <c r="T326" s="1"/>
      <c r="U326" s="1"/>
      <c r="V326" s="1"/>
      <c r="W326" s="1"/>
      <c r="X326" s="1"/>
      <c r="Y326" s="1"/>
      <c r="Z326" s="1"/>
      <c r="AA326" s="1"/>
    </row>
    <row r="327">
      <c r="A327" s="199">
        <v>324.0</v>
      </c>
      <c r="B327" s="200">
        <f t="shared" si="6"/>
        <v>3046.641421</v>
      </c>
      <c r="C327" s="200">
        <f>'Deal Analysis'!$D$24/12*E326</f>
        <v>-826.230734</v>
      </c>
      <c r="D327" s="200">
        <f t="shared" si="1"/>
        <v>3872.872155</v>
      </c>
      <c r="E327" s="200">
        <f t="shared" si="2"/>
        <v>-114036.97</v>
      </c>
      <c r="F327" s="1"/>
      <c r="G327" s="199">
        <v>324.0</v>
      </c>
      <c r="H327" s="200">
        <f>if(AND('Deal Analysis'!$D$37*12&lt;G327,'Deal Analysis'!$D$37&gt;0),0,H326)</f>
        <v>333.3333333</v>
      </c>
      <c r="I327" s="200">
        <f>if(H327&gt;0,'Deal Analysis'!$D$35/12*K326,0)</f>
        <v>333.3333333</v>
      </c>
      <c r="J327" s="200">
        <f t="shared" si="3"/>
        <v>0</v>
      </c>
      <c r="K327" s="200">
        <f>if(AND('Deal Analysis'!$D$37*12&lt;G327,'Deal Analysis'!$D$37&gt;0),0,K326-J327)</f>
        <v>50000</v>
      </c>
      <c r="L327" s="1"/>
      <c r="M327" s="199">
        <v>324.0</v>
      </c>
      <c r="N327" s="200">
        <f>if('Deal Analysis'!D365="Yes",'Deal Analysis'!D372,0)</f>
        <v>0</v>
      </c>
      <c r="O327" s="200">
        <f t="shared" si="4"/>
        <v>0</v>
      </c>
      <c r="P327" s="200">
        <f t="shared" si="5"/>
        <v>0</v>
      </c>
      <c r="Q327" s="200">
        <f>if(AND('Deal Analysis'!$D$47*12&lt;M327,'Deal Analysis'!$D$47&gt;0),0,Q326-P327)</f>
        <v>0</v>
      </c>
      <c r="R327" s="1"/>
      <c r="S327" s="1"/>
      <c r="T327" s="1"/>
      <c r="U327" s="1"/>
      <c r="V327" s="1"/>
      <c r="W327" s="1"/>
      <c r="X327" s="1"/>
      <c r="Y327" s="1"/>
      <c r="Z327" s="1"/>
      <c r="AA327" s="1"/>
    </row>
    <row r="328">
      <c r="A328" s="199">
        <v>325.0</v>
      </c>
      <c r="B328" s="200">
        <f t="shared" si="6"/>
        <v>3046.641421</v>
      </c>
      <c r="C328" s="200">
        <f>'Deal Analysis'!$D$24/12*E327</f>
        <v>-855.2772752</v>
      </c>
      <c r="D328" s="200">
        <f t="shared" si="1"/>
        <v>3901.918696</v>
      </c>
      <c r="E328" s="200">
        <f t="shared" si="2"/>
        <v>-117938.8887</v>
      </c>
      <c r="F328" s="1"/>
      <c r="G328" s="199">
        <v>325.0</v>
      </c>
      <c r="H328" s="200">
        <f>if(AND('Deal Analysis'!$D$37*12&lt;G328,'Deal Analysis'!$D$37&gt;0),0,H327)</f>
        <v>333.3333333</v>
      </c>
      <c r="I328" s="200">
        <f>if(H328&gt;0,'Deal Analysis'!$D$35/12*K327,0)</f>
        <v>333.3333333</v>
      </c>
      <c r="J328" s="200">
        <f t="shared" si="3"/>
        <v>0</v>
      </c>
      <c r="K328" s="200">
        <f>if(AND('Deal Analysis'!$D$37*12&lt;G328,'Deal Analysis'!$D$37&gt;0),0,K327-J328)</f>
        <v>50000</v>
      </c>
      <c r="L328" s="1"/>
      <c r="M328" s="199">
        <v>325.0</v>
      </c>
      <c r="N328" s="200">
        <f>if('Deal Analysis'!D366="Yes",'Deal Analysis'!D373,0)</f>
        <v>0</v>
      </c>
      <c r="O328" s="200">
        <f t="shared" si="4"/>
        <v>0</v>
      </c>
      <c r="P328" s="200">
        <f t="shared" si="5"/>
        <v>0</v>
      </c>
      <c r="Q328" s="200">
        <f>if(AND('Deal Analysis'!$D$47*12&lt;M328,'Deal Analysis'!$D$47&gt;0),0,Q327-P328)</f>
        <v>0</v>
      </c>
      <c r="R328" s="1"/>
      <c r="S328" s="1"/>
      <c r="T328" s="1"/>
      <c r="U328" s="1"/>
      <c r="V328" s="1"/>
      <c r="W328" s="1"/>
      <c r="X328" s="1"/>
      <c r="Y328" s="1"/>
      <c r="Z328" s="1"/>
      <c r="AA328" s="1"/>
    </row>
    <row r="329">
      <c r="A329" s="199">
        <v>326.0</v>
      </c>
      <c r="B329" s="200">
        <f t="shared" si="6"/>
        <v>3046.641421</v>
      </c>
      <c r="C329" s="200">
        <f>'Deal Analysis'!$D$24/12*E328</f>
        <v>-884.5416654</v>
      </c>
      <c r="D329" s="200">
        <f t="shared" si="1"/>
        <v>3931.183086</v>
      </c>
      <c r="E329" s="200">
        <f t="shared" si="2"/>
        <v>-121870.0718</v>
      </c>
      <c r="F329" s="1"/>
      <c r="G329" s="199">
        <v>326.0</v>
      </c>
      <c r="H329" s="200">
        <f>if(AND('Deal Analysis'!$D$37*12&lt;G329,'Deal Analysis'!$D$37&gt;0),0,H328)</f>
        <v>333.3333333</v>
      </c>
      <c r="I329" s="200">
        <f>if(H329&gt;0,'Deal Analysis'!$D$35/12*K328,0)</f>
        <v>333.3333333</v>
      </c>
      <c r="J329" s="200">
        <f t="shared" si="3"/>
        <v>0</v>
      </c>
      <c r="K329" s="200">
        <f>if(AND('Deal Analysis'!$D$37*12&lt;G329,'Deal Analysis'!$D$37&gt;0),0,K328-J329)</f>
        <v>50000</v>
      </c>
      <c r="L329" s="1"/>
      <c r="M329" s="199">
        <v>326.0</v>
      </c>
      <c r="N329" s="200">
        <f>if('Deal Analysis'!D367="Yes",'Deal Analysis'!D374,0)</f>
        <v>0</v>
      </c>
      <c r="O329" s="200">
        <f t="shared" si="4"/>
        <v>0</v>
      </c>
      <c r="P329" s="200">
        <f t="shared" si="5"/>
        <v>0</v>
      </c>
      <c r="Q329" s="200">
        <f>if(AND('Deal Analysis'!$D$47*12&lt;M329,'Deal Analysis'!$D$47&gt;0),0,Q328-P329)</f>
        <v>0</v>
      </c>
      <c r="R329" s="1"/>
      <c r="S329" s="1"/>
      <c r="T329" s="1"/>
      <c r="U329" s="1"/>
      <c r="V329" s="1"/>
      <c r="W329" s="1"/>
      <c r="X329" s="1"/>
      <c r="Y329" s="1"/>
      <c r="Z329" s="1"/>
      <c r="AA329" s="1"/>
    </row>
    <row r="330">
      <c r="A330" s="199">
        <v>327.0</v>
      </c>
      <c r="B330" s="200">
        <f t="shared" si="6"/>
        <v>3046.641421</v>
      </c>
      <c r="C330" s="200">
        <f>'Deal Analysis'!$D$24/12*E329</f>
        <v>-914.0255386</v>
      </c>
      <c r="D330" s="200">
        <f t="shared" si="1"/>
        <v>3960.66696</v>
      </c>
      <c r="E330" s="200">
        <f t="shared" si="2"/>
        <v>-125830.7388</v>
      </c>
      <c r="F330" s="1"/>
      <c r="G330" s="199">
        <v>327.0</v>
      </c>
      <c r="H330" s="200">
        <f>if(AND('Deal Analysis'!$D$37*12&lt;G330,'Deal Analysis'!$D$37&gt;0),0,H329)</f>
        <v>333.3333333</v>
      </c>
      <c r="I330" s="200">
        <f>if(H330&gt;0,'Deal Analysis'!$D$35/12*K329,0)</f>
        <v>333.3333333</v>
      </c>
      <c r="J330" s="200">
        <f t="shared" si="3"/>
        <v>0</v>
      </c>
      <c r="K330" s="200">
        <f>if(AND('Deal Analysis'!$D$37*12&lt;G330,'Deal Analysis'!$D$37&gt;0),0,K329-J330)</f>
        <v>50000</v>
      </c>
      <c r="L330" s="1"/>
      <c r="M330" s="199">
        <v>327.0</v>
      </c>
      <c r="N330" s="200">
        <f>if('Deal Analysis'!D368="Yes",'Deal Analysis'!D375,0)</f>
        <v>0</v>
      </c>
      <c r="O330" s="200">
        <f t="shared" si="4"/>
        <v>0</v>
      </c>
      <c r="P330" s="200">
        <f t="shared" si="5"/>
        <v>0</v>
      </c>
      <c r="Q330" s="200">
        <f>if(AND('Deal Analysis'!$D$47*12&lt;M330,'Deal Analysis'!$D$47&gt;0),0,Q329-P330)</f>
        <v>0</v>
      </c>
      <c r="R330" s="1"/>
      <c r="S330" s="1"/>
      <c r="T330" s="1"/>
      <c r="U330" s="1"/>
      <c r="V330" s="1"/>
      <c r="W330" s="1"/>
      <c r="X330" s="1"/>
      <c r="Y330" s="1"/>
      <c r="Z330" s="1"/>
      <c r="AA330" s="1"/>
    </row>
    <row r="331">
      <c r="A331" s="199">
        <v>328.0</v>
      </c>
      <c r="B331" s="200">
        <f t="shared" si="6"/>
        <v>3046.641421</v>
      </c>
      <c r="C331" s="200">
        <f>'Deal Analysis'!$D$24/12*E330</f>
        <v>-943.7305408</v>
      </c>
      <c r="D331" s="200">
        <f t="shared" si="1"/>
        <v>3990.371962</v>
      </c>
      <c r="E331" s="200">
        <f t="shared" si="2"/>
        <v>-129821.1107</v>
      </c>
      <c r="F331" s="1"/>
      <c r="G331" s="199">
        <v>328.0</v>
      </c>
      <c r="H331" s="200">
        <f>if(AND('Deal Analysis'!$D$37*12&lt;G331,'Deal Analysis'!$D$37&gt;0),0,H330)</f>
        <v>333.3333333</v>
      </c>
      <c r="I331" s="200">
        <f>if(H331&gt;0,'Deal Analysis'!$D$35/12*K330,0)</f>
        <v>333.3333333</v>
      </c>
      <c r="J331" s="200">
        <f t="shared" si="3"/>
        <v>0</v>
      </c>
      <c r="K331" s="200">
        <f>if(AND('Deal Analysis'!$D$37*12&lt;G331,'Deal Analysis'!$D$37&gt;0),0,K330-J331)</f>
        <v>50000</v>
      </c>
      <c r="L331" s="1"/>
      <c r="M331" s="199">
        <v>328.0</v>
      </c>
      <c r="N331" s="200">
        <f>if('Deal Analysis'!D369="Yes",'Deal Analysis'!D376,0)</f>
        <v>0</v>
      </c>
      <c r="O331" s="200">
        <f t="shared" si="4"/>
        <v>0</v>
      </c>
      <c r="P331" s="200">
        <f t="shared" si="5"/>
        <v>0</v>
      </c>
      <c r="Q331" s="200">
        <f>if(AND('Deal Analysis'!$D$47*12&lt;M331,'Deal Analysis'!$D$47&gt;0),0,Q330-P331)</f>
        <v>0</v>
      </c>
      <c r="R331" s="1"/>
      <c r="S331" s="1"/>
      <c r="T331" s="1"/>
      <c r="U331" s="1"/>
      <c r="V331" s="1"/>
      <c r="W331" s="1"/>
      <c r="X331" s="1"/>
      <c r="Y331" s="1"/>
      <c r="Z331" s="1"/>
      <c r="AA331" s="1"/>
    </row>
    <row r="332">
      <c r="A332" s="199">
        <v>329.0</v>
      </c>
      <c r="B332" s="200">
        <f t="shared" si="6"/>
        <v>3046.641421</v>
      </c>
      <c r="C332" s="200">
        <f>'Deal Analysis'!$D$24/12*E331</f>
        <v>-973.6583305</v>
      </c>
      <c r="D332" s="200">
        <f t="shared" si="1"/>
        <v>4020.299751</v>
      </c>
      <c r="E332" s="200">
        <f t="shared" si="2"/>
        <v>-133841.4105</v>
      </c>
      <c r="F332" s="1"/>
      <c r="G332" s="199">
        <v>329.0</v>
      </c>
      <c r="H332" s="200">
        <f>if(AND('Deal Analysis'!$D$37*12&lt;G332,'Deal Analysis'!$D$37&gt;0),0,H331)</f>
        <v>333.3333333</v>
      </c>
      <c r="I332" s="200">
        <f>if(H332&gt;0,'Deal Analysis'!$D$35/12*K331,0)</f>
        <v>333.3333333</v>
      </c>
      <c r="J332" s="200">
        <f t="shared" si="3"/>
        <v>0</v>
      </c>
      <c r="K332" s="200">
        <f>if(AND('Deal Analysis'!$D$37*12&lt;G332,'Deal Analysis'!$D$37&gt;0),0,K331-J332)</f>
        <v>50000</v>
      </c>
      <c r="L332" s="1"/>
      <c r="M332" s="199">
        <v>329.0</v>
      </c>
      <c r="N332" s="200">
        <f>if('Deal Analysis'!D370="Yes",'Deal Analysis'!D377,0)</f>
        <v>0</v>
      </c>
      <c r="O332" s="200">
        <f t="shared" si="4"/>
        <v>0</v>
      </c>
      <c r="P332" s="200">
        <f t="shared" si="5"/>
        <v>0</v>
      </c>
      <c r="Q332" s="200">
        <f>if(AND('Deal Analysis'!$D$47*12&lt;M332,'Deal Analysis'!$D$47&gt;0),0,Q331-P332)</f>
        <v>0</v>
      </c>
      <c r="R332" s="1"/>
      <c r="S332" s="1"/>
      <c r="T332" s="1"/>
      <c r="U332" s="1"/>
      <c r="V332" s="1"/>
      <c r="W332" s="1"/>
      <c r="X332" s="1"/>
      <c r="Y332" s="1"/>
      <c r="Z332" s="1"/>
      <c r="AA332" s="1"/>
    </row>
    <row r="333">
      <c r="A333" s="199">
        <v>330.0</v>
      </c>
      <c r="B333" s="200">
        <f t="shared" si="6"/>
        <v>3046.641421</v>
      </c>
      <c r="C333" s="200">
        <f>'Deal Analysis'!$D$24/12*E332</f>
        <v>-1003.810579</v>
      </c>
      <c r="D333" s="200">
        <f t="shared" si="1"/>
        <v>4050.452</v>
      </c>
      <c r="E333" s="200">
        <f t="shared" si="2"/>
        <v>-137891.8625</v>
      </c>
      <c r="F333" s="1"/>
      <c r="G333" s="199">
        <v>330.0</v>
      </c>
      <c r="H333" s="200">
        <f>if(AND('Deal Analysis'!$D$37*12&lt;G333,'Deal Analysis'!$D$37&gt;0),0,H332)</f>
        <v>333.3333333</v>
      </c>
      <c r="I333" s="200">
        <f>if(H333&gt;0,'Deal Analysis'!$D$35/12*K332,0)</f>
        <v>333.3333333</v>
      </c>
      <c r="J333" s="200">
        <f t="shared" si="3"/>
        <v>0</v>
      </c>
      <c r="K333" s="200">
        <f>if(AND('Deal Analysis'!$D$37*12&lt;G333,'Deal Analysis'!$D$37&gt;0),0,K332-J333)</f>
        <v>50000</v>
      </c>
      <c r="L333" s="1"/>
      <c r="M333" s="199">
        <v>330.0</v>
      </c>
      <c r="N333" s="200">
        <f>if('Deal Analysis'!D371="Yes",'Deal Analysis'!D378,0)</f>
        <v>0</v>
      </c>
      <c r="O333" s="200">
        <f t="shared" si="4"/>
        <v>0</v>
      </c>
      <c r="P333" s="200">
        <f t="shared" si="5"/>
        <v>0</v>
      </c>
      <c r="Q333" s="200">
        <f>if(AND('Deal Analysis'!$D$47*12&lt;M333,'Deal Analysis'!$D$47&gt;0),0,Q332-P333)</f>
        <v>0</v>
      </c>
      <c r="R333" s="1"/>
      <c r="S333" s="1"/>
      <c r="T333" s="1"/>
      <c r="U333" s="1"/>
      <c r="V333" s="1"/>
      <c r="W333" s="1"/>
      <c r="X333" s="1"/>
      <c r="Y333" s="1"/>
      <c r="Z333" s="1"/>
      <c r="AA333" s="1"/>
    </row>
    <row r="334">
      <c r="A334" s="199">
        <v>331.0</v>
      </c>
      <c r="B334" s="200">
        <f t="shared" si="6"/>
        <v>3046.641421</v>
      </c>
      <c r="C334" s="200">
        <f>'Deal Analysis'!$D$24/12*E333</f>
        <v>-1034.188969</v>
      </c>
      <c r="D334" s="200">
        <f t="shared" si="1"/>
        <v>4080.83039</v>
      </c>
      <c r="E334" s="200">
        <f t="shared" si="2"/>
        <v>-141972.6929</v>
      </c>
      <c r="F334" s="1"/>
      <c r="G334" s="199">
        <v>331.0</v>
      </c>
      <c r="H334" s="200">
        <f>if(AND('Deal Analysis'!$D$37*12&lt;G334,'Deal Analysis'!$D$37&gt;0),0,H333)</f>
        <v>333.3333333</v>
      </c>
      <c r="I334" s="200">
        <f>if(H334&gt;0,'Deal Analysis'!$D$35/12*K333,0)</f>
        <v>333.3333333</v>
      </c>
      <c r="J334" s="200">
        <f t="shared" si="3"/>
        <v>0</v>
      </c>
      <c r="K334" s="200">
        <f>if(AND('Deal Analysis'!$D$37*12&lt;G334,'Deal Analysis'!$D$37&gt;0),0,K333-J334)</f>
        <v>50000</v>
      </c>
      <c r="L334" s="1"/>
      <c r="M334" s="199">
        <v>331.0</v>
      </c>
      <c r="N334" s="200">
        <f>if('Deal Analysis'!D372="Yes",'Deal Analysis'!D379,0)</f>
        <v>0</v>
      </c>
      <c r="O334" s="200">
        <f t="shared" si="4"/>
        <v>0</v>
      </c>
      <c r="P334" s="200">
        <f t="shared" si="5"/>
        <v>0</v>
      </c>
      <c r="Q334" s="200">
        <f>if(AND('Deal Analysis'!$D$47*12&lt;M334,'Deal Analysis'!$D$47&gt;0),0,Q333-P334)</f>
        <v>0</v>
      </c>
      <c r="R334" s="1"/>
      <c r="S334" s="1"/>
      <c r="T334" s="1"/>
      <c r="U334" s="1"/>
      <c r="V334" s="1"/>
      <c r="W334" s="1"/>
      <c r="X334" s="1"/>
      <c r="Y334" s="1"/>
      <c r="Z334" s="1"/>
      <c r="AA334" s="1"/>
    </row>
    <row r="335">
      <c r="A335" s="199">
        <v>332.0</v>
      </c>
      <c r="B335" s="200">
        <f t="shared" si="6"/>
        <v>3046.641421</v>
      </c>
      <c r="C335" s="200">
        <f>'Deal Analysis'!$D$24/12*E334</f>
        <v>-1064.795197</v>
      </c>
      <c r="D335" s="200">
        <f t="shared" si="1"/>
        <v>4111.436618</v>
      </c>
      <c r="E335" s="200">
        <f t="shared" si="2"/>
        <v>-146084.1295</v>
      </c>
      <c r="F335" s="1"/>
      <c r="G335" s="199">
        <v>332.0</v>
      </c>
      <c r="H335" s="200">
        <f>if(AND('Deal Analysis'!$D$37*12&lt;G335,'Deal Analysis'!$D$37&gt;0),0,H334)</f>
        <v>333.3333333</v>
      </c>
      <c r="I335" s="200">
        <f>if(H335&gt;0,'Deal Analysis'!$D$35/12*K334,0)</f>
        <v>333.3333333</v>
      </c>
      <c r="J335" s="200">
        <f t="shared" si="3"/>
        <v>0</v>
      </c>
      <c r="K335" s="200">
        <f>if(AND('Deal Analysis'!$D$37*12&lt;G335,'Deal Analysis'!$D$37&gt;0),0,K334-J335)</f>
        <v>50000</v>
      </c>
      <c r="L335" s="1"/>
      <c r="M335" s="199">
        <v>332.0</v>
      </c>
      <c r="N335" s="200">
        <f>if('Deal Analysis'!D373="Yes",'Deal Analysis'!D380,0)</f>
        <v>0</v>
      </c>
      <c r="O335" s="200">
        <f t="shared" si="4"/>
        <v>0</v>
      </c>
      <c r="P335" s="200">
        <f t="shared" si="5"/>
        <v>0</v>
      </c>
      <c r="Q335" s="200">
        <f>if(AND('Deal Analysis'!$D$47*12&lt;M335,'Deal Analysis'!$D$47&gt;0),0,Q334-P335)</f>
        <v>0</v>
      </c>
      <c r="R335" s="1"/>
      <c r="S335" s="1"/>
      <c r="T335" s="1"/>
      <c r="U335" s="1"/>
      <c r="V335" s="1"/>
      <c r="W335" s="1"/>
      <c r="X335" s="1"/>
      <c r="Y335" s="1"/>
      <c r="Z335" s="1"/>
      <c r="AA335" s="1"/>
    </row>
    <row r="336">
      <c r="A336" s="199">
        <v>333.0</v>
      </c>
      <c r="B336" s="200">
        <f t="shared" si="6"/>
        <v>3046.641421</v>
      </c>
      <c r="C336" s="200">
        <f>'Deal Analysis'!$D$24/12*E335</f>
        <v>-1095.630971</v>
      </c>
      <c r="D336" s="200">
        <f t="shared" si="1"/>
        <v>4142.272392</v>
      </c>
      <c r="E336" s="200">
        <f t="shared" si="2"/>
        <v>-150226.4019</v>
      </c>
      <c r="F336" s="1"/>
      <c r="G336" s="199">
        <v>333.0</v>
      </c>
      <c r="H336" s="200">
        <f>if(AND('Deal Analysis'!$D$37*12&lt;G336,'Deal Analysis'!$D$37&gt;0),0,H335)</f>
        <v>333.3333333</v>
      </c>
      <c r="I336" s="200">
        <f>if(H336&gt;0,'Deal Analysis'!$D$35/12*K335,0)</f>
        <v>333.3333333</v>
      </c>
      <c r="J336" s="200">
        <f t="shared" si="3"/>
        <v>0</v>
      </c>
      <c r="K336" s="200">
        <f>if(AND('Deal Analysis'!$D$37*12&lt;G336,'Deal Analysis'!$D$37&gt;0),0,K335-J336)</f>
        <v>50000</v>
      </c>
      <c r="L336" s="1"/>
      <c r="M336" s="199">
        <v>333.0</v>
      </c>
      <c r="N336" s="200">
        <f>if('Deal Analysis'!D374="Yes",'Deal Analysis'!D381,0)</f>
        <v>0</v>
      </c>
      <c r="O336" s="200">
        <f t="shared" si="4"/>
        <v>0</v>
      </c>
      <c r="P336" s="200">
        <f t="shared" si="5"/>
        <v>0</v>
      </c>
      <c r="Q336" s="200">
        <f>if(AND('Deal Analysis'!$D$47*12&lt;M336,'Deal Analysis'!$D$47&gt;0),0,Q335-P336)</f>
        <v>0</v>
      </c>
      <c r="R336" s="1"/>
      <c r="S336" s="1"/>
      <c r="T336" s="1"/>
      <c r="U336" s="1"/>
      <c r="V336" s="1"/>
      <c r="W336" s="1"/>
      <c r="X336" s="1"/>
      <c r="Y336" s="1"/>
      <c r="Z336" s="1"/>
      <c r="AA336" s="1"/>
    </row>
    <row r="337">
      <c r="A337" s="199">
        <v>334.0</v>
      </c>
      <c r="B337" s="200">
        <f t="shared" si="6"/>
        <v>3046.641421</v>
      </c>
      <c r="C337" s="200">
        <f>'Deal Analysis'!$D$24/12*E336</f>
        <v>-1126.698014</v>
      </c>
      <c r="D337" s="200">
        <f t="shared" si="1"/>
        <v>4173.339435</v>
      </c>
      <c r="E337" s="200">
        <f t="shared" si="2"/>
        <v>-154399.7413</v>
      </c>
      <c r="F337" s="1"/>
      <c r="G337" s="199">
        <v>334.0</v>
      </c>
      <c r="H337" s="200">
        <f>if(AND('Deal Analysis'!$D$37*12&lt;G337,'Deal Analysis'!$D$37&gt;0),0,H336)</f>
        <v>333.3333333</v>
      </c>
      <c r="I337" s="200">
        <f>if(H337&gt;0,'Deal Analysis'!$D$35/12*K336,0)</f>
        <v>333.3333333</v>
      </c>
      <c r="J337" s="200">
        <f t="shared" si="3"/>
        <v>0</v>
      </c>
      <c r="K337" s="200">
        <f>if(AND('Deal Analysis'!$D$37*12&lt;G337,'Deal Analysis'!$D$37&gt;0),0,K336-J337)</f>
        <v>50000</v>
      </c>
      <c r="L337" s="1"/>
      <c r="M337" s="199">
        <v>334.0</v>
      </c>
      <c r="N337" s="200">
        <f>if('Deal Analysis'!D375="Yes",'Deal Analysis'!D382,0)</f>
        <v>0</v>
      </c>
      <c r="O337" s="200">
        <f t="shared" si="4"/>
        <v>0</v>
      </c>
      <c r="P337" s="200">
        <f t="shared" si="5"/>
        <v>0</v>
      </c>
      <c r="Q337" s="200">
        <f>if(AND('Deal Analysis'!$D$47*12&lt;M337,'Deal Analysis'!$D$47&gt;0),0,Q336-P337)</f>
        <v>0</v>
      </c>
      <c r="R337" s="1"/>
      <c r="S337" s="1"/>
      <c r="T337" s="1"/>
      <c r="U337" s="1"/>
      <c r="V337" s="1"/>
      <c r="W337" s="1"/>
      <c r="X337" s="1"/>
      <c r="Y337" s="1"/>
      <c r="Z337" s="1"/>
      <c r="AA337" s="1"/>
    </row>
    <row r="338">
      <c r="A338" s="199">
        <v>335.0</v>
      </c>
      <c r="B338" s="200">
        <f t="shared" si="6"/>
        <v>3046.641421</v>
      </c>
      <c r="C338" s="200">
        <f>'Deal Analysis'!$D$24/12*E337</f>
        <v>-1157.99806</v>
      </c>
      <c r="D338" s="200">
        <f t="shared" si="1"/>
        <v>4204.639481</v>
      </c>
      <c r="E338" s="200">
        <f t="shared" si="2"/>
        <v>-158604.3808</v>
      </c>
      <c r="F338" s="1"/>
      <c r="G338" s="199">
        <v>335.0</v>
      </c>
      <c r="H338" s="200">
        <f>if(AND('Deal Analysis'!$D$37*12&lt;G338,'Deal Analysis'!$D$37&gt;0),0,H337)</f>
        <v>333.3333333</v>
      </c>
      <c r="I338" s="200">
        <f>if(H338&gt;0,'Deal Analysis'!$D$35/12*K337,0)</f>
        <v>333.3333333</v>
      </c>
      <c r="J338" s="200">
        <f t="shared" si="3"/>
        <v>0</v>
      </c>
      <c r="K338" s="200">
        <f>if(AND('Deal Analysis'!$D$37*12&lt;G338,'Deal Analysis'!$D$37&gt;0),0,K337-J338)</f>
        <v>50000</v>
      </c>
      <c r="L338" s="1"/>
      <c r="M338" s="199">
        <v>335.0</v>
      </c>
      <c r="N338" s="200">
        <f>if('Deal Analysis'!D376="Yes",'Deal Analysis'!D383,0)</f>
        <v>0</v>
      </c>
      <c r="O338" s="200">
        <f t="shared" si="4"/>
        <v>0</v>
      </c>
      <c r="P338" s="200">
        <f t="shared" si="5"/>
        <v>0</v>
      </c>
      <c r="Q338" s="200">
        <f>if(AND('Deal Analysis'!$D$47*12&lt;M338,'Deal Analysis'!$D$47&gt;0),0,Q337-P338)</f>
        <v>0</v>
      </c>
      <c r="R338" s="1"/>
      <c r="S338" s="1"/>
      <c r="T338" s="1"/>
      <c r="U338" s="1"/>
      <c r="V338" s="1"/>
      <c r="W338" s="1"/>
      <c r="X338" s="1"/>
      <c r="Y338" s="1"/>
      <c r="Z338" s="1"/>
      <c r="AA338" s="1"/>
    </row>
    <row r="339">
      <c r="A339" s="199">
        <v>336.0</v>
      </c>
      <c r="B339" s="200">
        <f t="shared" si="6"/>
        <v>3046.641421</v>
      </c>
      <c r="C339" s="200">
        <f>'Deal Analysis'!$D$24/12*E338</f>
        <v>-1189.532856</v>
      </c>
      <c r="D339" s="200">
        <f t="shared" si="1"/>
        <v>4236.174277</v>
      </c>
      <c r="E339" s="200">
        <f t="shared" si="2"/>
        <v>-162840.5551</v>
      </c>
      <c r="F339" s="1"/>
      <c r="G339" s="199">
        <v>336.0</v>
      </c>
      <c r="H339" s="200">
        <f>if(AND('Deal Analysis'!$D$37*12&lt;G339,'Deal Analysis'!$D$37&gt;0),0,H338)</f>
        <v>333.3333333</v>
      </c>
      <c r="I339" s="200">
        <f>if(H339&gt;0,'Deal Analysis'!$D$35/12*K338,0)</f>
        <v>333.3333333</v>
      </c>
      <c r="J339" s="200">
        <f t="shared" si="3"/>
        <v>0</v>
      </c>
      <c r="K339" s="200">
        <f>if(AND('Deal Analysis'!$D$37*12&lt;G339,'Deal Analysis'!$D$37&gt;0),0,K338-J339)</f>
        <v>50000</v>
      </c>
      <c r="L339" s="1"/>
      <c r="M339" s="199">
        <v>336.0</v>
      </c>
      <c r="N339" s="200">
        <f>if('Deal Analysis'!D377="Yes",'Deal Analysis'!D384,0)</f>
        <v>0</v>
      </c>
      <c r="O339" s="200">
        <f t="shared" si="4"/>
        <v>0</v>
      </c>
      <c r="P339" s="200">
        <f t="shared" si="5"/>
        <v>0</v>
      </c>
      <c r="Q339" s="200">
        <f>if(AND('Deal Analysis'!$D$47*12&lt;M339,'Deal Analysis'!$D$47&gt;0),0,Q338-P339)</f>
        <v>0</v>
      </c>
      <c r="R339" s="1"/>
      <c r="S339" s="1"/>
      <c r="T339" s="1"/>
      <c r="U339" s="1"/>
      <c r="V339" s="1"/>
      <c r="W339" s="1"/>
      <c r="X339" s="1"/>
      <c r="Y339" s="1"/>
      <c r="Z339" s="1"/>
      <c r="AA339" s="1"/>
    </row>
    <row r="340">
      <c r="A340" s="199">
        <v>337.0</v>
      </c>
      <c r="B340" s="200">
        <f t="shared" si="6"/>
        <v>3046.641421</v>
      </c>
      <c r="C340" s="200">
        <f>'Deal Analysis'!$D$24/12*E339</f>
        <v>-1221.304163</v>
      </c>
      <c r="D340" s="200">
        <f t="shared" si="1"/>
        <v>4267.945584</v>
      </c>
      <c r="E340" s="200">
        <f t="shared" si="2"/>
        <v>-167108.5007</v>
      </c>
      <c r="F340" s="1"/>
      <c r="G340" s="199">
        <v>337.0</v>
      </c>
      <c r="H340" s="200">
        <f>if(AND('Deal Analysis'!$D$37*12&lt;G340,'Deal Analysis'!$D$37&gt;0),0,H339)</f>
        <v>333.3333333</v>
      </c>
      <c r="I340" s="200">
        <f>if(H340&gt;0,'Deal Analysis'!$D$35/12*K339,0)</f>
        <v>333.3333333</v>
      </c>
      <c r="J340" s="200">
        <f t="shared" si="3"/>
        <v>0</v>
      </c>
      <c r="K340" s="200">
        <f>if(AND('Deal Analysis'!$D$37*12&lt;G340,'Deal Analysis'!$D$37&gt;0),0,K339-J340)</f>
        <v>50000</v>
      </c>
      <c r="L340" s="1"/>
      <c r="M340" s="199">
        <v>337.0</v>
      </c>
      <c r="N340" s="200">
        <f>if('Deal Analysis'!D378="Yes",'Deal Analysis'!D385,0)</f>
        <v>0</v>
      </c>
      <c r="O340" s="200">
        <f t="shared" si="4"/>
        <v>0</v>
      </c>
      <c r="P340" s="200">
        <f t="shared" si="5"/>
        <v>0</v>
      </c>
      <c r="Q340" s="200">
        <f>if(AND('Deal Analysis'!$D$47*12&lt;M340,'Deal Analysis'!$D$47&gt;0),0,Q339-P340)</f>
        <v>0</v>
      </c>
      <c r="R340" s="1"/>
      <c r="S340" s="1"/>
      <c r="T340" s="1"/>
      <c r="U340" s="1"/>
      <c r="V340" s="1"/>
      <c r="W340" s="1"/>
      <c r="X340" s="1"/>
      <c r="Y340" s="1"/>
      <c r="Z340" s="1"/>
      <c r="AA340" s="1"/>
    </row>
    <row r="341">
      <c r="A341" s="199">
        <v>338.0</v>
      </c>
      <c r="B341" s="200">
        <f t="shared" si="6"/>
        <v>3046.641421</v>
      </c>
      <c r="C341" s="200">
        <f>'Deal Analysis'!$D$24/12*E340</f>
        <v>-1253.313755</v>
      </c>
      <c r="D341" s="200">
        <f t="shared" si="1"/>
        <v>4299.955176</v>
      </c>
      <c r="E341" s="200">
        <f t="shared" si="2"/>
        <v>-171408.4558</v>
      </c>
      <c r="F341" s="1"/>
      <c r="G341" s="199">
        <v>338.0</v>
      </c>
      <c r="H341" s="200">
        <f>if(AND('Deal Analysis'!$D$37*12&lt;G341,'Deal Analysis'!$D$37&gt;0),0,H340)</f>
        <v>333.3333333</v>
      </c>
      <c r="I341" s="200">
        <f>if(H341&gt;0,'Deal Analysis'!$D$35/12*K340,0)</f>
        <v>333.3333333</v>
      </c>
      <c r="J341" s="200">
        <f t="shared" si="3"/>
        <v>0</v>
      </c>
      <c r="K341" s="200">
        <f>if(AND('Deal Analysis'!$D$37*12&lt;G341,'Deal Analysis'!$D$37&gt;0),0,K340-J341)</f>
        <v>50000</v>
      </c>
      <c r="L341" s="1"/>
      <c r="M341" s="199">
        <v>338.0</v>
      </c>
      <c r="N341" s="200">
        <f>if('Deal Analysis'!D379="Yes",'Deal Analysis'!D386,0)</f>
        <v>0</v>
      </c>
      <c r="O341" s="200">
        <f t="shared" si="4"/>
        <v>0</v>
      </c>
      <c r="P341" s="200">
        <f t="shared" si="5"/>
        <v>0</v>
      </c>
      <c r="Q341" s="200">
        <f>if(AND('Deal Analysis'!$D$47*12&lt;M341,'Deal Analysis'!$D$47&gt;0),0,Q340-P341)</f>
        <v>0</v>
      </c>
      <c r="R341" s="1"/>
      <c r="S341" s="1"/>
      <c r="T341" s="1"/>
      <c r="U341" s="1"/>
      <c r="V341" s="1"/>
      <c r="W341" s="1"/>
      <c r="X341" s="1"/>
      <c r="Y341" s="1"/>
      <c r="Z341" s="1"/>
      <c r="AA341" s="1"/>
    </row>
    <row r="342">
      <c r="A342" s="199">
        <v>339.0</v>
      </c>
      <c r="B342" s="200">
        <f t="shared" si="6"/>
        <v>3046.641421</v>
      </c>
      <c r="C342" s="200">
        <f>'Deal Analysis'!$D$24/12*E341</f>
        <v>-1285.563419</v>
      </c>
      <c r="D342" s="200">
        <f t="shared" si="1"/>
        <v>4332.20484</v>
      </c>
      <c r="E342" s="200">
        <f t="shared" si="2"/>
        <v>-175740.6607</v>
      </c>
      <c r="F342" s="1"/>
      <c r="G342" s="199">
        <v>339.0</v>
      </c>
      <c r="H342" s="200">
        <f>if(AND('Deal Analysis'!$D$37*12&lt;G342,'Deal Analysis'!$D$37&gt;0),0,H341)</f>
        <v>333.3333333</v>
      </c>
      <c r="I342" s="200">
        <f>if(H342&gt;0,'Deal Analysis'!$D$35/12*K341,0)</f>
        <v>333.3333333</v>
      </c>
      <c r="J342" s="200">
        <f t="shared" si="3"/>
        <v>0</v>
      </c>
      <c r="K342" s="200">
        <f>if(AND('Deal Analysis'!$D$37*12&lt;G342,'Deal Analysis'!$D$37&gt;0),0,K341-J342)</f>
        <v>50000</v>
      </c>
      <c r="L342" s="1"/>
      <c r="M342" s="199">
        <v>339.0</v>
      </c>
      <c r="N342" s="200">
        <f>if('Deal Analysis'!D380="Yes",'Deal Analysis'!D387,0)</f>
        <v>0</v>
      </c>
      <c r="O342" s="200">
        <f t="shared" si="4"/>
        <v>0</v>
      </c>
      <c r="P342" s="200">
        <f t="shared" si="5"/>
        <v>0</v>
      </c>
      <c r="Q342" s="200">
        <f>if(AND('Deal Analysis'!$D$47*12&lt;M342,'Deal Analysis'!$D$47&gt;0),0,Q341-P342)</f>
        <v>0</v>
      </c>
      <c r="R342" s="1"/>
      <c r="S342" s="1"/>
      <c r="T342" s="1"/>
      <c r="U342" s="1"/>
      <c r="V342" s="1"/>
      <c r="W342" s="1"/>
      <c r="X342" s="1"/>
      <c r="Y342" s="1"/>
      <c r="Z342" s="1"/>
      <c r="AA342" s="1"/>
    </row>
    <row r="343">
      <c r="A343" s="199">
        <v>340.0</v>
      </c>
      <c r="B343" s="200">
        <f t="shared" si="6"/>
        <v>3046.641421</v>
      </c>
      <c r="C343" s="200">
        <f>'Deal Analysis'!$D$24/12*E342</f>
        <v>-1318.054955</v>
      </c>
      <c r="D343" s="200">
        <f t="shared" si="1"/>
        <v>4364.696376</v>
      </c>
      <c r="E343" s="200">
        <f t="shared" si="2"/>
        <v>-180105.357</v>
      </c>
      <c r="F343" s="1"/>
      <c r="G343" s="199">
        <v>340.0</v>
      </c>
      <c r="H343" s="200">
        <f>if(AND('Deal Analysis'!$D$37*12&lt;G343,'Deal Analysis'!$D$37&gt;0),0,H342)</f>
        <v>333.3333333</v>
      </c>
      <c r="I343" s="200">
        <f>if(H343&gt;0,'Deal Analysis'!$D$35/12*K342,0)</f>
        <v>333.3333333</v>
      </c>
      <c r="J343" s="200">
        <f t="shared" si="3"/>
        <v>0</v>
      </c>
      <c r="K343" s="200">
        <f>if(AND('Deal Analysis'!$D$37*12&lt;G343,'Deal Analysis'!$D$37&gt;0),0,K342-J343)</f>
        <v>50000</v>
      </c>
      <c r="L343" s="1"/>
      <c r="M343" s="199">
        <v>340.0</v>
      </c>
      <c r="N343" s="200">
        <f>if('Deal Analysis'!D381="Yes",'Deal Analysis'!D388,0)</f>
        <v>0</v>
      </c>
      <c r="O343" s="200">
        <f t="shared" si="4"/>
        <v>0</v>
      </c>
      <c r="P343" s="200">
        <f t="shared" si="5"/>
        <v>0</v>
      </c>
      <c r="Q343" s="200">
        <f>if(AND('Deal Analysis'!$D$47*12&lt;M343,'Deal Analysis'!$D$47&gt;0),0,Q342-P343)</f>
        <v>0</v>
      </c>
      <c r="R343" s="1"/>
      <c r="S343" s="1"/>
      <c r="T343" s="1"/>
      <c r="U343" s="1"/>
      <c r="V343" s="1"/>
      <c r="W343" s="1"/>
      <c r="X343" s="1"/>
      <c r="Y343" s="1"/>
      <c r="Z343" s="1"/>
      <c r="AA343" s="1"/>
    </row>
    <row r="344">
      <c r="A344" s="199">
        <v>341.0</v>
      </c>
      <c r="B344" s="200">
        <f t="shared" si="6"/>
        <v>3046.641421</v>
      </c>
      <c r="C344" s="200">
        <f>'Deal Analysis'!$D$24/12*E343</f>
        <v>-1350.790178</v>
      </c>
      <c r="D344" s="200">
        <f t="shared" si="1"/>
        <v>4397.431599</v>
      </c>
      <c r="E344" s="200">
        <f t="shared" si="2"/>
        <v>-184502.7886</v>
      </c>
      <c r="F344" s="1"/>
      <c r="G344" s="199">
        <v>341.0</v>
      </c>
      <c r="H344" s="200">
        <f>if(AND('Deal Analysis'!$D$37*12&lt;G344,'Deal Analysis'!$D$37&gt;0),0,H343)</f>
        <v>333.3333333</v>
      </c>
      <c r="I344" s="200">
        <f>if(H344&gt;0,'Deal Analysis'!$D$35/12*K343,0)</f>
        <v>333.3333333</v>
      </c>
      <c r="J344" s="200">
        <f t="shared" si="3"/>
        <v>0</v>
      </c>
      <c r="K344" s="200">
        <f>if(AND('Deal Analysis'!$D$37*12&lt;G344,'Deal Analysis'!$D$37&gt;0),0,K343-J344)</f>
        <v>50000</v>
      </c>
      <c r="L344" s="1"/>
      <c r="M344" s="199">
        <v>341.0</v>
      </c>
      <c r="N344" s="200">
        <f>if('Deal Analysis'!D382="Yes",'Deal Analysis'!D389,0)</f>
        <v>0</v>
      </c>
      <c r="O344" s="200">
        <f t="shared" si="4"/>
        <v>0</v>
      </c>
      <c r="P344" s="200">
        <f t="shared" si="5"/>
        <v>0</v>
      </c>
      <c r="Q344" s="200">
        <f>if(AND('Deal Analysis'!$D$47*12&lt;M344,'Deal Analysis'!$D$47&gt;0),0,Q343-P344)</f>
        <v>0</v>
      </c>
      <c r="R344" s="1"/>
      <c r="S344" s="1"/>
      <c r="T344" s="1"/>
      <c r="U344" s="1"/>
      <c r="V344" s="1"/>
      <c r="W344" s="1"/>
      <c r="X344" s="1"/>
      <c r="Y344" s="1"/>
      <c r="Z344" s="1"/>
      <c r="AA344" s="1"/>
    </row>
    <row r="345">
      <c r="A345" s="199">
        <v>342.0</v>
      </c>
      <c r="B345" s="200">
        <f t="shared" si="6"/>
        <v>3046.641421</v>
      </c>
      <c r="C345" s="200">
        <f>'Deal Analysis'!$D$24/12*E344</f>
        <v>-1383.770915</v>
      </c>
      <c r="D345" s="200">
        <f t="shared" si="1"/>
        <v>4430.412336</v>
      </c>
      <c r="E345" s="200">
        <f t="shared" si="2"/>
        <v>-188933.201</v>
      </c>
      <c r="F345" s="1"/>
      <c r="G345" s="199">
        <v>342.0</v>
      </c>
      <c r="H345" s="200">
        <f>if(AND('Deal Analysis'!$D$37*12&lt;G345,'Deal Analysis'!$D$37&gt;0),0,H344)</f>
        <v>333.3333333</v>
      </c>
      <c r="I345" s="200">
        <f>if(H345&gt;0,'Deal Analysis'!$D$35/12*K344,0)</f>
        <v>333.3333333</v>
      </c>
      <c r="J345" s="200">
        <f t="shared" si="3"/>
        <v>0</v>
      </c>
      <c r="K345" s="200">
        <f>if(AND('Deal Analysis'!$D$37*12&lt;G345,'Deal Analysis'!$D$37&gt;0),0,K344-J345)</f>
        <v>50000</v>
      </c>
      <c r="L345" s="1"/>
      <c r="M345" s="199">
        <v>342.0</v>
      </c>
      <c r="N345" s="200">
        <f>if('Deal Analysis'!D383="Yes",'Deal Analysis'!D390,0)</f>
        <v>0</v>
      </c>
      <c r="O345" s="200">
        <f t="shared" si="4"/>
        <v>0</v>
      </c>
      <c r="P345" s="200">
        <f t="shared" si="5"/>
        <v>0</v>
      </c>
      <c r="Q345" s="200">
        <f>if(AND('Deal Analysis'!$D$47*12&lt;M345,'Deal Analysis'!$D$47&gt;0),0,Q344-P345)</f>
        <v>0</v>
      </c>
      <c r="R345" s="1"/>
      <c r="S345" s="1"/>
      <c r="T345" s="1"/>
      <c r="U345" s="1"/>
      <c r="V345" s="1"/>
      <c r="W345" s="1"/>
      <c r="X345" s="1"/>
      <c r="Y345" s="1"/>
      <c r="Z345" s="1"/>
      <c r="AA345" s="1"/>
    </row>
    <row r="346">
      <c r="A346" s="199">
        <v>343.0</v>
      </c>
      <c r="B346" s="200">
        <f t="shared" si="6"/>
        <v>3046.641421</v>
      </c>
      <c r="C346" s="200">
        <f>'Deal Analysis'!$D$24/12*E345</f>
        <v>-1416.999007</v>
      </c>
      <c r="D346" s="200">
        <f t="shared" si="1"/>
        <v>4463.640428</v>
      </c>
      <c r="E346" s="200">
        <f t="shared" si="2"/>
        <v>-193396.8414</v>
      </c>
      <c r="F346" s="1"/>
      <c r="G346" s="199">
        <v>343.0</v>
      </c>
      <c r="H346" s="200">
        <f>if(AND('Deal Analysis'!$D$37*12&lt;G346,'Deal Analysis'!$D$37&gt;0),0,H345)</f>
        <v>333.3333333</v>
      </c>
      <c r="I346" s="200">
        <f>if(H346&gt;0,'Deal Analysis'!$D$35/12*K345,0)</f>
        <v>333.3333333</v>
      </c>
      <c r="J346" s="200">
        <f t="shared" si="3"/>
        <v>0</v>
      </c>
      <c r="K346" s="200">
        <f>if(AND('Deal Analysis'!$D$37*12&lt;G346,'Deal Analysis'!$D$37&gt;0),0,K345-J346)</f>
        <v>50000</v>
      </c>
      <c r="L346" s="1"/>
      <c r="M346" s="199">
        <v>343.0</v>
      </c>
      <c r="N346" s="200">
        <f>if('Deal Analysis'!D384="Yes",'Deal Analysis'!D391,0)</f>
        <v>0</v>
      </c>
      <c r="O346" s="200">
        <f t="shared" si="4"/>
        <v>0</v>
      </c>
      <c r="P346" s="200">
        <f t="shared" si="5"/>
        <v>0</v>
      </c>
      <c r="Q346" s="200">
        <f>if(AND('Deal Analysis'!$D$47*12&lt;M346,'Deal Analysis'!$D$47&gt;0),0,Q345-P346)</f>
        <v>0</v>
      </c>
      <c r="R346" s="1"/>
      <c r="S346" s="1"/>
      <c r="T346" s="1"/>
      <c r="U346" s="1"/>
      <c r="V346" s="1"/>
      <c r="W346" s="1"/>
      <c r="X346" s="1"/>
      <c r="Y346" s="1"/>
      <c r="Z346" s="1"/>
      <c r="AA346" s="1"/>
    </row>
    <row r="347">
      <c r="A347" s="199">
        <v>344.0</v>
      </c>
      <c r="B347" s="200">
        <f t="shared" si="6"/>
        <v>3046.641421</v>
      </c>
      <c r="C347" s="200">
        <f>'Deal Analysis'!$D$24/12*E346</f>
        <v>-1450.476311</v>
      </c>
      <c r="D347" s="200">
        <f t="shared" si="1"/>
        <v>4497.117732</v>
      </c>
      <c r="E347" s="200">
        <f t="shared" si="2"/>
        <v>-197893.9591</v>
      </c>
      <c r="F347" s="1"/>
      <c r="G347" s="199">
        <v>344.0</v>
      </c>
      <c r="H347" s="200">
        <f>if(AND('Deal Analysis'!$D$37*12&lt;G347,'Deal Analysis'!$D$37&gt;0),0,H346)</f>
        <v>333.3333333</v>
      </c>
      <c r="I347" s="200">
        <f>if(H347&gt;0,'Deal Analysis'!$D$35/12*K346,0)</f>
        <v>333.3333333</v>
      </c>
      <c r="J347" s="200">
        <f t="shared" si="3"/>
        <v>0</v>
      </c>
      <c r="K347" s="200">
        <f>if(AND('Deal Analysis'!$D$37*12&lt;G347,'Deal Analysis'!$D$37&gt;0),0,K346-J347)</f>
        <v>50000</v>
      </c>
      <c r="L347" s="1"/>
      <c r="M347" s="199">
        <v>344.0</v>
      </c>
      <c r="N347" s="200">
        <f>if('Deal Analysis'!D385="Yes",'Deal Analysis'!D392,0)</f>
        <v>0</v>
      </c>
      <c r="O347" s="200">
        <f t="shared" si="4"/>
        <v>0</v>
      </c>
      <c r="P347" s="200">
        <f t="shared" si="5"/>
        <v>0</v>
      </c>
      <c r="Q347" s="200">
        <f>if(AND('Deal Analysis'!$D$47*12&lt;M347,'Deal Analysis'!$D$47&gt;0),0,Q346-P347)</f>
        <v>0</v>
      </c>
      <c r="R347" s="1"/>
      <c r="S347" s="1"/>
      <c r="T347" s="1"/>
      <c r="U347" s="1"/>
      <c r="V347" s="1"/>
      <c r="W347" s="1"/>
      <c r="X347" s="1"/>
      <c r="Y347" s="1"/>
      <c r="Z347" s="1"/>
      <c r="AA347" s="1"/>
    </row>
    <row r="348">
      <c r="A348" s="199">
        <v>345.0</v>
      </c>
      <c r="B348" s="200">
        <f t="shared" si="6"/>
        <v>3046.641421</v>
      </c>
      <c r="C348" s="200">
        <f>'Deal Analysis'!$D$24/12*E347</f>
        <v>-1484.204694</v>
      </c>
      <c r="D348" s="200">
        <f t="shared" si="1"/>
        <v>4530.846115</v>
      </c>
      <c r="E348" s="200">
        <f t="shared" si="2"/>
        <v>-202424.8053</v>
      </c>
      <c r="F348" s="1"/>
      <c r="G348" s="199">
        <v>345.0</v>
      </c>
      <c r="H348" s="200">
        <f>if(AND('Deal Analysis'!$D$37*12&lt;G348,'Deal Analysis'!$D$37&gt;0),0,H347)</f>
        <v>333.3333333</v>
      </c>
      <c r="I348" s="200">
        <f>if(H348&gt;0,'Deal Analysis'!$D$35/12*K347,0)</f>
        <v>333.3333333</v>
      </c>
      <c r="J348" s="200">
        <f t="shared" si="3"/>
        <v>0</v>
      </c>
      <c r="K348" s="200">
        <f>if(AND('Deal Analysis'!$D$37*12&lt;G348,'Deal Analysis'!$D$37&gt;0),0,K347-J348)</f>
        <v>50000</v>
      </c>
      <c r="L348" s="1"/>
      <c r="M348" s="199">
        <v>345.0</v>
      </c>
      <c r="N348" s="200">
        <f>if('Deal Analysis'!D386="Yes",'Deal Analysis'!D393,0)</f>
        <v>0</v>
      </c>
      <c r="O348" s="200">
        <f t="shared" si="4"/>
        <v>0</v>
      </c>
      <c r="P348" s="200">
        <f t="shared" si="5"/>
        <v>0</v>
      </c>
      <c r="Q348" s="200">
        <f>if(AND('Deal Analysis'!$D$47*12&lt;M348,'Deal Analysis'!$D$47&gt;0),0,Q347-P348)</f>
        <v>0</v>
      </c>
      <c r="R348" s="1"/>
      <c r="S348" s="1"/>
      <c r="T348" s="1"/>
      <c r="U348" s="1"/>
      <c r="V348" s="1"/>
      <c r="W348" s="1"/>
      <c r="X348" s="1"/>
      <c r="Y348" s="1"/>
      <c r="Z348" s="1"/>
      <c r="AA348" s="1"/>
    </row>
    <row r="349">
      <c r="A349" s="199">
        <v>346.0</v>
      </c>
      <c r="B349" s="200">
        <f t="shared" si="6"/>
        <v>3046.641421</v>
      </c>
      <c r="C349" s="200">
        <f>'Deal Analysis'!$D$24/12*E348</f>
        <v>-1518.186039</v>
      </c>
      <c r="D349" s="200">
        <f t="shared" si="1"/>
        <v>4564.82746</v>
      </c>
      <c r="E349" s="200">
        <f t="shared" si="2"/>
        <v>-206989.6327</v>
      </c>
      <c r="F349" s="1"/>
      <c r="G349" s="199">
        <v>346.0</v>
      </c>
      <c r="H349" s="200">
        <f>if(AND('Deal Analysis'!$D$37*12&lt;G349,'Deal Analysis'!$D$37&gt;0),0,H348)</f>
        <v>333.3333333</v>
      </c>
      <c r="I349" s="200">
        <f>if(H349&gt;0,'Deal Analysis'!$D$35/12*K348,0)</f>
        <v>333.3333333</v>
      </c>
      <c r="J349" s="200">
        <f t="shared" si="3"/>
        <v>0</v>
      </c>
      <c r="K349" s="200">
        <f>if(AND('Deal Analysis'!$D$37*12&lt;G349,'Deal Analysis'!$D$37&gt;0),0,K348-J349)</f>
        <v>50000</v>
      </c>
      <c r="L349" s="1"/>
      <c r="M349" s="199">
        <v>346.0</v>
      </c>
      <c r="N349" s="200">
        <f>if('Deal Analysis'!D387="Yes",'Deal Analysis'!D394,0)</f>
        <v>0</v>
      </c>
      <c r="O349" s="200">
        <f t="shared" si="4"/>
        <v>0</v>
      </c>
      <c r="P349" s="200">
        <f t="shared" si="5"/>
        <v>0</v>
      </c>
      <c r="Q349" s="200">
        <f>if(AND('Deal Analysis'!$D$47*12&lt;M349,'Deal Analysis'!$D$47&gt;0),0,Q348-P349)</f>
        <v>0</v>
      </c>
      <c r="R349" s="1"/>
      <c r="S349" s="1"/>
      <c r="T349" s="1"/>
      <c r="U349" s="1"/>
      <c r="V349" s="1"/>
      <c r="W349" s="1"/>
      <c r="X349" s="1"/>
      <c r="Y349" s="1"/>
      <c r="Z349" s="1"/>
      <c r="AA349" s="1"/>
    </row>
    <row r="350">
      <c r="A350" s="199">
        <v>347.0</v>
      </c>
      <c r="B350" s="200">
        <f t="shared" si="6"/>
        <v>3046.641421</v>
      </c>
      <c r="C350" s="200">
        <f>'Deal Analysis'!$D$24/12*E349</f>
        <v>-1552.422245</v>
      </c>
      <c r="D350" s="200">
        <f t="shared" si="1"/>
        <v>4599.063666</v>
      </c>
      <c r="E350" s="200">
        <f t="shared" si="2"/>
        <v>-211588.6964</v>
      </c>
      <c r="F350" s="1"/>
      <c r="G350" s="199">
        <v>347.0</v>
      </c>
      <c r="H350" s="200">
        <f>if(AND('Deal Analysis'!$D$37*12&lt;G350,'Deal Analysis'!$D$37&gt;0),0,H349)</f>
        <v>333.3333333</v>
      </c>
      <c r="I350" s="200">
        <f>if(H350&gt;0,'Deal Analysis'!$D$35/12*K349,0)</f>
        <v>333.3333333</v>
      </c>
      <c r="J350" s="200">
        <f t="shared" si="3"/>
        <v>0</v>
      </c>
      <c r="K350" s="200">
        <f>if(AND('Deal Analysis'!$D$37*12&lt;G350,'Deal Analysis'!$D$37&gt;0),0,K349-J350)</f>
        <v>50000</v>
      </c>
      <c r="L350" s="1"/>
      <c r="M350" s="199">
        <v>347.0</v>
      </c>
      <c r="N350" s="200">
        <f>if('Deal Analysis'!D388="Yes",'Deal Analysis'!D395,0)</f>
        <v>0</v>
      </c>
      <c r="O350" s="200">
        <f t="shared" si="4"/>
        <v>0</v>
      </c>
      <c r="P350" s="200">
        <f t="shared" si="5"/>
        <v>0</v>
      </c>
      <c r="Q350" s="200">
        <f>if(AND('Deal Analysis'!$D$47*12&lt;M350,'Deal Analysis'!$D$47&gt;0),0,Q349-P350)</f>
        <v>0</v>
      </c>
      <c r="R350" s="1"/>
      <c r="S350" s="1"/>
      <c r="T350" s="1"/>
      <c r="U350" s="1"/>
      <c r="V350" s="1"/>
      <c r="W350" s="1"/>
      <c r="X350" s="1"/>
      <c r="Y350" s="1"/>
      <c r="Z350" s="1"/>
      <c r="AA350" s="1"/>
    </row>
    <row r="351">
      <c r="A351" s="199">
        <v>348.0</v>
      </c>
      <c r="B351" s="200">
        <f t="shared" si="6"/>
        <v>3046.641421</v>
      </c>
      <c r="C351" s="200">
        <f>'Deal Analysis'!$D$24/12*E350</f>
        <v>-1586.915223</v>
      </c>
      <c r="D351" s="200">
        <f t="shared" si="1"/>
        <v>4633.556644</v>
      </c>
      <c r="E351" s="200">
        <f t="shared" si="2"/>
        <v>-216222.253</v>
      </c>
      <c r="F351" s="1"/>
      <c r="G351" s="199">
        <v>348.0</v>
      </c>
      <c r="H351" s="200">
        <f>if(AND('Deal Analysis'!$D$37*12&lt;G351,'Deal Analysis'!$D$37&gt;0),0,H350)</f>
        <v>333.3333333</v>
      </c>
      <c r="I351" s="200">
        <f>if(H351&gt;0,'Deal Analysis'!$D$35/12*K350,0)</f>
        <v>333.3333333</v>
      </c>
      <c r="J351" s="200">
        <f t="shared" si="3"/>
        <v>0</v>
      </c>
      <c r="K351" s="200">
        <f>if(AND('Deal Analysis'!$D$37*12&lt;G351,'Deal Analysis'!$D$37&gt;0),0,K350-J351)</f>
        <v>50000</v>
      </c>
      <c r="L351" s="1"/>
      <c r="M351" s="199">
        <v>348.0</v>
      </c>
      <c r="N351" s="200">
        <f>if('Deal Analysis'!D389="Yes",'Deal Analysis'!D396,0)</f>
        <v>0</v>
      </c>
      <c r="O351" s="200">
        <f t="shared" si="4"/>
        <v>0</v>
      </c>
      <c r="P351" s="200">
        <f t="shared" si="5"/>
        <v>0</v>
      </c>
      <c r="Q351" s="200">
        <f>if(AND('Deal Analysis'!$D$47*12&lt;M351,'Deal Analysis'!$D$47&gt;0),0,Q350-P351)</f>
        <v>0</v>
      </c>
      <c r="R351" s="1"/>
      <c r="S351" s="1"/>
      <c r="T351" s="1"/>
      <c r="U351" s="1"/>
      <c r="V351" s="1"/>
      <c r="W351" s="1"/>
      <c r="X351" s="1"/>
      <c r="Y351" s="1"/>
      <c r="Z351" s="1"/>
      <c r="AA351" s="1"/>
    </row>
    <row r="352">
      <c r="A352" s="199">
        <v>349.0</v>
      </c>
      <c r="B352" s="200">
        <f t="shared" si="6"/>
        <v>3046.641421</v>
      </c>
      <c r="C352" s="200">
        <f>'Deal Analysis'!$D$24/12*E351</f>
        <v>-1621.666898</v>
      </c>
      <c r="D352" s="200">
        <f t="shared" si="1"/>
        <v>4668.308319</v>
      </c>
      <c r="E352" s="200">
        <f t="shared" si="2"/>
        <v>-220890.5613</v>
      </c>
      <c r="F352" s="1"/>
      <c r="G352" s="199">
        <v>349.0</v>
      </c>
      <c r="H352" s="200">
        <f>if(AND('Deal Analysis'!$D$37*12&lt;G352,'Deal Analysis'!$D$37&gt;0),0,H351)</f>
        <v>333.3333333</v>
      </c>
      <c r="I352" s="200">
        <f>if(H352&gt;0,'Deal Analysis'!$D$35/12*K351,0)</f>
        <v>333.3333333</v>
      </c>
      <c r="J352" s="200">
        <f t="shared" si="3"/>
        <v>0</v>
      </c>
      <c r="K352" s="200">
        <f>if(AND('Deal Analysis'!$D$37*12&lt;G352,'Deal Analysis'!$D$37&gt;0),0,K351-J352)</f>
        <v>50000</v>
      </c>
      <c r="L352" s="1"/>
      <c r="M352" s="199">
        <v>349.0</v>
      </c>
      <c r="N352" s="200">
        <f>if('Deal Analysis'!D390="Yes",'Deal Analysis'!D397,0)</f>
        <v>0</v>
      </c>
      <c r="O352" s="200">
        <f t="shared" si="4"/>
        <v>0</v>
      </c>
      <c r="P352" s="200">
        <f t="shared" si="5"/>
        <v>0</v>
      </c>
      <c r="Q352" s="200">
        <f>if(AND('Deal Analysis'!$D$47*12&lt;M352,'Deal Analysis'!$D$47&gt;0),0,Q351-P352)</f>
        <v>0</v>
      </c>
      <c r="R352" s="1"/>
      <c r="S352" s="1"/>
      <c r="T352" s="1"/>
      <c r="U352" s="1"/>
      <c r="V352" s="1"/>
      <c r="W352" s="1"/>
      <c r="X352" s="1"/>
      <c r="Y352" s="1"/>
      <c r="Z352" s="1"/>
      <c r="AA352" s="1"/>
    </row>
    <row r="353">
      <c r="A353" s="199">
        <v>350.0</v>
      </c>
      <c r="B353" s="200">
        <f t="shared" si="6"/>
        <v>3046.641421</v>
      </c>
      <c r="C353" s="200">
        <f>'Deal Analysis'!$D$24/12*E352</f>
        <v>-1656.67921</v>
      </c>
      <c r="D353" s="200">
        <f t="shared" si="1"/>
        <v>4703.320631</v>
      </c>
      <c r="E353" s="200">
        <f t="shared" si="2"/>
        <v>-225593.882</v>
      </c>
      <c r="F353" s="1"/>
      <c r="G353" s="199">
        <v>350.0</v>
      </c>
      <c r="H353" s="200">
        <f>if(AND('Deal Analysis'!$D$37*12&lt;G353,'Deal Analysis'!$D$37&gt;0),0,H352)</f>
        <v>333.3333333</v>
      </c>
      <c r="I353" s="200">
        <f>if(H353&gt;0,'Deal Analysis'!$D$35/12*K352,0)</f>
        <v>333.3333333</v>
      </c>
      <c r="J353" s="200">
        <f t="shared" si="3"/>
        <v>0</v>
      </c>
      <c r="K353" s="200">
        <f>if(AND('Deal Analysis'!$D$37*12&lt;G353,'Deal Analysis'!$D$37&gt;0),0,K352-J353)</f>
        <v>50000</v>
      </c>
      <c r="L353" s="1"/>
      <c r="M353" s="199">
        <v>350.0</v>
      </c>
      <c r="N353" s="200">
        <f>if('Deal Analysis'!D391="Yes",'Deal Analysis'!D398,0)</f>
        <v>0</v>
      </c>
      <c r="O353" s="200">
        <f t="shared" si="4"/>
        <v>0</v>
      </c>
      <c r="P353" s="200">
        <f t="shared" si="5"/>
        <v>0</v>
      </c>
      <c r="Q353" s="200">
        <f>if(AND('Deal Analysis'!$D$47*12&lt;M353,'Deal Analysis'!$D$47&gt;0),0,Q352-P353)</f>
        <v>0</v>
      </c>
      <c r="R353" s="1"/>
      <c r="S353" s="1"/>
      <c r="T353" s="1"/>
      <c r="U353" s="1"/>
      <c r="V353" s="1"/>
      <c r="W353" s="1"/>
      <c r="X353" s="1"/>
      <c r="Y353" s="1"/>
      <c r="Z353" s="1"/>
      <c r="AA353" s="1"/>
    </row>
    <row r="354">
      <c r="A354" s="199">
        <v>351.0</v>
      </c>
      <c r="B354" s="200">
        <f t="shared" si="6"/>
        <v>3046.641421</v>
      </c>
      <c r="C354" s="200">
        <f>'Deal Analysis'!$D$24/12*E353</f>
        <v>-1691.954115</v>
      </c>
      <c r="D354" s="200">
        <f t="shared" si="1"/>
        <v>4738.595536</v>
      </c>
      <c r="E354" s="200">
        <f t="shared" si="2"/>
        <v>-230332.4775</v>
      </c>
      <c r="F354" s="1"/>
      <c r="G354" s="199">
        <v>351.0</v>
      </c>
      <c r="H354" s="200">
        <f>if(AND('Deal Analysis'!$D$37*12&lt;G354,'Deal Analysis'!$D$37&gt;0),0,H353)</f>
        <v>333.3333333</v>
      </c>
      <c r="I354" s="200">
        <f>if(H354&gt;0,'Deal Analysis'!$D$35/12*K353,0)</f>
        <v>333.3333333</v>
      </c>
      <c r="J354" s="200">
        <f t="shared" si="3"/>
        <v>0</v>
      </c>
      <c r="K354" s="200">
        <f>if(AND('Deal Analysis'!$D$37*12&lt;G354,'Deal Analysis'!$D$37&gt;0),0,K353-J354)</f>
        <v>50000</v>
      </c>
      <c r="L354" s="1"/>
      <c r="M354" s="199">
        <v>351.0</v>
      </c>
      <c r="N354" s="200">
        <f>if('Deal Analysis'!D392="Yes",'Deal Analysis'!D399,0)</f>
        <v>0</v>
      </c>
      <c r="O354" s="200">
        <f t="shared" si="4"/>
        <v>0</v>
      </c>
      <c r="P354" s="200">
        <f t="shared" si="5"/>
        <v>0</v>
      </c>
      <c r="Q354" s="200">
        <f>if(AND('Deal Analysis'!$D$47*12&lt;M354,'Deal Analysis'!$D$47&gt;0),0,Q353-P354)</f>
        <v>0</v>
      </c>
      <c r="R354" s="1"/>
      <c r="S354" s="1"/>
      <c r="T354" s="1"/>
      <c r="U354" s="1"/>
      <c r="V354" s="1"/>
      <c r="W354" s="1"/>
      <c r="X354" s="1"/>
      <c r="Y354" s="1"/>
      <c r="Z354" s="1"/>
      <c r="AA354" s="1"/>
    </row>
    <row r="355">
      <c r="A355" s="199">
        <v>352.0</v>
      </c>
      <c r="B355" s="200">
        <f t="shared" si="6"/>
        <v>3046.641421</v>
      </c>
      <c r="C355" s="200">
        <f>'Deal Analysis'!$D$24/12*E354</f>
        <v>-1727.493581</v>
      </c>
      <c r="D355" s="200">
        <f t="shared" si="1"/>
        <v>4774.135002</v>
      </c>
      <c r="E355" s="200">
        <f t="shared" si="2"/>
        <v>-235106.6125</v>
      </c>
      <c r="F355" s="1"/>
      <c r="G355" s="199">
        <v>352.0</v>
      </c>
      <c r="H355" s="200">
        <f>if(AND('Deal Analysis'!$D$37*12&lt;G355,'Deal Analysis'!$D$37&gt;0),0,H354)</f>
        <v>333.3333333</v>
      </c>
      <c r="I355" s="200">
        <f>if(H355&gt;0,'Deal Analysis'!$D$35/12*K354,0)</f>
        <v>333.3333333</v>
      </c>
      <c r="J355" s="200">
        <f t="shared" si="3"/>
        <v>0</v>
      </c>
      <c r="K355" s="200">
        <f>if(AND('Deal Analysis'!$D$37*12&lt;G355,'Deal Analysis'!$D$37&gt;0),0,K354-J355)</f>
        <v>50000</v>
      </c>
      <c r="L355" s="1"/>
      <c r="M355" s="199">
        <v>352.0</v>
      </c>
      <c r="N355" s="200">
        <f>if('Deal Analysis'!D393="Yes",'Deal Analysis'!D400,0)</f>
        <v>0</v>
      </c>
      <c r="O355" s="200">
        <f t="shared" si="4"/>
        <v>0</v>
      </c>
      <c r="P355" s="200">
        <f t="shared" si="5"/>
        <v>0</v>
      </c>
      <c r="Q355" s="200">
        <f>if(AND('Deal Analysis'!$D$47*12&lt;M355,'Deal Analysis'!$D$47&gt;0),0,Q354-P355)</f>
        <v>0</v>
      </c>
      <c r="R355" s="1"/>
      <c r="S355" s="1"/>
      <c r="T355" s="1"/>
      <c r="U355" s="1"/>
      <c r="V355" s="1"/>
      <c r="W355" s="1"/>
      <c r="X355" s="1"/>
      <c r="Y355" s="1"/>
      <c r="Z355" s="1"/>
      <c r="AA355" s="1"/>
    </row>
    <row r="356">
      <c r="A356" s="199">
        <v>353.0</v>
      </c>
      <c r="B356" s="200">
        <f t="shared" si="6"/>
        <v>3046.641421</v>
      </c>
      <c r="C356" s="200">
        <f>'Deal Analysis'!$D$24/12*E355</f>
        <v>-1763.299594</v>
      </c>
      <c r="D356" s="200">
        <f t="shared" si="1"/>
        <v>4809.941015</v>
      </c>
      <c r="E356" s="200">
        <f t="shared" si="2"/>
        <v>-239916.5535</v>
      </c>
      <c r="F356" s="1"/>
      <c r="G356" s="199">
        <v>353.0</v>
      </c>
      <c r="H356" s="200">
        <f>if(AND('Deal Analysis'!$D$37*12&lt;G356,'Deal Analysis'!$D$37&gt;0),0,H355)</f>
        <v>333.3333333</v>
      </c>
      <c r="I356" s="200">
        <f>if(H356&gt;0,'Deal Analysis'!$D$35/12*K355,0)</f>
        <v>333.3333333</v>
      </c>
      <c r="J356" s="200">
        <f t="shared" si="3"/>
        <v>0</v>
      </c>
      <c r="K356" s="200">
        <f>if(AND('Deal Analysis'!$D$37*12&lt;G356,'Deal Analysis'!$D$37&gt;0),0,K355-J356)</f>
        <v>50000</v>
      </c>
      <c r="L356" s="1"/>
      <c r="M356" s="199">
        <v>353.0</v>
      </c>
      <c r="N356" s="200">
        <f>if('Deal Analysis'!D394="Yes",'Deal Analysis'!D401,0)</f>
        <v>0</v>
      </c>
      <c r="O356" s="200">
        <f t="shared" si="4"/>
        <v>0</v>
      </c>
      <c r="P356" s="200">
        <f t="shared" si="5"/>
        <v>0</v>
      </c>
      <c r="Q356" s="200">
        <f>if(AND('Deal Analysis'!$D$47*12&lt;M356,'Deal Analysis'!$D$47&gt;0),0,Q355-P356)</f>
        <v>0</v>
      </c>
      <c r="R356" s="1"/>
      <c r="S356" s="1"/>
      <c r="T356" s="1"/>
      <c r="U356" s="1"/>
      <c r="V356" s="1"/>
      <c r="W356" s="1"/>
      <c r="X356" s="1"/>
      <c r="Y356" s="1"/>
      <c r="Z356" s="1"/>
      <c r="AA356" s="1"/>
    </row>
    <row r="357">
      <c r="A357" s="199">
        <v>354.0</v>
      </c>
      <c r="B357" s="200">
        <f t="shared" si="6"/>
        <v>3046.641421</v>
      </c>
      <c r="C357" s="200">
        <f>'Deal Analysis'!$D$24/12*E356</f>
        <v>-1799.374151</v>
      </c>
      <c r="D357" s="200">
        <f t="shared" si="1"/>
        <v>4846.015572</v>
      </c>
      <c r="E357" s="200">
        <f t="shared" si="2"/>
        <v>-244762.5691</v>
      </c>
      <c r="F357" s="1"/>
      <c r="G357" s="199">
        <v>354.0</v>
      </c>
      <c r="H357" s="200">
        <f>if(AND('Deal Analysis'!$D$37*12&lt;G357,'Deal Analysis'!$D$37&gt;0),0,H356)</f>
        <v>333.3333333</v>
      </c>
      <c r="I357" s="200">
        <f>if(H357&gt;0,'Deal Analysis'!$D$35/12*K356,0)</f>
        <v>333.3333333</v>
      </c>
      <c r="J357" s="200">
        <f t="shared" si="3"/>
        <v>0</v>
      </c>
      <c r="K357" s="200">
        <f>if(AND('Deal Analysis'!$D$37*12&lt;G357,'Deal Analysis'!$D$37&gt;0),0,K356-J357)</f>
        <v>50000</v>
      </c>
      <c r="L357" s="1"/>
      <c r="M357" s="199">
        <v>354.0</v>
      </c>
      <c r="N357" s="200">
        <f>if('Deal Analysis'!D395="Yes",'Deal Analysis'!D402,0)</f>
        <v>0</v>
      </c>
      <c r="O357" s="200">
        <f t="shared" si="4"/>
        <v>0</v>
      </c>
      <c r="P357" s="200">
        <f t="shared" si="5"/>
        <v>0</v>
      </c>
      <c r="Q357" s="200">
        <f>if(AND('Deal Analysis'!$D$47*12&lt;M357,'Deal Analysis'!$D$47&gt;0),0,Q356-P357)</f>
        <v>0</v>
      </c>
      <c r="R357" s="1"/>
      <c r="S357" s="1"/>
      <c r="T357" s="1"/>
      <c r="U357" s="1"/>
      <c r="V357" s="1"/>
      <c r="W357" s="1"/>
      <c r="X357" s="1"/>
      <c r="Y357" s="1"/>
      <c r="Z357" s="1"/>
      <c r="AA357" s="1"/>
    </row>
    <row r="358">
      <c r="A358" s="199">
        <v>355.0</v>
      </c>
      <c r="B358" s="200">
        <f t="shared" si="6"/>
        <v>3046.641421</v>
      </c>
      <c r="C358" s="200">
        <f>'Deal Analysis'!$D$24/12*E357</f>
        <v>-1835.719268</v>
      </c>
      <c r="D358" s="200">
        <f t="shared" si="1"/>
        <v>4882.360689</v>
      </c>
      <c r="E358" s="200">
        <f t="shared" si="2"/>
        <v>-249644.9298</v>
      </c>
      <c r="F358" s="1"/>
      <c r="G358" s="199">
        <v>355.0</v>
      </c>
      <c r="H358" s="200">
        <f>if(AND('Deal Analysis'!$D$37*12&lt;G358,'Deal Analysis'!$D$37&gt;0),0,H357)</f>
        <v>333.3333333</v>
      </c>
      <c r="I358" s="200">
        <f>if(H358&gt;0,'Deal Analysis'!$D$35/12*K357,0)</f>
        <v>333.3333333</v>
      </c>
      <c r="J358" s="200">
        <f t="shared" si="3"/>
        <v>0</v>
      </c>
      <c r="K358" s="200">
        <f>if(AND('Deal Analysis'!$D$37*12&lt;G358,'Deal Analysis'!$D$37&gt;0),0,K357-J358)</f>
        <v>50000</v>
      </c>
      <c r="L358" s="1"/>
      <c r="M358" s="199">
        <v>355.0</v>
      </c>
      <c r="N358" s="200">
        <f>if('Deal Analysis'!D396="Yes",'Deal Analysis'!D403,0)</f>
        <v>0</v>
      </c>
      <c r="O358" s="200">
        <f t="shared" si="4"/>
        <v>0</v>
      </c>
      <c r="P358" s="200">
        <f t="shared" si="5"/>
        <v>0</v>
      </c>
      <c r="Q358" s="200">
        <f>if(AND('Deal Analysis'!$D$47*12&lt;M358,'Deal Analysis'!$D$47&gt;0),0,Q357-P358)</f>
        <v>0</v>
      </c>
      <c r="R358" s="1"/>
      <c r="S358" s="1"/>
      <c r="T358" s="1"/>
      <c r="U358" s="1"/>
      <c r="V358" s="1"/>
      <c r="W358" s="1"/>
      <c r="X358" s="1"/>
      <c r="Y358" s="1"/>
      <c r="Z358" s="1"/>
      <c r="AA358" s="1"/>
    </row>
    <row r="359">
      <c r="A359" s="199">
        <v>356.0</v>
      </c>
      <c r="B359" s="200">
        <f t="shared" si="6"/>
        <v>3046.641421</v>
      </c>
      <c r="C359" s="200">
        <f>'Deal Analysis'!$D$24/12*E358</f>
        <v>-1872.336973</v>
      </c>
      <c r="D359" s="200">
        <f t="shared" si="1"/>
        <v>4918.978394</v>
      </c>
      <c r="E359" s="200">
        <f t="shared" si="2"/>
        <v>-254563.9082</v>
      </c>
      <c r="F359" s="1"/>
      <c r="G359" s="199">
        <v>356.0</v>
      </c>
      <c r="H359" s="200">
        <f>if(AND('Deal Analysis'!$D$37*12&lt;G359,'Deal Analysis'!$D$37&gt;0),0,H358)</f>
        <v>333.3333333</v>
      </c>
      <c r="I359" s="200">
        <f>if(H359&gt;0,'Deal Analysis'!$D$35/12*K358,0)</f>
        <v>333.3333333</v>
      </c>
      <c r="J359" s="200">
        <f t="shared" si="3"/>
        <v>0</v>
      </c>
      <c r="K359" s="200">
        <f>if(AND('Deal Analysis'!$D$37*12&lt;G359,'Deal Analysis'!$D$37&gt;0),0,K358-J359)</f>
        <v>50000</v>
      </c>
      <c r="L359" s="1"/>
      <c r="M359" s="199">
        <v>356.0</v>
      </c>
      <c r="N359" s="200">
        <f>if('Deal Analysis'!D397="Yes",'Deal Analysis'!D404,0)</f>
        <v>0</v>
      </c>
      <c r="O359" s="200">
        <f t="shared" si="4"/>
        <v>0</v>
      </c>
      <c r="P359" s="200">
        <f t="shared" si="5"/>
        <v>0</v>
      </c>
      <c r="Q359" s="200">
        <f>if(AND('Deal Analysis'!$D$47*12&lt;M359,'Deal Analysis'!$D$47&gt;0),0,Q358-P359)</f>
        <v>0</v>
      </c>
      <c r="R359" s="1"/>
      <c r="S359" s="1"/>
      <c r="T359" s="1"/>
      <c r="U359" s="1"/>
      <c r="V359" s="1"/>
      <c r="W359" s="1"/>
      <c r="X359" s="1"/>
      <c r="Y359" s="1"/>
      <c r="Z359" s="1"/>
      <c r="AA359" s="1"/>
    </row>
    <row r="360">
      <c r="A360" s="199">
        <v>357.0</v>
      </c>
      <c r="B360" s="200">
        <f t="shared" si="6"/>
        <v>3046.641421</v>
      </c>
      <c r="C360" s="200">
        <f>'Deal Analysis'!$D$24/12*E359</f>
        <v>-1909.229311</v>
      </c>
      <c r="D360" s="200">
        <f t="shared" si="1"/>
        <v>4955.870732</v>
      </c>
      <c r="E360" s="200">
        <f t="shared" si="2"/>
        <v>-259519.7789</v>
      </c>
      <c r="F360" s="1"/>
      <c r="G360" s="199">
        <v>357.0</v>
      </c>
      <c r="H360" s="200">
        <f>if(AND('Deal Analysis'!$D$37*12&lt;G360,'Deal Analysis'!$D$37&gt;0),0,H359)</f>
        <v>333.3333333</v>
      </c>
      <c r="I360" s="200">
        <f>if(H360&gt;0,'Deal Analysis'!$D$35/12*K359,0)</f>
        <v>333.3333333</v>
      </c>
      <c r="J360" s="200">
        <f t="shared" si="3"/>
        <v>0</v>
      </c>
      <c r="K360" s="200">
        <f>if(AND('Deal Analysis'!$D$37*12&lt;G360,'Deal Analysis'!$D$37&gt;0),0,K359-J360)</f>
        <v>50000</v>
      </c>
      <c r="L360" s="1"/>
      <c r="M360" s="199">
        <v>357.0</v>
      </c>
      <c r="N360" s="200">
        <f>if('Deal Analysis'!D398="Yes",'Deal Analysis'!D405,0)</f>
        <v>0</v>
      </c>
      <c r="O360" s="200">
        <f t="shared" si="4"/>
        <v>0</v>
      </c>
      <c r="P360" s="200">
        <f t="shared" si="5"/>
        <v>0</v>
      </c>
      <c r="Q360" s="200">
        <f>if(AND('Deal Analysis'!$D$47*12&lt;M360,'Deal Analysis'!$D$47&gt;0),0,Q359-P360)</f>
        <v>0</v>
      </c>
      <c r="R360" s="1"/>
      <c r="S360" s="1"/>
      <c r="T360" s="1"/>
      <c r="U360" s="1"/>
      <c r="V360" s="1"/>
      <c r="W360" s="1"/>
      <c r="X360" s="1"/>
      <c r="Y360" s="1"/>
      <c r="Z360" s="1"/>
      <c r="AA360" s="1"/>
    </row>
    <row r="361">
      <c r="A361" s="199">
        <v>358.0</v>
      </c>
      <c r="B361" s="200">
        <f t="shared" si="6"/>
        <v>3046.641421</v>
      </c>
      <c r="C361" s="200">
        <f>'Deal Analysis'!$D$24/12*E360</f>
        <v>-1946.398342</v>
      </c>
      <c r="D361" s="200">
        <f t="shared" si="1"/>
        <v>4993.039763</v>
      </c>
      <c r="E361" s="200">
        <f t="shared" si="2"/>
        <v>-264512.8187</v>
      </c>
      <c r="F361" s="1"/>
      <c r="G361" s="199">
        <v>358.0</v>
      </c>
      <c r="H361" s="200">
        <f>if(AND('Deal Analysis'!$D$37*12&lt;G361,'Deal Analysis'!$D$37&gt;0),0,H360)</f>
        <v>333.3333333</v>
      </c>
      <c r="I361" s="200">
        <f>if(H361&gt;0,'Deal Analysis'!$D$35/12*K360,0)</f>
        <v>333.3333333</v>
      </c>
      <c r="J361" s="200">
        <f t="shared" si="3"/>
        <v>0</v>
      </c>
      <c r="K361" s="200">
        <f>if(AND('Deal Analysis'!$D$37*12&lt;G361,'Deal Analysis'!$D$37&gt;0),0,K360-J361)</f>
        <v>50000</v>
      </c>
      <c r="L361" s="1"/>
      <c r="M361" s="199">
        <v>358.0</v>
      </c>
      <c r="N361" s="200">
        <f>if('Deal Analysis'!D399="Yes",'Deal Analysis'!D406,0)</f>
        <v>0</v>
      </c>
      <c r="O361" s="200">
        <f t="shared" si="4"/>
        <v>0</v>
      </c>
      <c r="P361" s="200">
        <f t="shared" si="5"/>
        <v>0</v>
      </c>
      <c r="Q361" s="200">
        <f>if(AND('Deal Analysis'!$D$47*12&lt;M361,'Deal Analysis'!$D$47&gt;0),0,Q360-P361)</f>
        <v>0</v>
      </c>
      <c r="R361" s="1"/>
      <c r="S361" s="1"/>
      <c r="T361" s="1"/>
      <c r="U361" s="1"/>
      <c r="V361" s="1"/>
      <c r="W361" s="1"/>
      <c r="X361" s="1"/>
      <c r="Y361" s="1"/>
      <c r="Z361" s="1"/>
      <c r="AA361" s="1"/>
    </row>
    <row r="362">
      <c r="A362" s="199">
        <v>359.0</v>
      </c>
      <c r="B362" s="200">
        <f t="shared" si="6"/>
        <v>3046.641421</v>
      </c>
      <c r="C362" s="200">
        <f>'Deal Analysis'!$D$24/12*E361</f>
        <v>-1983.84614</v>
      </c>
      <c r="D362" s="200">
        <f t="shared" si="1"/>
        <v>5030.487561</v>
      </c>
      <c r="E362" s="200">
        <f t="shared" si="2"/>
        <v>-269543.3062</v>
      </c>
      <c r="F362" s="1"/>
      <c r="G362" s="199">
        <v>359.0</v>
      </c>
      <c r="H362" s="200">
        <f>if(AND('Deal Analysis'!$D$37*12&lt;G362,'Deal Analysis'!$D$37&gt;0),0,H361)</f>
        <v>333.3333333</v>
      </c>
      <c r="I362" s="200">
        <f>if(H362&gt;0,'Deal Analysis'!$D$35/12*K361,0)</f>
        <v>333.3333333</v>
      </c>
      <c r="J362" s="200">
        <f t="shared" si="3"/>
        <v>0</v>
      </c>
      <c r="K362" s="200">
        <f>if(AND('Deal Analysis'!$D$37*12&lt;G362,'Deal Analysis'!$D$37&gt;0),0,K361-J362)</f>
        <v>50000</v>
      </c>
      <c r="L362" s="1"/>
      <c r="M362" s="199">
        <v>359.0</v>
      </c>
      <c r="N362" s="200">
        <f>if('Deal Analysis'!D400="Yes",'Deal Analysis'!D407,0)</f>
        <v>0</v>
      </c>
      <c r="O362" s="200">
        <f t="shared" si="4"/>
        <v>0</v>
      </c>
      <c r="P362" s="200">
        <f t="shared" si="5"/>
        <v>0</v>
      </c>
      <c r="Q362" s="200">
        <f>if(AND('Deal Analysis'!$D$47*12&lt;M362,'Deal Analysis'!$D$47&gt;0),0,Q361-P362)</f>
        <v>0</v>
      </c>
      <c r="R362" s="1"/>
      <c r="S362" s="1"/>
      <c r="T362" s="1"/>
      <c r="U362" s="1"/>
      <c r="V362" s="1"/>
      <c r="W362" s="1"/>
      <c r="X362" s="1"/>
      <c r="Y362" s="1"/>
      <c r="Z362" s="1"/>
      <c r="AA362" s="1"/>
    </row>
    <row r="363">
      <c r="A363" s="199">
        <v>360.0</v>
      </c>
      <c r="B363" s="200">
        <f t="shared" si="6"/>
        <v>3046.641421</v>
      </c>
      <c r="C363" s="200">
        <f>'Deal Analysis'!$D$24/12*E362</f>
        <v>-2021.574797</v>
      </c>
      <c r="D363" s="200">
        <f t="shared" si="1"/>
        <v>5068.216218</v>
      </c>
      <c r="E363" s="200">
        <f t="shared" si="2"/>
        <v>-274611.5225</v>
      </c>
      <c r="F363" s="1"/>
      <c r="G363" s="199">
        <v>360.0</v>
      </c>
      <c r="H363" s="200">
        <f>if(AND('Deal Analysis'!$D$37*12&lt;G363,'Deal Analysis'!$D$37&gt;0),0,H362)</f>
        <v>333.3333333</v>
      </c>
      <c r="I363" s="200">
        <f>if(H363&gt;0,'Deal Analysis'!$D$35/12*K362,0)</f>
        <v>333.3333333</v>
      </c>
      <c r="J363" s="200">
        <f t="shared" si="3"/>
        <v>0</v>
      </c>
      <c r="K363" s="200">
        <f>if(AND('Deal Analysis'!$D$37*12&lt;G363,'Deal Analysis'!$D$37&gt;0),0,K362-J363)</f>
        <v>50000</v>
      </c>
      <c r="L363" s="1"/>
      <c r="M363" s="199">
        <v>360.0</v>
      </c>
      <c r="N363" s="200">
        <f>if('Deal Analysis'!D401="Yes",'Deal Analysis'!D408,0)</f>
        <v>0</v>
      </c>
      <c r="O363" s="200">
        <f t="shared" si="4"/>
        <v>0</v>
      </c>
      <c r="P363" s="200">
        <f t="shared" si="5"/>
        <v>0</v>
      </c>
      <c r="Q363" s="200">
        <f>if(AND('Deal Analysis'!$D$47*12&lt;M363,'Deal Analysis'!$D$47&gt;0),0,Q362-P363)</f>
        <v>0</v>
      </c>
      <c r="R363" s="1"/>
      <c r="S363" s="1"/>
      <c r="T363" s="1"/>
      <c r="U363" s="1"/>
      <c r="V363" s="1"/>
      <c r="W363" s="1"/>
      <c r="X363" s="1"/>
      <c r="Y363" s="1"/>
      <c r="Z363" s="1"/>
      <c r="AA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row>
    <row r="1000">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row>
  </sheetData>
  <mergeCells count="3">
    <mergeCell ref="A1:E1"/>
    <mergeCell ref="G1:K1"/>
    <mergeCell ref="M1:Q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01" t="s">
        <v>189</v>
      </c>
      <c r="C1" s="1"/>
      <c r="D1" s="202" t="s">
        <v>190</v>
      </c>
      <c r="F1" s="1"/>
      <c r="G1" s="1"/>
      <c r="H1" s="1"/>
      <c r="I1" s="1"/>
      <c r="J1" s="1"/>
      <c r="K1" s="1"/>
      <c r="L1" s="1"/>
      <c r="M1" s="1"/>
      <c r="N1" s="1"/>
      <c r="O1" s="1"/>
      <c r="P1" s="1"/>
      <c r="Q1" s="1"/>
      <c r="R1" s="1"/>
      <c r="S1" s="1"/>
      <c r="T1" s="1"/>
      <c r="U1" s="1"/>
      <c r="V1" s="1"/>
      <c r="W1" s="1"/>
      <c r="X1" s="1"/>
      <c r="Y1" s="1"/>
      <c r="Z1" s="1"/>
    </row>
    <row r="2">
      <c r="A2" s="203" t="s">
        <v>42</v>
      </c>
      <c r="B2" s="204" t="s">
        <v>191</v>
      </c>
      <c r="C2" s="1"/>
      <c r="D2" s="204" t="s">
        <v>42</v>
      </c>
      <c r="E2" s="204" t="s">
        <v>192</v>
      </c>
      <c r="F2" s="1"/>
      <c r="G2" s="1"/>
      <c r="H2" s="1"/>
      <c r="I2" s="1"/>
      <c r="J2" s="1"/>
      <c r="K2" s="1"/>
      <c r="L2" s="1"/>
      <c r="M2" s="1"/>
      <c r="N2" s="1"/>
      <c r="O2" s="1"/>
      <c r="P2" s="1"/>
      <c r="Q2" s="1"/>
      <c r="R2" s="1"/>
      <c r="S2" s="1"/>
      <c r="T2" s="1"/>
      <c r="U2" s="1"/>
      <c r="V2" s="1"/>
      <c r="W2" s="1"/>
      <c r="X2" s="1"/>
      <c r="Y2" s="1"/>
      <c r="Z2" s="1"/>
    </row>
    <row r="3">
      <c r="A3" s="205" t="s">
        <v>193</v>
      </c>
      <c r="B3" s="206">
        <v>45300.0</v>
      </c>
      <c r="C3" s="1"/>
      <c r="D3" s="1" t="s">
        <v>194</v>
      </c>
      <c r="E3" s="1"/>
      <c r="F3" s="1"/>
      <c r="G3" s="1"/>
      <c r="H3" s="1"/>
      <c r="I3" s="1"/>
      <c r="J3" s="1"/>
      <c r="K3" s="1"/>
      <c r="L3" s="1"/>
      <c r="M3" s="1"/>
      <c r="N3" s="1"/>
      <c r="O3" s="1"/>
      <c r="P3" s="1"/>
      <c r="Q3" s="1"/>
      <c r="R3" s="1"/>
      <c r="S3" s="1"/>
      <c r="T3" s="1"/>
      <c r="U3" s="1"/>
      <c r="V3" s="1"/>
      <c r="W3" s="1"/>
      <c r="X3" s="1"/>
      <c r="Y3" s="1"/>
      <c r="Z3" s="1"/>
    </row>
    <row r="4">
      <c r="A4" s="205" t="s">
        <v>195</v>
      </c>
      <c r="B4" s="206">
        <v>45300.0</v>
      </c>
      <c r="C4" s="1"/>
      <c r="D4" s="1" t="s">
        <v>1</v>
      </c>
      <c r="E4" s="206">
        <v>45309.0</v>
      </c>
      <c r="F4" s="1"/>
      <c r="G4" s="1"/>
      <c r="H4" s="1"/>
      <c r="I4" s="1"/>
      <c r="J4" s="1"/>
      <c r="K4" s="1"/>
      <c r="L4" s="1"/>
      <c r="M4" s="1"/>
      <c r="N4" s="1"/>
      <c r="O4" s="1"/>
      <c r="P4" s="1"/>
      <c r="Q4" s="1"/>
      <c r="R4" s="1"/>
      <c r="S4" s="1"/>
      <c r="T4" s="1"/>
      <c r="U4" s="1"/>
      <c r="V4" s="1"/>
      <c r="W4" s="1"/>
      <c r="X4" s="1"/>
      <c r="Y4" s="1"/>
      <c r="Z4" s="1"/>
    </row>
    <row r="5">
      <c r="A5" s="205" t="s">
        <v>196</v>
      </c>
      <c r="B5" s="206">
        <v>45300.0</v>
      </c>
      <c r="C5" s="1"/>
      <c r="D5" s="1" t="s">
        <v>197</v>
      </c>
      <c r="E5" s="1"/>
      <c r="F5" s="1"/>
      <c r="G5" s="1"/>
      <c r="H5" s="1"/>
      <c r="I5" s="1"/>
      <c r="J5" s="1"/>
      <c r="K5" s="1"/>
      <c r="L5" s="1"/>
      <c r="M5" s="1"/>
      <c r="N5" s="1"/>
      <c r="O5" s="1"/>
      <c r="P5" s="1"/>
      <c r="Q5" s="1"/>
      <c r="R5" s="1"/>
      <c r="S5" s="1"/>
      <c r="T5" s="1"/>
      <c r="U5" s="1"/>
      <c r="V5" s="1"/>
      <c r="W5" s="1"/>
      <c r="X5" s="1"/>
      <c r="Y5" s="1"/>
      <c r="Z5" s="1"/>
    </row>
    <row r="6">
      <c r="A6" s="1" t="s">
        <v>198</v>
      </c>
      <c r="B6" s="206">
        <v>45300.0</v>
      </c>
      <c r="C6" s="1"/>
      <c r="D6" s="1" t="s">
        <v>199</v>
      </c>
      <c r="E6" s="1"/>
      <c r="F6" s="1"/>
      <c r="G6" s="1"/>
      <c r="H6" s="1"/>
      <c r="I6" s="1"/>
      <c r="J6" s="1"/>
      <c r="K6" s="1"/>
      <c r="L6" s="1"/>
      <c r="M6" s="1"/>
      <c r="N6" s="1"/>
      <c r="O6" s="1"/>
      <c r="P6" s="1"/>
      <c r="Q6" s="1"/>
      <c r="R6" s="1"/>
      <c r="S6" s="1"/>
      <c r="T6" s="1"/>
      <c r="U6" s="1"/>
      <c r="V6" s="1"/>
      <c r="W6" s="1"/>
      <c r="X6" s="1"/>
      <c r="Y6" s="1"/>
      <c r="Z6" s="1"/>
    </row>
    <row r="7">
      <c r="A7" s="205" t="s">
        <v>200</v>
      </c>
      <c r="B7" s="206">
        <v>45306.0</v>
      </c>
      <c r="C7" s="1"/>
      <c r="D7" s="1" t="s">
        <v>201</v>
      </c>
      <c r="E7" s="1"/>
      <c r="F7" s="1"/>
      <c r="G7" s="1"/>
      <c r="H7" s="1"/>
      <c r="I7" s="1"/>
      <c r="J7" s="1"/>
      <c r="K7" s="1"/>
      <c r="L7" s="1"/>
      <c r="M7" s="1"/>
      <c r="N7" s="1"/>
      <c r="O7" s="1"/>
      <c r="P7" s="1"/>
      <c r="Q7" s="1"/>
      <c r="R7" s="1"/>
      <c r="S7" s="1"/>
      <c r="T7" s="1"/>
      <c r="U7" s="1"/>
      <c r="V7" s="1"/>
      <c r="W7" s="1"/>
      <c r="X7" s="1"/>
      <c r="Y7" s="1"/>
      <c r="Z7" s="1"/>
    </row>
    <row r="8">
      <c r="A8" s="205" t="s">
        <v>202</v>
      </c>
      <c r="B8" s="206">
        <v>45306.0</v>
      </c>
      <c r="C8" s="1"/>
      <c r="D8" s="1" t="s">
        <v>203</v>
      </c>
      <c r="E8" s="206">
        <v>45338.0</v>
      </c>
      <c r="F8" s="1"/>
      <c r="G8" s="1"/>
      <c r="H8" s="1"/>
      <c r="I8" s="1"/>
      <c r="J8" s="1"/>
      <c r="K8" s="1"/>
      <c r="L8" s="1"/>
      <c r="M8" s="1"/>
      <c r="N8" s="1"/>
      <c r="O8" s="1"/>
      <c r="P8" s="1"/>
      <c r="Q8" s="1"/>
      <c r="R8" s="1"/>
      <c r="S8" s="1"/>
      <c r="T8" s="1"/>
      <c r="U8" s="1"/>
      <c r="V8" s="1"/>
      <c r="W8" s="1"/>
      <c r="X8" s="1"/>
      <c r="Y8" s="1"/>
      <c r="Z8" s="1"/>
    </row>
    <row r="9">
      <c r="A9" s="205" t="s">
        <v>204</v>
      </c>
      <c r="B9" s="206">
        <v>45306.0</v>
      </c>
      <c r="C9" s="1"/>
      <c r="D9" s="1"/>
      <c r="E9" s="1"/>
      <c r="F9" s="1"/>
      <c r="G9" s="1"/>
      <c r="H9" s="1"/>
      <c r="I9" s="1"/>
      <c r="J9" s="1"/>
      <c r="K9" s="1"/>
      <c r="L9" s="1"/>
      <c r="M9" s="1"/>
      <c r="N9" s="1"/>
      <c r="O9" s="1"/>
      <c r="P9" s="1"/>
      <c r="Q9" s="1"/>
      <c r="R9" s="1"/>
      <c r="S9" s="1"/>
      <c r="T9" s="1"/>
      <c r="U9" s="1"/>
      <c r="V9" s="1"/>
      <c r="W9" s="1"/>
      <c r="X9" s="1"/>
      <c r="Y9" s="1"/>
      <c r="Z9" s="1"/>
    </row>
    <row r="10">
      <c r="A10" s="205" t="s">
        <v>205</v>
      </c>
      <c r="B10" s="206">
        <v>45306.0</v>
      </c>
      <c r="C10" s="1"/>
      <c r="D10" s="1"/>
      <c r="E10" s="1"/>
      <c r="F10" s="1"/>
      <c r="G10" s="1"/>
      <c r="H10" s="1"/>
      <c r="I10" s="1"/>
      <c r="J10" s="1"/>
      <c r="K10" s="1"/>
      <c r="L10" s="1"/>
      <c r="M10" s="1"/>
      <c r="N10" s="1"/>
      <c r="O10" s="1"/>
      <c r="P10" s="1"/>
      <c r="Q10" s="1"/>
      <c r="R10" s="1"/>
      <c r="S10" s="1"/>
      <c r="T10" s="1"/>
      <c r="U10" s="1"/>
      <c r="V10" s="1"/>
      <c r="W10" s="1"/>
      <c r="X10" s="1"/>
      <c r="Y10" s="1"/>
      <c r="Z10" s="1"/>
    </row>
    <row r="11">
      <c r="A11" s="205" t="s">
        <v>206</v>
      </c>
      <c r="B11" s="206">
        <v>45306.0</v>
      </c>
      <c r="C11" s="1"/>
      <c r="D11" s="1"/>
      <c r="E11" s="1"/>
      <c r="F11" s="1"/>
      <c r="G11" s="1"/>
      <c r="H11" s="1"/>
      <c r="I11" s="1"/>
      <c r="J11" s="1"/>
      <c r="K11" s="1"/>
      <c r="L11" s="1"/>
      <c r="M11" s="1"/>
      <c r="N11" s="1"/>
      <c r="O11" s="1"/>
      <c r="P11" s="1"/>
      <c r="Q11" s="1"/>
      <c r="R11" s="1"/>
      <c r="S11" s="1"/>
      <c r="T11" s="1"/>
      <c r="U11" s="1"/>
      <c r="V11" s="1"/>
      <c r="W11" s="1"/>
      <c r="X11" s="1"/>
      <c r="Y11" s="1"/>
      <c r="Z11" s="1"/>
    </row>
    <row r="12">
      <c r="A12" s="205" t="s">
        <v>207</v>
      </c>
      <c r="B12" s="206">
        <v>45307.0</v>
      </c>
      <c r="C12" s="1"/>
      <c r="D12" s="1"/>
      <c r="E12" s="1"/>
      <c r="F12" s="1"/>
      <c r="G12" s="1"/>
      <c r="H12" s="1"/>
      <c r="I12" s="1"/>
      <c r="J12" s="1"/>
      <c r="K12" s="1"/>
      <c r="L12" s="1"/>
      <c r="M12" s="1"/>
      <c r="N12" s="1"/>
      <c r="O12" s="1"/>
      <c r="P12" s="1"/>
      <c r="Q12" s="1"/>
      <c r="R12" s="1"/>
      <c r="S12" s="1"/>
      <c r="T12" s="1"/>
      <c r="U12" s="1"/>
      <c r="V12" s="1"/>
      <c r="W12" s="1"/>
      <c r="X12" s="1"/>
      <c r="Y12" s="1"/>
      <c r="Z12" s="1"/>
    </row>
    <row r="13">
      <c r="A13" s="205" t="s">
        <v>208</v>
      </c>
      <c r="B13" s="206">
        <v>45308.0</v>
      </c>
      <c r="C13" s="1"/>
      <c r="D13" s="1"/>
      <c r="E13" s="1"/>
      <c r="F13" s="1"/>
      <c r="G13" s="1"/>
      <c r="H13" s="1"/>
      <c r="I13" s="1"/>
      <c r="J13" s="1"/>
      <c r="K13" s="1"/>
      <c r="L13" s="1"/>
      <c r="M13" s="1"/>
      <c r="N13" s="1"/>
      <c r="O13" s="1"/>
      <c r="P13" s="1"/>
      <c r="Q13" s="1"/>
      <c r="R13" s="1"/>
      <c r="S13" s="1"/>
      <c r="T13" s="1"/>
      <c r="U13" s="1"/>
      <c r="V13" s="1"/>
      <c r="W13" s="1"/>
      <c r="X13" s="1"/>
      <c r="Y13" s="1"/>
      <c r="Z13" s="1"/>
    </row>
    <row r="14">
      <c r="A14" s="205" t="s">
        <v>209</v>
      </c>
      <c r="B14" s="206">
        <v>45308.0</v>
      </c>
      <c r="C14" s="1"/>
      <c r="D14" s="1"/>
      <c r="E14" s="1"/>
      <c r="F14" s="1"/>
      <c r="G14" s="1"/>
      <c r="H14" s="1"/>
      <c r="I14" s="1"/>
      <c r="J14" s="1"/>
      <c r="K14" s="1"/>
      <c r="L14" s="1"/>
      <c r="M14" s="1"/>
      <c r="N14" s="1"/>
      <c r="O14" s="1"/>
      <c r="P14" s="1"/>
      <c r="Q14" s="1"/>
      <c r="R14" s="1"/>
      <c r="S14" s="1"/>
      <c r="T14" s="1"/>
      <c r="U14" s="1"/>
      <c r="V14" s="1"/>
      <c r="W14" s="1"/>
      <c r="X14" s="1"/>
      <c r="Y14" s="1"/>
      <c r="Z14" s="1"/>
    </row>
    <row r="15">
      <c r="A15" s="205" t="s">
        <v>210</v>
      </c>
      <c r="B15" s="206">
        <v>45313.0</v>
      </c>
      <c r="C15" s="1"/>
      <c r="D15" s="1"/>
      <c r="E15" s="1"/>
      <c r="F15" s="1"/>
      <c r="G15" s="1"/>
      <c r="H15" s="1"/>
      <c r="I15" s="1"/>
      <c r="J15" s="1"/>
      <c r="K15" s="1"/>
      <c r="L15" s="1"/>
      <c r="M15" s="1"/>
      <c r="N15" s="1"/>
      <c r="O15" s="1"/>
      <c r="P15" s="1"/>
      <c r="Q15" s="1"/>
      <c r="R15" s="1"/>
      <c r="S15" s="1"/>
      <c r="T15" s="1"/>
      <c r="U15" s="1"/>
      <c r="V15" s="1"/>
      <c r="W15" s="1"/>
      <c r="X15" s="1"/>
      <c r="Y15" s="1"/>
      <c r="Z15" s="1"/>
    </row>
    <row r="16">
      <c r="A16" s="205" t="s">
        <v>211</v>
      </c>
      <c r="B16" s="206">
        <v>45317.0</v>
      </c>
      <c r="C16" s="1"/>
      <c r="D16" s="1"/>
      <c r="E16" s="1"/>
      <c r="F16" s="1"/>
      <c r="G16" s="1"/>
      <c r="H16" s="1"/>
      <c r="I16" s="1"/>
      <c r="J16" s="1"/>
      <c r="K16" s="1"/>
      <c r="L16" s="1"/>
      <c r="M16" s="1"/>
      <c r="N16" s="1"/>
      <c r="O16" s="1"/>
      <c r="P16" s="1"/>
      <c r="Q16" s="1"/>
      <c r="R16" s="1"/>
      <c r="S16" s="1"/>
      <c r="T16" s="1"/>
      <c r="U16" s="1"/>
      <c r="V16" s="1"/>
      <c r="W16" s="1"/>
      <c r="X16" s="1"/>
      <c r="Y16" s="1"/>
      <c r="Z16" s="1"/>
    </row>
    <row r="17">
      <c r="A17" s="205" t="s">
        <v>212</v>
      </c>
      <c r="B17" s="206">
        <v>45317.0</v>
      </c>
      <c r="C17" s="1"/>
      <c r="D17" s="1"/>
      <c r="E17" s="1"/>
      <c r="F17" s="1"/>
      <c r="G17" s="1"/>
      <c r="H17" s="1"/>
      <c r="I17" s="1"/>
      <c r="J17" s="1"/>
      <c r="K17" s="1"/>
      <c r="L17" s="1"/>
      <c r="M17" s="1"/>
      <c r="N17" s="1"/>
      <c r="O17" s="1"/>
      <c r="P17" s="1"/>
      <c r="Q17" s="1"/>
      <c r="R17" s="1"/>
      <c r="S17" s="1"/>
      <c r="T17" s="1"/>
      <c r="U17" s="1"/>
      <c r="V17" s="1"/>
      <c r="W17" s="1"/>
      <c r="X17" s="1"/>
      <c r="Y17" s="1"/>
      <c r="Z17" s="1"/>
    </row>
    <row r="18">
      <c r="A18" s="205" t="s">
        <v>213</v>
      </c>
      <c r="B18" s="206">
        <v>45317.0</v>
      </c>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c r="A999" s="1"/>
      <c r="B999" s="196"/>
      <c r="C999" s="1"/>
      <c r="D999" s="1"/>
      <c r="E999" s="1"/>
      <c r="F999" s="1"/>
      <c r="G999" s="1"/>
      <c r="H999" s="1"/>
      <c r="I999" s="1"/>
      <c r="J999" s="1"/>
      <c r="K999" s="1"/>
      <c r="L999" s="1"/>
      <c r="M999" s="1"/>
      <c r="N999" s="1"/>
      <c r="O999" s="1"/>
      <c r="P999" s="1"/>
      <c r="Q999" s="1"/>
      <c r="R999" s="1"/>
      <c r="S999" s="1"/>
      <c r="T999" s="1"/>
      <c r="U999" s="1"/>
      <c r="V999" s="1"/>
      <c r="W999" s="1"/>
      <c r="X999" s="1"/>
      <c r="Y999" s="1"/>
      <c r="Z999" s="1"/>
    </row>
  </sheetData>
  <mergeCells count="2">
    <mergeCell ref="A1:B1"/>
    <mergeCell ref="D1:E1"/>
  </mergeCells>
  <drawing r:id="rId1"/>
</worksheet>
</file>