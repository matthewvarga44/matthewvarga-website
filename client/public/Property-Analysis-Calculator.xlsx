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164" fontId="0" fillId="4" borderId="1" pivotButton="0" quotePrefix="0" xfId="0"/>
    <xf numFmtId="10" fontId="0" fillId="4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3" fillId="5" borderId="1" pivotButton="0" quotePrefix="0" xfId="0"/>
    <xf numFmtId="1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</cols>
  <sheetData>
    <row r="1" ht="25" customHeight="1">
      <c r="A1" s="1" t="inlineStr">
        <is>
          <t>PROPERTY ANALYSIS CALCULATOR</t>
        </is>
      </c>
    </row>
    <row r="2" ht="15" customHeight="1">
      <c r="A2" s="2" t="inlineStr">
        <is>
          <t>Use this tool to analyze real estate investment opportunities</t>
        </is>
      </c>
    </row>
    <row r="4">
      <c r="A4" s="3" t="inlineStr">
        <is>
          <t>PROPERTY INFORMATION</t>
        </is>
      </c>
    </row>
    <row r="5">
      <c r="A5" s="4" t="inlineStr">
        <is>
          <t>Property Address</t>
        </is>
      </c>
      <c r="B5" t="inlineStr">
        <is>
          <t>123 Main Street, City, State</t>
        </is>
      </c>
    </row>
    <row r="6">
      <c r="A6" s="4" t="inlineStr">
        <is>
          <t>Purchase Price</t>
        </is>
      </c>
      <c r="B6" s="5" t="n">
        <v>300000</v>
      </c>
    </row>
    <row r="7">
      <c r="A7" s="4" t="inlineStr">
        <is>
          <t>Down Payment %</t>
        </is>
      </c>
      <c r="B7" s="6" t="n">
        <v>20</v>
      </c>
    </row>
    <row r="8">
      <c r="A8" s="4" t="inlineStr">
        <is>
          <t>Loan Amount</t>
        </is>
      </c>
      <c r="B8" s="7">
        <f>B6*(1-B7/100)</f>
        <v/>
      </c>
    </row>
    <row r="9">
      <c r="A9" s="4" t="inlineStr">
        <is>
          <t>Interest Rate %</t>
        </is>
      </c>
      <c r="B9" s="6" t="n">
        <v>6.5</v>
      </c>
    </row>
    <row r="10">
      <c r="A10" s="4" t="inlineStr">
        <is>
          <t>Loan Term (Years)</t>
        </is>
      </c>
      <c r="B10" s="8" t="n">
        <v>30</v>
      </c>
    </row>
    <row r="12">
      <c r="A12" s="3" t="inlineStr">
        <is>
          <t>INCOME ANALYSIS</t>
        </is>
      </c>
    </row>
    <row r="13">
      <c r="A13" s="4" t="inlineStr">
        <is>
          <t>Monthly Rent</t>
        </is>
      </c>
      <c r="B13" s="5" t="n">
        <v>2000</v>
      </c>
    </row>
    <row r="14">
      <c r="A14" s="4" t="inlineStr">
        <is>
          <t>Occupancy Rate %</t>
        </is>
      </c>
      <c r="B14" s="6" t="n">
        <v>95</v>
      </c>
    </row>
    <row r="15">
      <c r="A15" s="4" t="inlineStr">
        <is>
          <t>Expected Monthly Income</t>
        </is>
      </c>
      <c r="B15" s="9">
        <f>B13*B14/100</f>
        <v/>
      </c>
    </row>
    <row r="16">
      <c r="A16" s="4" t="inlineStr">
        <is>
          <t>Annual Rental Income</t>
        </is>
      </c>
      <c r="B16" s="9">
        <f>B15*12</f>
        <v/>
      </c>
    </row>
    <row r="18">
      <c r="A18" s="3" t="inlineStr">
        <is>
          <t>EXPENSE ANALYSIS</t>
        </is>
      </c>
    </row>
    <row r="19">
      <c r="A19" s="4" t="inlineStr">
        <is>
          <t>Property Tax (Annual)</t>
        </is>
      </c>
      <c r="B19" s="5" t="n">
        <v>3600</v>
      </c>
    </row>
    <row r="20">
      <c r="A20" s="4" t="inlineStr">
        <is>
          <t>Insurance (Annual)</t>
        </is>
      </c>
      <c r="B20" s="5" t="n">
        <v>1200</v>
      </c>
    </row>
    <row r="21">
      <c r="A21" s="4" t="inlineStr">
        <is>
          <t>Maintenance &amp; Repairs (Annual)</t>
        </is>
      </c>
      <c r="B21" s="5" t="n">
        <v>2400</v>
      </c>
    </row>
    <row r="22">
      <c r="A22" s="4" t="inlineStr">
        <is>
          <t>Property Management (% of rent)</t>
        </is>
      </c>
      <c r="B22" s="6" t="n">
        <v>8</v>
      </c>
    </row>
    <row r="23">
      <c r="A23" s="4" t="inlineStr">
        <is>
          <t>Vacancy Loss (% of rent)</t>
        </is>
      </c>
      <c r="B23" s="6" t="n">
        <v>5</v>
      </c>
    </row>
    <row r="24">
      <c r="A24" s="4" t="inlineStr">
        <is>
          <t>Utilities (Annual)</t>
        </is>
      </c>
      <c r="B24" s="5" t="n">
        <v>0</v>
      </c>
    </row>
    <row r="25">
      <c r="A25" s="4" t="inlineStr">
        <is>
          <t>HOA Fees (Annual)</t>
        </is>
      </c>
      <c r="B25" s="5" t="n">
        <v>0</v>
      </c>
    </row>
    <row r="26">
      <c r="A26" s="4" t="inlineStr">
        <is>
          <t>Total Annual Expenses</t>
        </is>
      </c>
      <c r="B26" s="9">
        <f>B19+B20+B21+(B16*B22/100)+(B16*B23/100)+B24+B25</f>
        <v/>
      </c>
    </row>
    <row r="28">
      <c r="A28" s="3" t="inlineStr">
        <is>
          <t>CASH FLOW ANALYSIS</t>
        </is>
      </c>
    </row>
    <row r="29">
      <c r="A29" s="4" t="inlineStr">
        <is>
          <t>Annual Rental Income</t>
        </is>
      </c>
      <c r="B29" s="7">
        <f>B16</f>
        <v/>
      </c>
    </row>
    <row r="30">
      <c r="A30" s="4" t="inlineStr">
        <is>
          <t>Total Annual Expenses</t>
        </is>
      </c>
      <c r="B30" s="7">
        <f>B26</f>
        <v/>
      </c>
    </row>
    <row r="31">
      <c r="A31" s="4" t="inlineStr">
        <is>
          <t>Net Operating Income (NOI)</t>
        </is>
      </c>
      <c r="B31" s="9">
        <f>B29-B30</f>
        <v/>
      </c>
    </row>
    <row r="32">
      <c r="A32" s="4" t="inlineStr">
        <is>
          <t>Annual Mortgage Payment</t>
        </is>
      </c>
      <c r="B32" s="9">
        <f>IF(B10=0,0,(B8*B9/100/12)/(1-(1+B9/100/12)^(-B10*12)))*12</f>
        <v/>
      </c>
    </row>
    <row r="33">
      <c r="A33" s="4" t="inlineStr">
        <is>
          <t>Annual Cash Flow</t>
        </is>
      </c>
      <c r="B33" s="9">
        <f>B31-B32</f>
        <v/>
      </c>
    </row>
    <row r="34">
      <c r="A34" s="4" t="inlineStr">
        <is>
          <t>Monthly Cash Flow</t>
        </is>
      </c>
      <c r="B34" s="9">
        <f>B33/12</f>
        <v/>
      </c>
    </row>
    <row r="36">
      <c r="A36" s="3" t="inlineStr">
        <is>
          <t>INVESTMENT METRICS</t>
        </is>
      </c>
    </row>
    <row r="37">
      <c r="A37" s="4" t="inlineStr">
        <is>
          <t>Cap Rate %</t>
        </is>
      </c>
      <c r="B37" s="10">
        <f>IF(B6=0,0,B31/B6*100)</f>
        <v/>
      </c>
    </row>
    <row r="38">
      <c r="A38" s="4" t="inlineStr">
        <is>
          <t>Cash-on-Cash Return %</t>
        </is>
      </c>
      <c r="B38" s="10">
        <f>IF(B6*B7/100=0,0,B33/(B6*B7/100)*100)</f>
        <v/>
      </c>
    </row>
    <row r="39">
      <c r="A39" s="4" t="inlineStr">
        <is>
          <t>Price per Unit</t>
        </is>
      </c>
      <c r="B39" s="9">
        <f>B6</f>
        <v/>
      </c>
    </row>
    <row r="40">
      <c r="A40" s="4" t="inlineStr">
        <is>
          <t>Gross Rent Multiplier</t>
        </is>
      </c>
      <c r="B40" s="10">
        <f>IF(B16=0,0,B6/B16)</f>
        <v/>
      </c>
    </row>
  </sheetData>
  <mergeCells count="7">
    <mergeCell ref="A28:C28"/>
    <mergeCell ref="A36:C36"/>
    <mergeCell ref="A1:C1"/>
    <mergeCell ref="A18:C18"/>
    <mergeCell ref="A12:C1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2026-01-30T13:13:55Z</dcterms:created>
  <dcterms:modified xmlns:dcterms="http://purl.org/dc/terms/" xmlns:xsi="http://www.w3.org/2001/XMLSchema-instance" xsi:type="dcterms:W3CDTF">2026-01-30T13:13:55Z</dcterms:modified>
</cp:coreProperties>
</file>