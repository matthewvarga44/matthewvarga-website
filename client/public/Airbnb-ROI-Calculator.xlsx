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Simple measure of annual cashflow divided by total cash invested</t>
      </text>
    </comment>
    <comment authorId="0" ref="J9">
      <text>
        <t xml:space="preserve">Simple measure of annual cashflow divided by total cash invested</t>
      </text>
    </comment>
    <comment authorId="0" ref="E10">
      <text>
        <t xml:space="preserve">Net Operating Income or EBITDA is commonly defined as the gross profit before income taxes, interest, depreciation &amp; amortization. Financing is also omitted.
The calculation of NOI is the monthly cashflow + mortgage</t>
      </text>
    </comment>
    <comment authorId="0" ref="J10">
      <text>
        <t xml:space="preserve">The number of months to earn back your initial investment</t>
      </text>
    </comment>
    <comment authorId="0" ref="E11">
      <text>
        <t xml:space="preserve">The number of months to earn back your initial investment</t>
      </text>
    </comment>
    <comment authorId="0" ref="J11">
      <text>
        <t xml:space="preserve">This is a simplified view of an equity partner's investment and return. There are numerous ways to structure equity payments that are not covered in this workbook</t>
      </text>
    </comment>
    <comment authorId="0" ref="J12">
      <text>
        <t xml:space="preserve">Percentage of cashflow owed to Limited Equity Partner</t>
      </text>
    </comment>
    <comment authorId="0" ref="L12">
      <text>
        <t xml:space="preserve">Percent of cashflow investor receives. Does not always equal percent invested or equity.</t>
      </text>
    </comment>
    <comment authorId="0" ref="J13">
      <text>
        <t xml:space="preserve">How much of the total cash needed is invested by the investor? It does not need to match their equity stake.</t>
      </text>
    </comment>
    <comment authorId="0" ref="K13">
      <text>
        <t xml:space="preserve">Input the % of the Total Cash Needed (Cell G4 = all acquisition &amp; setup costs)</t>
      </text>
    </comment>
    <comment authorId="0" ref="J16">
      <text>
        <t xml:space="preserve">Simple measure of annual cashflow divided by total cash invested</t>
      </text>
    </comment>
    <comment authorId="0" ref="A19">
      <text>
        <t xml:space="preserve">Essential furniture only. Does not include hot tub or other major purchases.
Also include initial supplies to get started.</t>
      </text>
    </comment>
    <comment authorId="0" ref="E19">
      <text>
        <t xml:space="preserve">If doing Arbitrage, fill in the Rent row. 
If co-hosting, leave rent at zero and fill in the mortgage, taxes, insurance, and HOA, if applicable</t>
      </text>
    </comment>
    <comment authorId="0" ref="E21">
      <text>
        <t xml:space="preserve">If doing Arbitrage, what is the monthly rent?</t>
      </text>
    </comment>
    <comment authorId="0" ref="A22">
      <text>
        <t xml:space="preserve">Click the "+" icon on the left to open set-up details</t>
      </text>
    </comment>
    <comment authorId="0" ref="E22">
      <text>
        <t xml:space="preserve">Be sure to acquire insurance intended for short-term rentals. A good estimate is $3-4k annual.
If arbitrage only, talk to insurance broker or Superhog to get supplementary insurance on top of the landlord insurance.
Standard homeowners or landlord's insurance will generally not cover short-term rental related claims. Speak to an insurance broker for more details.</t>
      </text>
    </comment>
    <comment authorId="0" ref="E26">
      <text>
        <t xml:space="preserve">3% for AirBNB
8% for VRBO
If assume 80% AirBNB, 20% VRBO, weighted average is 4%</t>
      </text>
    </comment>
    <comment authorId="0" ref="E27">
      <text>
        <t xml:space="preserve">5% is a good estimate for routine repairs and maintenance. 
Feel free to adjust but better to have underspent your maintenance budget vs not budgeting enough for maintenance</t>
      </text>
    </comment>
    <comment authorId="0" ref="E28">
      <text>
        <t xml:space="preserve">Depends on the amount of supplies you will need in addition to standard bathroom and kitchen supplies. Ex. propane, firewood, gifts, etc.</t>
      </text>
    </comment>
    <comment authorId="0" ref="E29">
      <text>
        <t xml:space="preserve">More determined by your risk tolerance. Recommended to at least set aside 1% for emergency repairs, refunds, or other last minute needs</t>
      </text>
    </comment>
    <comment authorId="0" ref="E30">
      <text>
        <t xml:space="preserve">- electricity
- gas
- garbage
- water</t>
      </text>
    </comment>
    <comment authorId="0" ref="E31">
      <text>
        <t xml:space="preserve">Lawnmowing, edging, landscaping trimming, pressure washing, leaf removal, snow removal, etc.</t>
      </text>
    </comment>
    <comment authorId="0" ref="E32">
      <text>
        <t xml:space="preserve">Different for each market.
~$40-$100</t>
      </text>
    </comment>
    <comment authorId="0" ref="E33">
      <text>
        <t xml:space="preserve">~$200-$250 per water feature (i.e. pool or hot tub)</t>
      </text>
    </comment>
    <comment authorId="0" ref="E34">
      <text>
        <t xml:space="preserve">Pay yourself first. 10% is a good low rate if paying yourself. Most STR operators charge up to 25%</t>
      </text>
    </comment>
    <comment authorId="0" ref="A35">
      <text>
        <t xml:space="preserve">**ONLY IMPACTS "INVESTOR" NUMBERS**
If you are borrowing money from a private lender to fund the down payment, enter those details here. Be sure to discuss with your agent or lender on what is allowed. Typical conforming loans do not allow a subordinate lien.</t>
      </text>
    </comment>
    <comment authorId="0" ref="E35">
      <text>
        <t xml:space="preserve">Click the "+" icon on the left to open cleaning estimate details.
Only input cleaning fees if revenue includes revenue from cleaning fees. 
For example, AirDNA reports nightly rate &amp; cleaning fee revenue together.
If revenue does not include cleaning fees, assume cleaning fees are a pass through (income = expense) or adjust expenses based on difference between cleaning fee and expense (paid to cleaner - paid by guest)</t>
      </text>
    </comment>
    <comment authorId="0" ref="A36">
      <text>
        <t xml:space="preserve">If an investor loans you capital (vs buying equity).</t>
      </text>
    </comment>
    <comment authorId="0" ref="E36">
      <text>
        <t xml:space="preserve">Roughly equals days in month divided by average duration of stay multiplied by occupancy rate.
Example
2.5 average stay (30/2.5 = 12 stays)
100% = 12
80% = 10
60% = 7</t>
      </text>
    </comment>
    <comment authorId="0" ref="E37">
      <text>
        <t xml:space="preserve">Determine this based on your local market and similar-sized competitors. </t>
      </text>
    </comment>
  </commentList>
</comments>
</file>

<file path=xl/sharedStrings.xml><?xml version="1.0" encoding="utf-8"?>
<sst xmlns="http://schemas.openxmlformats.org/spreadsheetml/2006/main" count="101" uniqueCount="89">
  <si>
    <r>
      <rPr>
        <rFont val="Arial"/>
        <b/>
        <color rgb="FFFF0000"/>
        <sz val="14.0"/>
      </rPr>
      <t xml:space="preserve">PLEASE DO NOT REQUEST ACCESS. SAVE A COPY TO YOUR OWN DRIVE. CLICK FILE </t>
    </r>
    <r>
      <rPr>
        <rFont val="Arial"/>
        <b/>
        <color rgb="FFFF0000"/>
        <sz val="18.0"/>
      </rPr>
      <t>→</t>
    </r>
    <r>
      <rPr>
        <rFont val="Arial"/>
        <b/>
        <color rgb="FFFF0000"/>
        <sz val="14.0"/>
      </rPr>
      <t xml:space="preserve"> SAVE A COPY</t>
    </r>
  </si>
  <si>
    <t>Only fill out the blue cells</t>
  </si>
  <si>
    <t>RENTAL ARBITRAGE WORKSHEET</t>
  </si>
  <si>
    <t>PROPERTY DETAILS</t>
  </si>
  <si>
    <t>PROPERTY SCORECARD</t>
  </si>
  <si>
    <t>GENERAL PARTNER SCORECARD</t>
  </si>
  <si>
    <t>Year</t>
  </si>
  <si>
    <t>Address</t>
  </si>
  <si>
    <t>Total Cash Needed</t>
  </si>
  <si>
    <t>INCOME</t>
  </si>
  <si>
    <t>Beds</t>
  </si>
  <si>
    <t>Monthly Cashflow</t>
  </si>
  <si>
    <t>Gross Revenue</t>
  </si>
  <si>
    <t>Baths</t>
  </si>
  <si>
    <t>Year 1 CoC Return</t>
  </si>
  <si>
    <t>CoC Return</t>
  </si>
  <si>
    <t>Revenue Growth</t>
  </si>
  <si>
    <t>Sqft</t>
  </si>
  <si>
    <t>Net Operating Income (NOI)</t>
  </si>
  <si>
    <t>Payback Period (months)</t>
  </si>
  <si>
    <t>Notes</t>
  </si>
  <si>
    <t>LIMITED PARTNER SCORECARD</t>
  </si>
  <si>
    <t>EXPENSES</t>
  </si>
  <si>
    <t>Cashflow</t>
  </si>
  <si>
    <t>Operating Expenses</t>
  </si>
  <si>
    <t>REVENUE</t>
  </si>
  <si>
    <t>Money Invested</t>
  </si>
  <si>
    <t>Expense Growth</t>
  </si>
  <si>
    <t>SETUP COSTS</t>
  </si>
  <si>
    <t>Monthly</t>
  </si>
  <si>
    <t>Annual</t>
  </si>
  <si>
    <t>1st Month Rent</t>
  </si>
  <si>
    <t>Average Daily Rate</t>
  </si>
  <si>
    <t>CASH FLOW</t>
  </si>
  <si>
    <t>Last Month Rent</t>
  </si>
  <si>
    <t>Occupancy</t>
  </si>
  <si>
    <t>Net Operating Income</t>
  </si>
  <si>
    <t>Security Deposit</t>
  </si>
  <si>
    <t>Active Days</t>
  </si>
  <si>
    <t>Loan Payments</t>
  </si>
  <si>
    <t>Other Fees</t>
  </si>
  <si>
    <t>LONG-TERM ASSUMPTIONS</t>
  </si>
  <si>
    <t>Pre-Tax Profit</t>
  </si>
  <si>
    <t>Furnishings ($/sqft)</t>
  </si>
  <si>
    <t>FIXED EXPENSES</t>
  </si>
  <si>
    <t>Annual Income Increase</t>
  </si>
  <si>
    <t>Repairs</t>
  </si>
  <si>
    <t>Annual Expense Increase</t>
  </si>
  <si>
    <t>Legal</t>
  </si>
  <si>
    <t>Rent</t>
  </si>
  <si>
    <t>Set-up Expenses</t>
  </si>
  <si>
    <t>Insurance</t>
  </si>
  <si>
    <t>Airfare</t>
  </si>
  <si>
    <t>Total Fixed Expenses</t>
  </si>
  <si>
    <t>Hotels</t>
  </si>
  <si>
    <t>VARIABLE EXPENSES</t>
  </si>
  <si>
    <t>Rental Car</t>
  </si>
  <si>
    <t>Gas</t>
  </si>
  <si>
    <t>OTA Service Fees</t>
  </si>
  <si>
    <t>Meals</t>
  </si>
  <si>
    <t>Maintenance (3-5% revenue)</t>
  </si>
  <si>
    <t>Deep Clean</t>
  </si>
  <si>
    <t>Supplies (1-3% revenue)</t>
  </si>
  <si>
    <t>Furniture Set-Up</t>
  </si>
  <si>
    <t>Misc (1-2% revenue)</t>
  </si>
  <si>
    <t>Photographer</t>
  </si>
  <si>
    <t xml:space="preserve">Utilities </t>
  </si>
  <si>
    <t>Interior Designer</t>
  </si>
  <si>
    <t>Landscaping/Lawncare/Pest Control</t>
  </si>
  <si>
    <t>Moving</t>
  </si>
  <si>
    <t>Internet</t>
  </si>
  <si>
    <t>Misc</t>
  </si>
  <si>
    <t>Hot Tub / Pool Maintenance</t>
  </si>
  <si>
    <t>Total Set Up Costs</t>
  </si>
  <si>
    <t>Management Fee</t>
  </si>
  <si>
    <t>FINANCING (if using debt)</t>
  </si>
  <si>
    <t>Cleaning</t>
  </si>
  <si>
    <t>Loan</t>
  </si>
  <si>
    <t>Turnovers (cleans) per month</t>
  </si>
  <si>
    <t>Interest Rate</t>
  </si>
  <si>
    <t>Cleaning Fee</t>
  </si>
  <si>
    <t>Term (Years)</t>
  </si>
  <si>
    <t>Total Variable Expenses</t>
  </si>
  <si>
    <t>Interest Only?</t>
  </si>
  <si>
    <t>No</t>
  </si>
  <si>
    <t>Total Expenses</t>
  </si>
  <si>
    <t>Monthly Payment</t>
  </si>
  <si>
    <t>NET PROFIT</t>
  </si>
  <si>
    <t>Extra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</si>
</sst>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  <numFmt numFmtId="166" formatCode="0.0%"/>
    <numFmt numFmtId="167" formatCode="&quot;$&quot;#,##0"/>
  </numFmts>
  <fonts count="10">
    <font>
      <sz val="10.0"/>
      <color rgb="FF000000"/>
      <name val="Arial"/>
      <scheme val="minor"/>
    </font>
    <font>
      <b/>
      <sz val="14.0"/>
      <color rgb="FFFF0000"/>
      <name val="Arial"/>
    </font>
    <font>
      <color theme="1"/>
      <name val="Arial"/>
    </font>
    <font>
      <b/>
      <u/>
      <sz val="12.0"/>
      <color rgb="FF0B5394"/>
      <name val="Arial"/>
    </font>
    <font>
      <b/>
      <sz val="14.0"/>
      <color rgb="FFF1C232"/>
      <name val="Arial"/>
    </font>
    <font>
      <b/>
      <sz val="24.0"/>
      <color rgb="FF0B5394"/>
      <name val="Arial"/>
    </font>
    <font>
      <b/>
      <sz val="9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C9DAF8"/>
        <bgColor rgb="FFC9DAF8"/>
      </patternFill>
    </fill>
    <fill>
      <patternFill patternType="solid">
        <fgColor rgb="FFA6E3B7"/>
        <bgColor rgb="FFA6E3B7"/>
      </patternFill>
    </fill>
    <fill>
      <patternFill patternType="solid">
        <fgColor rgb="FFF4CCCC"/>
        <bgColor rgb="FFF4CCCC"/>
      </patternFill>
    </fill>
    <fill>
      <patternFill patternType="solid">
        <fgColor rgb="FFB45F06"/>
        <bgColor rgb="FFB45F06"/>
      </patternFill>
    </fill>
    <fill>
      <patternFill patternType="solid">
        <fgColor rgb="FFB4C6E7"/>
        <bgColor rgb="FFB4C6E7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34A853"/>
        <bgColor rgb="FF34A853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/>
    </xf>
    <xf borderId="0" fillId="2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3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5" fontId="2" numFmtId="0" xfId="0" applyAlignment="1" applyFill="1" applyFont="1">
      <alignment vertical="bottom"/>
    </xf>
    <xf borderId="0" fillId="0" fontId="8" numFmtId="164" xfId="0" applyAlignment="1" applyFont="1" applyNumberFormat="1">
      <alignment horizontal="right" vertical="bottom"/>
    </xf>
    <xf borderId="1" fillId="6" fontId="7" numFmtId="0" xfId="0" applyAlignment="1" applyBorder="1" applyFill="1" applyFont="1">
      <alignment vertical="bottom"/>
    </xf>
    <xf borderId="2" fillId="6" fontId="2" numFmtId="0" xfId="0" applyAlignment="1" applyBorder="1" applyFont="1">
      <alignment vertical="bottom"/>
    </xf>
    <xf borderId="3" fillId="6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0" fillId="5" fontId="8" numFmtId="0" xfId="0" applyAlignment="1" applyFont="1">
      <alignment horizontal="right" vertical="bottom"/>
    </xf>
    <xf borderId="4" fillId="0" fontId="8" numFmtId="0" xfId="0" applyAlignment="1" applyBorder="1" applyFont="1">
      <alignment vertical="bottom"/>
    </xf>
    <xf borderId="5" fillId="0" fontId="8" numFmtId="164" xfId="0" applyAlignment="1" applyBorder="1" applyFont="1" applyNumberFormat="1">
      <alignment horizontal="right" vertical="bottom"/>
    </xf>
    <xf borderId="0" fillId="7" fontId="8" numFmtId="166" xfId="0" applyAlignment="1" applyFill="1" applyFont="1" applyNumberFormat="1">
      <alignment horizontal="right" vertical="bottom"/>
    </xf>
    <xf borderId="0" fillId="7" fontId="8" numFmtId="166" xfId="0" applyAlignment="1" applyFont="1" applyNumberFormat="1">
      <alignment horizontal="center" vertical="bottom"/>
    </xf>
    <xf borderId="6" fillId="0" fontId="8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7" fillId="0" fontId="8" numFmtId="9" xfId="0" applyAlignment="1" applyBorder="1" applyFont="1" applyNumberFormat="1">
      <alignment horizontal="right" vertical="bottom"/>
    </xf>
    <xf borderId="8" fillId="0" fontId="8" numFmtId="9" xfId="0" applyAlignment="1" applyBorder="1" applyFont="1" applyNumberFormat="1">
      <alignment horizontal="right" vertical="bottom"/>
    </xf>
    <xf borderId="0" fillId="5" fontId="8" numFmtId="3" xfId="0" applyAlignment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8" fontId="6" numFmtId="0" xfId="0" applyAlignment="1" applyFill="1" applyFont="1">
      <alignment horizontal="center" vertical="bottom"/>
    </xf>
    <xf borderId="1" fillId="7" fontId="7" numFmtId="0" xfId="0" applyAlignment="1" applyBorder="1" applyFont="1">
      <alignment vertical="bottom"/>
    </xf>
    <xf borderId="2" fillId="7" fontId="2" numFmtId="0" xfId="0" applyAlignment="1" applyBorder="1" applyFont="1">
      <alignment vertical="bottom"/>
    </xf>
    <xf borderId="3" fillId="7" fontId="2" numFmtId="0" xfId="0" applyAlignment="1" applyBorder="1" applyFont="1">
      <alignment vertical="bottom"/>
    </xf>
    <xf borderId="0" fillId="5" fontId="8" numFmtId="9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5" fontId="8" numFmtId="164" xfId="0" applyAlignment="1" applyFont="1" applyNumberFormat="1">
      <alignment horizontal="right" vertical="bottom"/>
    </xf>
    <xf borderId="0" fillId="5" fontId="8" numFmtId="164" xfId="0" applyAlignment="1" applyFont="1" applyNumberFormat="1">
      <alignment horizontal="right" vertical="bottom"/>
    </xf>
    <xf borderId="1" fillId="9" fontId="7" numFmtId="0" xfId="0" applyAlignment="1" applyBorder="1" applyFill="1" applyFont="1">
      <alignment vertical="bottom"/>
    </xf>
    <xf borderId="2" fillId="9" fontId="2" numFmtId="0" xfId="0" applyAlignment="1" applyBorder="1" applyFont="1">
      <alignment vertical="bottom"/>
    </xf>
    <xf borderId="3" fillId="9" fontId="2" numFmtId="0" xfId="0" applyAlignment="1" applyBorder="1" applyFont="1">
      <alignment vertical="bottom"/>
    </xf>
    <xf borderId="0" fillId="0" fontId="8" numFmtId="166" xfId="0" applyAlignment="1" applyFont="1" applyNumberFormat="1">
      <alignment horizontal="right" vertical="bottom"/>
    </xf>
    <xf borderId="0" fillId="10" fontId="7" numFmtId="0" xfId="0" applyAlignment="1" applyFill="1" applyFont="1">
      <alignment vertical="bottom"/>
    </xf>
    <xf borderId="0" fillId="10" fontId="7" numFmtId="164" xfId="0" applyAlignment="1" applyFont="1" applyNumberFormat="1">
      <alignment horizontal="right" vertical="bottom"/>
    </xf>
    <xf borderId="9" fillId="9" fontId="7" numFmtId="0" xfId="0" applyAlignment="1" applyBorder="1" applyFont="1">
      <alignment vertical="bottom"/>
    </xf>
    <xf borderId="10" fillId="9" fontId="7" numFmtId="164" xfId="0" applyAlignment="1" applyBorder="1" applyFont="1" applyNumberFormat="1">
      <alignment horizontal="right" vertical="bottom"/>
    </xf>
    <xf borderId="11" fillId="9" fontId="7" numFmtId="164" xfId="0" applyAlignment="1" applyBorder="1" applyFont="1" applyNumberFormat="1">
      <alignment horizontal="right" vertical="bottom"/>
    </xf>
    <xf borderId="0" fillId="5" fontId="8" numFmtId="164" xfId="0" applyAlignment="1" applyFont="1" applyNumberFormat="1">
      <alignment horizontal="center" vertical="bottom"/>
    </xf>
    <xf borderId="12" fillId="0" fontId="2" numFmtId="0" xfId="0" applyAlignment="1" applyBorder="1" applyFont="1">
      <alignment vertical="bottom"/>
    </xf>
    <xf borderId="0" fillId="11" fontId="8" numFmtId="164" xfId="0" applyAlignment="1" applyFill="1" applyFont="1" applyNumberFormat="1">
      <alignment horizontal="right" vertical="bottom"/>
    </xf>
    <xf borderId="13" fillId="0" fontId="2" numFmtId="0" xfId="0" applyAlignment="1" applyBorder="1" applyFont="1">
      <alignment vertical="bottom"/>
    </xf>
    <xf borderId="0" fillId="0" fontId="9" numFmtId="49" xfId="0" applyAlignment="1" applyFont="1" applyNumberFormat="1">
      <alignment vertical="bottom"/>
    </xf>
    <xf borderId="0" fillId="7" fontId="7" numFmtId="0" xfId="0" applyAlignment="1" applyFont="1">
      <alignment vertical="bottom"/>
    </xf>
    <xf borderId="0" fillId="7" fontId="7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0" fillId="0" fontId="7" numFmtId="164" xfId="0" applyAlignment="1" applyFont="1" applyNumberFormat="1">
      <alignment horizontal="center" vertical="bottom"/>
    </xf>
    <xf borderId="0" fillId="3" fontId="6" numFmtId="0" xfId="0" applyAlignment="1" applyFont="1">
      <alignment horizontal="center" shrinkToFit="0" vertical="bottom" wrapText="1"/>
    </xf>
    <xf borderId="0" fillId="0" fontId="7" numFmtId="164" xfId="0" applyAlignment="1" applyFont="1" applyNumberFormat="1">
      <alignment horizontal="right" vertical="bottom"/>
    </xf>
    <xf borderId="0" fillId="0" fontId="8" numFmtId="49" xfId="0" applyAlignment="1" applyFont="1" applyNumberFormat="1">
      <alignment vertical="bottom"/>
    </xf>
    <xf borderId="12" fillId="0" fontId="2" numFmtId="49" xfId="0" applyAlignment="1" applyBorder="1" applyFont="1" applyNumberFormat="1">
      <alignment vertical="bottom"/>
    </xf>
    <xf borderId="0" fillId="11" fontId="2" numFmtId="0" xfId="0" applyAlignment="1" applyFont="1">
      <alignment vertical="bottom"/>
    </xf>
    <xf borderId="0" fillId="12" fontId="7" numFmtId="0" xfId="0" applyAlignment="1" applyFill="1" applyFont="1">
      <alignment vertical="bottom"/>
    </xf>
    <xf borderId="0" fillId="12" fontId="7" numFmtId="164" xfId="0" applyAlignment="1" applyFont="1" applyNumberForma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0" fillId="13" fontId="6" numFmtId="0" xfId="0" applyAlignment="1" applyFill="1" applyFont="1">
      <alignment vertical="bottom"/>
    </xf>
    <xf borderId="0" fillId="13" fontId="6" numFmtId="164" xfId="0" applyAlignment="1" applyFont="1" applyNumberFormat="1">
      <alignment horizontal="right" vertical="bottom"/>
    </xf>
    <xf borderId="0" fillId="5" fontId="8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0"/>
    <col customWidth="1" min="9" max="9" width="8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D2" s="2"/>
      <c r="E2" s="5" t="s">
        <v>1</v>
      </c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3"/>
      <c r="X2" s="3"/>
      <c r="Y2" s="3"/>
    </row>
    <row r="3">
      <c r="D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  <c r="R4" s="3"/>
      <c r="S4" s="3"/>
      <c r="T4" s="3"/>
      <c r="U4" s="3"/>
      <c r="V4" s="3"/>
      <c r="W4" s="3"/>
      <c r="X4" s="3"/>
      <c r="Y4" s="3"/>
    </row>
    <row r="5">
      <c r="A5" s="6" t="s">
        <v>2</v>
      </c>
      <c r="M5" s="2"/>
      <c r="N5" s="2"/>
      <c r="O5" s="2"/>
      <c r="P5" s="2"/>
      <c r="Q5" s="3"/>
      <c r="R5" s="3"/>
      <c r="S5" s="3"/>
      <c r="T5" s="3"/>
      <c r="U5" s="3"/>
      <c r="V5" s="3"/>
      <c r="W5" s="3"/>
      <c r="X5" s="3"/>
      <c r="Y5" s="3"/>
    </row>
    <row r="6">
      <c r="A6" s="7" t="s">
        <v>3</v>
      </c>
      <c r="D6" s="2"/>
      <c r="E6" s="7" t="s">
        <v>4</v>
      </c>
      <c r="I6" s="3"/>
      <c r="J6" s="8" t="s">
        <v>5</v>
      </c>
      <c r="M6" s="3"/>
      <c r="N6" s="9" t="s">
        <v>6</v>
      </c>
      <c r="O6" s="10">
        <v>1.0</v>
      </c>
      <c r="P6" s="10">
        <v>2.0</v>
      </c>
      <c r="Q6" s="10">
        <v>3.0</v>
      </c>
      <c r="R6" s="10">
        <v>4.0</v>
      </c>
      <c r="S6" s="10">
        <v>5.0</v>
      </c>
      <c r="T6" s="10">
        <v>6.0</v>
      </c>
      <c r="U6" s="10">
        <v>7.0</v>
      </c>
      <c r="V6" s="10">
        <v>8.0</v>
      </c>
      <c r="W6" s="10">
        <v>9.0</v>
      </c>
      <c r="X6" s="10">
        <v>10.0</v>
      </c>
      <c r="Y6" s="3"/>
    </row>
    <row r="7">
      <c r="A7" s="9" t="s">
        <v>7</v>
      </c>
      <c r="B7" s="11"/>
      <c r="D7" s="3"/>
      <c r="E7" s="9" t="s">
        <v>8</v>
      </c>
      <c r="H7" s="12">
        <f>C34</f>
        <v>44539</v>
      </c>
      <c r="I7" s="3"/>
      <c r="J7" s="9" t="s">
        <v>8</v>
      </c>
      <c r="L7" s="12">
        <f>H7-L14-C36</f>
        <v>11134.75</v>
      </c>
      <c r="M7" s="3"/>
      <c r="N7" s="13" t="s">
        <v>9</v>
      </c>
      <c r="O7" s="14"/>
      <c r="P7" s="14"/>
      <c r="Q7" s="14"/>
      <c r="R7" s="14"/>
      <c r="S7" s="14"/>
      <c r="T7" s="14"/>
      <c r="U7" s="14"/>
      <c r="V7" s="14"/>
      <c r="W7" s="14"/>
      <c r="X7" s="15"/>
      <c r="Y7" s="16"/>
    </row>
    <row r="8">
      <c r="A8" s="9" t="s">
        <v>10</v>
      </c>
      <c r="B8" s="17">
        <v>4.0</v>
      </c>
      <c r="D8" s="3"/>
      <c r="E8" s="9" t="s">
        <v>11</v>
      </c>
      <c r="H8" s="12">
        <f>G40</f>
        <v>-192.1666667</v>
      </c>
      <c r="I8" s="3"/>
      <c r="J8" s="9" t="s">
        <v>11</v>
      </c>
      <c r="L8" s="12">
        <f>$H$8*(1-$L$12)-C42</f>
        <v>-96.08333333</v>
      </c>
      <c r="M8" s="3"/>
      <c r="N8" s="18" t="s">
        <v>12</v>
      </c>
      <c r="O8" s="12">
        <f>H18</f>
        <v>32850</v>
      </c>
      <c r="P8" s="12">
        <f t="shared" ref="P8:X8" si="1">O8*(1+P9)</f>
        <v>33835.5</v>
      </c>
      <c r="Q8" s="12">
        <f t="shared" si="1"/>
        <v>34850.565</v>
      </c>
      <c r="R8" s="12">
        <f t="shared" si="1"/>
        <v>35896.08195</v>
      </c>
      <c r="S8" s="12">
        <f t="shared" si="1"/>
        <v>36972.96441</v>
      </c>
      <c r="T8" s="12">
        <f t="shared" si="1"/>
        <v>38082.15334</v>
      </c>
      <c r="U8" s="12">
        <f t="shared" si="1"/>
        <v>39224.61794</v>
      </c>
      <c r="V8" s="12">
        <f t="shared" si="1"/>
        <v>40401.35648</v>
      </c>
      <c r="W8" s="12">
        <f t="shared" si="1"/>
        <v>41613.39717</v>
      </c>
      <c r="X8" s="19">
        <f t="shared" si="1"/>
        <v>42861.79909</v>
      </c>
      <c r="Y8" s="16"/>
    </row>
    <row r="9">
      <c r="A9" s="9" t="s">
        <v>13</v>
      </c>
      <c r="B9" s="17">
        <v>4.5</v>
      </c>
      <c r="D9" s="3"/>
      <c r="E9" s="9" t="s">
        <v>14</v>
      </c>
      <c r="H9" s="20">
        <f>H8/H7*12</f>
        <v>-0.05177484901</v>
      </c>
      <c r="I9" s="3"/>
      <c r="J9" s="9" t="s">
        <v>15</v>
      </c>
      <c r="L9" s="21">
        <f>if(L7&lt;=0, "infinite", L8*12/L7)</f>
        <v>-0.103549698</v>
      </c>
      <c r="M9" s="3"/>
      <c r="N9" s="22" t="s">
        <v>16</v>
      </c>
      <c r="O9" s="23"/>
      <c r="P9" s="24">
        <f>K19</f>
        <v>0.03</v>
      </c>
      <c r="Q9" s="24">
        <f t="shared" ref="Q9:X9" si="2">P9</f>
        <v>0.03</v>
      </c>
      <c r="R9" s="24">
        <f t="shared" si="2"/>
        <v>0.03</v>
      </c>
      <c r="S9" s="24">
        <f t="shared" si="2"/>
        <v>0.03</v>
      </c>
      <c r="T9" s="24">
        <f t="shared" si="2"/>
        <v>0.03</v>
      </c>
      <c r="U9" s="24">
        <f t="shared" si="2"/>
        <v>0.03</v>
      </c>
      <c r="V9" s="24">
        <f t="shared" si="2"/>
        <v>0.03</v>
      </c>
      <c r="W9" s="24">
        <f t="shared" si="2"/>
        <v>0.03</v>
      </c>
      <c r="X9" s="25">
        <f t="shared" si="2"/>
        <v>0.03</v>
      </c>
      <c r="Y9" s="3"/>
    </row>
    <row r="10">
      <c r="A10" s="9" t="s">
        <v>17</v>
      </c>
      <c r="B10" s="26">
        <v>2753.0</v>
      </c>
      <c r="D10" s="3"/>
      <c r="E10" s="9" t="s">
        <v>18</v>
      </c>
      <c r="H10" s="27">
        <f>H8</f>
        <v>-192.1666667</v>
      </c>
      <c r="I10" s="3"/>
      <c r="J10" s="9" t="s">
        <v>19</v>
      </c>
      <c r="L10" s="28">
        <f>roundup(100%/L9*12,0)</f>
        <v>-116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9" t="s">
        <v>20</v>
      </c>
      <c r="D11" s="3"/>
      <c r="E11" s="9" t="s">
        <v>19</v>
      </c>
      <c r="H11" s="28">
        <f>roundup(100%/H9*12,0)</f>
        <v>-232</v>
      </c>
      <c r="I11" s="3"/>
      <c r="J11" s="29" t="s">
        <v>21</v>
      </c>
      <c r="M11" s="3"/>
      <c r="N11" s="30" t="s">
        <v>22</v>
      </c>
      <c r="O11" s="31"/>
      <c r="P11" s="31"/>
      <c r="Q11" s="31"/>
      <c r="R11" s="31"/>
      <c r="S11" s="31"/>
      <c r="T11" s="31"/>
      <c r="U11" s="31"/>
      <c r="V11" s="31"/>
      <c r="W11" s="31"/>
      <c r="X11" s="32"/>
      <c r="Y11" s="3"/>
    </row>
    <row r="12">
      <c r="A12" s="11"/>
      <c r="D12" s="3"/>
      <c r="E12" s="3"/>
      <c r="F12" s="3"/>
      <c r="G12" s="3"/>
      <c r="H12" s="3"/>
      <c r="I12" s="3"/>
      <c r="J12" s="9" t="s">
        <v>23</v>
      </c>
      <c r="K12" s="3"/>
      <c r="L12" s="33">
        <v>0.5</v>
      </c>
      <c r="M12" s="3"/>
      <c r="N12" s="18" t="s">
        <v>24</v>
      </c>
      <c r="O12" s="12">
        <f>H38</f>
        <v>16656</v>
      </c>
      <c r="P12" s="12">
        <f t="shared" ref="P12:X12" si="3">O12*(1+P13)</f>
        <v>17155.68</v>
      </c>
      <c r="Q12" s="12">
        <f t="shared" si="3"/>
        <v>17670.3504</v>
      </c>
      <c r="R12" s="12">
        <f t="shared" si="3"/>
        <v>18200.46091</v>
      </c>
      <c r="S12" s="12">
        <f t="shared" si="3"/>
        <v>18746.47474</v>
      </c>
      <c r="T12" s="12">
        <f t="shared" si="3"/>
        <v>19308.86898</v>
      </c>
      <c r="U12" s="12">
        <f t="shared" si="3"/>
        <v>19888.13505</v>
      </c>
      <c r="V12" s="12">
        <f t="shared" si="3"/>
        <v>20484.7791</v>
      </c>
      <c r="W12" s="12">
        <f t="shared" si="3"/>
        <v>21099.32248</v>
      </c>
      <c r="X12" s="19">
        <f t="shared" si="3"/>
        <v>21732.30215</v>
      </c>
      <c r="Y12" s="16"/>
    </row>
    <row r="13">
      <c r="D13" s="3"/>
      <c r="E13" s="7" t="s">
        <v>25</v>
      </c>
      <c r="I13" s="3"/>
      <c r="J13" s="9" t="s">
        <v>26</v>
      </c>
      <c r="K13" s="33">
        <v>0.75</v>
      </c>
      <c r="L13" s="12">
        <f>K13*H7</f>
        <v>33404.25</v>
      </c>
      <c r="M13" s="3"/>
      <c r="N13" s="22" t="s">
        <v>27</v>
      </c>
      <c r="O13" s="23"/>
      <c r="P13" s="24">
        <f>K20</f>
        <v>0.03</v>
      </c>
      <c r="Q13" s="24">
        <f t="shared" ref="Q13:X13" si="4">P13</f>
        <v>0.03</v>
      </c>
      <c r="R13" s="24">
        <f t="shared" si="4"/>
        <v>0.03</v>
      </c>
      <c r="S13" s="24">
        <f t="shared" si="4"/>
        <v>0.03</v>
      </c>
      <c r="T13" s="24">
        <f t="shared" si="4"/>
        <v>0.03</v>
      </c>
      <c r="U13" s="24">
        <f t="shared" si="4"/>
        <v>0.03</v>
      </c>
      <c r="V13" s="24">
        <f t="shared" si="4"/>
        <v>0.03</v>
      </c>
      <c r="W13" s="24">
        <f t="shared" si="4"/>
        <v>0.03</v>
      </c>
      <c r="X13" s="25">
        <f t="shared" si="4"/>
        <v>0.03</v>
      </c>
      <c r="Y13" s="16"/>
    </row>
    <row r="14">
      <c r="A14" s="7" t="s">
        <v>28</v>
      </c>
      <c r="D14" s="3"/>
      <c r="E14" s="3"/>
      <c r="G14" s="9" t="s">
        <v>29</v>
      </c>
      <c r="H14" s="9" t="s">
        <v>30</v>
      </c>
      <c r="I14" s="3"/>
      <c r="J14" s="9" t="s">
        <v>8</v>
      </c>
      <c r="L14" s="12">
        <f>L13</f>
        <v>33404.25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16"/>
    </row>
    <row r="15">
      <c r="A15" s="34" t="s">
        <v>31</v>
      </c>
      <c r="C15" s="35">
        <v>0.0</v>
      </c>
      <c r="D15" s="3"/>
      <c r="E15" s="34" t="s">
        <v>32</v>
      </c>
      <c r="H15" s="36">
        <v>150.0</v>
      </c>
      <c r="I15" s="3"/>
      <c r="J15" s="9" t="s">
        <v>11</v>
      </c>
      <c r="L15" s="12">
        <f>H8*L12</f>
        <v>-96.08333333</v>
      </c>
      <c r="M15" s="3"/>
      <c r="N15" s="37" t="s">
        <v>33</v>
      </c>
      <c r="O15" s="38"/>
      <c r="P15" s="38"/>
      <c r="Q15" s="38"/>
      <c r="R15" s="38"/>
      <c r="S15" s="38"/>
      <c r="T15" s="38"/>
      <c r="U15" s="38"/>
      <c r="V15" s="38"/>
      <c r="W15" s="38"/>
      <c r="X15" s="39"/>
      <c r="Y15" s="16"/>
    </row>
    <row r="16">
      <c r="A16" s="34" t="s">
        <v>34</v>
      </c>
      <c r="C16" s="35">
        <v>0.0</v>
      </c>
      <c r="D16" s="3"/>
      <c r="E16" s="34" t="s">
        <v>35</v>
      </c>
      <c r="H16" s="33">
        <v>0.6</v>
      </c>
      <c r="I16" s="3"/>
      <c r="J16" s="9" t="s">
        <v>15</v>
      </c>
      <c r="L16" s="40">
        <f>L15*12/L14</f>
        <v>-0.03451656601</v>
      </c>
      <c r="M16" s="3"/>
      <c r="N16" s="18" t="s">
        <v>36</v>
      </c>
      <c r="O16" s="12">
        <f t="shared" ref="O16:X16" si="5">O8-O12</f>
        <v>16194</v>
      </c>
      <c r="P16" s="12">
        <f t="shared" si="5"/>
        <v>16679.82</v>
      </c>
      <c r="Q16" s="12">
        <f t="shared" si="5"/>
        <v>17180.2146</v>
      </c>
      <c r="R16" s="12">
        <f t="shared" si="5"/>
        <v>17695.62104</v>
      </c>
      <c r="S16" s="12">
        <f t="shared" si="5"/>
        <v>18226.48967</v>
      </c>
      <c r="T16" s="12">
        <f t="shared" si="5"/>
        <v>18773.28436</v>
      </c>
      <c r="U16" s="12">
        <f t="shared" si="5"/>
        <v>19336.48289</v>
      </c>
      <c r="V16" s="12">
        <f t="shared" si="5"/>
        <v>19916.57738</v>
      </c>
      <c r="W16" s="12">
        <f t="shared" si="5"/>
        <v>20514.0747</v>
      </c>
      <c r="X16" s="19">
        <f t="shared" si="5"/>
        <v>21129.49694</v>
      </c>
      <c r="Y16" s="16"/>
    </row>
    <row r="17">
      <c r="A17" s="34" t="s">
        <v>37</v>
      </c>
      <c r="C17" s="35">
        <v>7500.0</v>
      </c>
      <c r="D17" s="3"/>
      <c r="E17" s="34" t="s">
        <v>38</v>
      </c>
      <c r="H17" s="26">
        <v>365.0</v>
      </c>
      <c r="I17" s="3"/>
      <c r="J17" s="3"/>
      <c r="K17" s="3"/>
      <c r="L17" s="3"/>
      <c r="M17" s="3"/>
      <c r="N17" s="18" t="s">
        <v>39</v>
      </c>
      <c r="O17" s="12">
        <f>$C$40*12</f>
        <v>0</v>
      </c>
      <c r="P17" s="12">
        <f t="shared" ref="P17:X17" si="6">O17</f>
        <v>0</v>
      </c>
      <c r="Q17" s="12">
        <f t="shared" si="6"/>
        <v>0</v>
      </c>
      <c r="R17" s="12">
        <f t="shared" si="6"/>
        <v>0</v>
      </c>
      <c r="S17" s="12">
        <f t="shared" si="6"/>
        <v>0</v>
      </c>
      <c r="T17" s="12">
        <f t="shared" si="6"/>
        <v>0</v>
      </c>
      <c r="U17" s="12">
        <f t="shared" si="6"/>
        <v>0</v>
      </c>
      <c r="V17" s="12">
        <f t="shared" si="6"/>
        <v>0</v>
      </c>
      <c r="W17" s="12">
        <f t="shared" si="6"/>
        <v>0</v>
      </c>
      <c r="X17" s="19">
        <f t="shared" si="6"/>
        <v>0</v>
      </c>
      <c r="Y17" s="16"/>
    </row>
    <row r="18">
      <c r="A18" s="34" t="s">
        <v>40</v>
      </c>
      <c r="C18" s="35">
        <f>B18*C15</f>
        <v>0</v>
      </c>
      <c r="D18" s="3"/>
      <c r="E18" s="41" t="s">
        <v>12</v>
      </c>
      <c r="G18" s="42">
        <f>H18/12</f>
        <v>2737.5</v>
      </c>
      <c r="H18" s="42">
        <f>H15*H16*H17</f>
        <v>32850</v>
      </c>
      <c r="I18" s="3"/>
      <c r="J18" s="7" t="s">
        <v>41</v>
      </c>
      <c r="L18" s="3"/>
      <c r="M18" s="3"/>
      <c r="N18" s="43" t="s">
        <v>42</v>
      </c>
      <c r="O18" s="44">
        <f t="shared" ref="O18:X18" si="7">O16-O17</f>
        <v>16194</v>
      </c>
      <c r="P18" s="44">
        <f t="shared" si="7"/>
        <v>16679.82</v>
      </c>
      <c r="Q18" s="44">
        <f t="shared" si="7"/>
        <v>17180.2146</v>
      </c>
      <c r="R18" s="44">
        <f t="shared" si="7"/>
        <v>17695.62104</v>
      </c>
      <c r="S18" s="44">
        <f t="shared" si="7"/>
        <v>18226.48967</v>
      </c>
      <c r="T18" s="44">
        <f t="shared" si="7"/>
        <v>18773.28436</v>
      </c>
      <c r="U18" s="44">
        <f t="shared" si="7"/>
        <v>19336.48289</v>
      </c>
      <c r="V18" s="44">
        <f t="shared" si="7"/>
        <v>19916.57738</v>
      </c>
      <c r="W18" s="44">
        <f t="shared" si="7"/>
        <v>20514.0747</v>
      </c>
      <c r="X18" s="45">
        <f t="shared" si="7"/>
        <v>21129.49694</v>
      </c>
      <c r="Y18" s="16"/>
    </row>
    <row r="19">
      <c r="A19" s="34" t="s">
        <v>43</v>
      </c>
      <c r="B19" s="36">
        <v>13.0</v>
      </c>
      <c r="C19" s="12">
        <f>B19*B10</f>
        <v>35789</v>
      </c>
      <c r="D19" s="3"/>
      <c r="E19" s="7" t="s">
        <v>44</v>
      </c>
      <c r="I19" s="3"/>
      <c r="J19" s="9" t="s">
        <v>45</v>
      </c>
      <c r="K19" s="33">
        <v>0.03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16"/>
    </row>
    <row r="20">
      <c r="A20" s="34" t="s">
        <v>46</v>
      </c>
      <c r="C20" s="36">
        <v>0.0</v>
      </c>
      <c r="D20" s="3"/>
      <c r="E20" s="3"/>
      <c r="G20" s="9" t="s">
        <v>29</v>
      </c>
      <c r="H20" s="9" t="s">
        <v>30</v>
      </c>
      <c r="I20" s="3"/>
      <c r="J20" s="9" t="s">
        <v>47</v>
      </c>
      <c r="K20" s="33">
        <v>0.03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16"/>
    </row>
    <row r="21">
      <c r="A21" s="34" t="s">
        <v>48</v>
      </c>
      <c r="C21" s="46">
        <v>500.0</v>
      </c>
      <c r="D21" s="47"/>
      <c r="E21" s="34" t="s">
        <v>49</v>
      </c>
      <c r="G21" s="36">
        <v>1500.0</v>
      </c>
      <c r="H21" s="48">
        <f>G21*12</f>
        <v>18000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16"/>
    </row>
    <row r="22">
      <c r="A22" s="34" t="s">
        <v>50</v>
      </c>
      <c r="C22" s="12">
        <f>sum(C23:C33)</f>
        <v>750</v>
      </c>
      <c r="D22" s="49"/>
      <c r="E22" s="34" t="s">
        <v>51</v>
      </c>
      <c r="G22" s="48">
        <f>H22/12</f>
        <v>41.66666667</v>
      </c>
      <c r="H22" s="36">
        <v>500.0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16"/>
    </row>
    <row r="23">
      <c r="A23" s="50" t="s">
        <v>52</v>
      </c>
      <c r="C23" s="36">
        <v>0.0</v>
      </c>
      <c r="D23" s="47"/>
      <c r="E23" s="51" t="s">
        <v>53</v>
      </c>
      <c r="G23" s="52">
        <f t="shared" ref="G23:H23" si="8">sum(G21:G22)</f>
        <v>1541.666667</v>
      </c>
      <c r="H23" s="52">
        <f t="shared" si="8"/>
        <v>18500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16"/>
    </row>
    <row r="24">
      <c r="A24" s="50" t="s">
        <v>54</v>
      </c>
      <c r="C24" s="36">
        <v>0.0</v>
      </c>
      <c r="D24" s="47"/>
      <c r="E24" s="7" t="s">
        <v>55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16"/>
    </row>
    <row r="25">
      <c r="A25" s="50" t="s">
        <v>56</v>
      </c>
      <c r="C25" s="36">
        <v>0.0</v>
      </c>
      <c r="D25" s="47"/>
      <c r="E25" s="3"/>
      <c r="G25" s="9" t="s">
        <v>29</v>
      </c>
      <c r="H25" s="9" t="s">
        <v>30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16"/>
    </row>
    <row r="26">
      <c r="A26" s="50" t="s">
        <v>57</v>
      </c>
      <c r="C26" s="36">
        <v>100.0</v>
      </c>
      <c r="D26" s="47"/>
      <c r="E26" s="34" t="s">
        <v>58</v>
      </c>
      <c r="F26" s="33">
        <v>0.03</v>
      </c>
      <c r="G26" s="12">
        <f t="shared" ref="G26:G29" si="9">H26/12</f>
        <v>82.125</v>
      </c>
      <c r="H26" s="12">
        <f>F26*H18</f>
        <v>985.5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16"/>
    </row>
    <row r="27">
      <c r="A27" s="50" t="s">
        <v>59</v>
      </c>
      <c r="C27" s="36">
        <v>100.0</v>
      </c>
      <c r="D27" s="47"/>
      <c r="E27" s="34" t="s">
        <v>60</v>
      </c>
      <c r="F27" s="33">
        <v>0.0</v>
      </c>
      <c r="G27" s="12">
        <f t="shared" si="9"/>
        <v>0</v>
      </c>
      <c r="H27" s="12">
        <f>F27*H18</f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16"/>
    </row>
    <row r="28">
      <c r="A28" s="50" t="s">
        <v>61</v>
      </c>
      <c r="C28" s="36">
        <v>250.0</v>
      </c>
      <c r="D28" s="47"/>
      <c r="E28" s="34" t="s">
        <v>62</v>
      </c>
      <c r="F28" s="33">
        <v>0.08</v>
      </c>
      <c r="G28" s="12">
        <f t="shared" si="9"/>
        <v>219</v>
      </c>
      <c r="H28" s="12">
        <f>F28*H18</f>
        <v>2628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16"/>
    </row>
    <row r="29">
      <c r="A29" s="50" t="s">
        <v>63</v>
      </c>
      <c r="C29" s="36">
        <v>0.0</v>
      </c>
      <c r="D29" s="47"/>
      <c r="E29" s="34" t="s">
        <v>64</v>
      </c>
      <c r="F29" s="33">
        <v>0.05</v>
      </c>
      <c r="G29" s="12">
        <f t="shared" si="9"/>
        <v>136.875</v>
      </c>
      <c r="H29" s="12">
        <f>F29*H18</f>
        <v>1642.5</v>
      </c>
      <c r="I29" s="3"/>
      <c r="J29" s="3"/>
      <c r="K29" s="5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16"/>
    </row>
    <row r="30">
      <c r="A30" s="50" t="s">
        <v>65</v>
      </c>
      <c r="C30" s="36">
        <v>300.0</v>
      </c>
      <c r="D30" s="47"/>
      <c r="E30" s="34" t="s">
        <v>66</v>
      </c>
      <c r="G30" s="36">
        <v>200.0</v>
      </c>
      <c r="H30" s="12">
        <f t="shared" ref="H30:H33" si="10">G30*12</f>
        <v>2400</v>
      </c>
      <c r="I30" s="3"/>
      <c r="J30" s="3"/>
      <c r="K30" s="5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16"/>
    </row>
    <row r="31">
      <c r="A31" s="50" t="s">
        <v>67</v>
      </c>
      <c r="C31" s="36">
        <v>0.0</v>
      </c>
      <c r="D31" s="47"/>
      <c r="E31" s="34" t="s">
        <v>68</v>
      </c>
      <c r="G31" s="36">
        <v>50.0</v>
      </c>
      <c r="H31" s="12">
        <f t="shared" si="10"/>
        <v>600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16"/>
    </row>
    <row r="32">
      <c r="A32" s="50" t="s">
        <v>69</v>
      </c>
      <c r="C32" s="36">
        <v>0.0</v>
      </c>
      <c r="D32" s="47"/>
      <c r="E32" s="34" t="s">
        <v>70</v>
      </c>
      <c r="G32" s="36">
        <v>100.0</v>
      </c>
      <c r="H32" s="12">
        <f t="shared" si="10"/>
        <v>1200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16"/>
    </row>
    <row r="33">
      <c r="A33" s="50" t="s">
        <v>71</v>
      </c>
      <c r="C33" s="36">
        <v>0.0</v>
      </c>
      <c r="D33" s="47"/>
      <c r="E33" s="34" t="s">
        <v>72</v>
      </c>
      <c r="G33" s="36">
        <v>0.0</v>
      </c>
      <c r="H33" s="12">
        <f t="shared" si="10"/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16"/>
    </row>
    <row r="34">
      <c r="A34" s="9" t="s">
        <v>73</v>
      </c>
      <c r="C34" s="55">
        <f>sum(C15:C22)</f>
        <v>44539</v>
      </c>
      <c r="D34" s="47"/>
      <c r="E34" s="34" t="s">
        <v>74</v>
      </c>
      <c r="F34" s="33">
        <v>0.0</v>
      </c>
      <c r="G34" s="12">
        <f>H34/12</f>
        <v>0</v>
      </c>
      <c r="H34" s="12">
        <f>F34*H18</f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16"/>
    </row>
    <row r="35">
      <c r="A35" s="56" t="s">
        <v>75</v>
      </c>
      <c r="D35" s="47"/>
      <c r="E35" s="9" t="s">
        <v>76</v>
      </c>
      <c r="G35" s="57">
        <f>G36*G37</f>
        <v>600</v>
      </c>
      <c r="H35" s="57">
        <f t="shared" ref="H35:H36" si="11">G35*12</f>
        <v>7200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16"/>
    </row>
    <row r="36">
      <c r="A36" s="34" t="s">
        <v>77</v>
      </c>
      <c r="C36" s="36">
        <v>0.0</v>
      </c>
      <c r="D36" s="47"/>
      <c r="E36" s="58" t="s">
        <v>78</v>
      </c>
      <c r="G36" s="17">
        <v>6.0</v>
      </c>
      <c r="H36" s="28">
        <f t="shared" si="11"/>
        <v>72</v>
      </c>
      <c r="I36" s="3"/>
      <c r="J36" s="3"/>
      <c r="K36" s="3"/>
      <c r="L36" s="3"/>
      <c r="M36" s="3"/>
      <c r="N36" s="3"/>
      <c r="O36" s="54"/>
      <c r="P36" s="3"/>
      <c r="Q36" s="3"/>
      <c r="R36" s="3"/>
      <c r="S36" s="3"/>
      <c r="T36" s="3"/>
      <c r="U36" s="3"/>
      <c r="V36" s="3"/>
      <c r="W36" s="3"/>
      <c r="X36" s="3"/>
      <c r="Y36" s="16"/>
    </row>
    <row r="37">
      <c r="A37" s="34" t="s">
        <v>79</v>
      </c>
      <c r="C37" s="33">
        <v>0.1</v>
      </c>
      <c r="D37" s="59"/>
      <c r="E37" s="58" t="s">
        <v>80</v>
      </c>
      <c r="G37" s="36">
        <v>100.0</v>
      </c>
      <c r="H37" s="12">
        <f>G37</f>
        <v>100</v>
      </c>
      <c r="I37" s="3"/>
      <c r="J37" s="3"/>
      <c r="K37" s="60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16"/>
    </row>
    <row r="38">
      <c r="A38" s="34" t="s">
        <v>81</v>
      </c>
      <c r="C38" s="17">
        <v>10.0</v>
      </c>
      <c r="D38" s="59"/>
      <c r="E38" s="51" t="s">
        <v>82</v>
      </c>
      <c r="G38" s="52">
        <f t="shared" ref="G38:H38" si="12">SUM(G26:G35)</f>
        <v>1388</v>
      </c>
      <c r="H38" s="52">
        <f t="shared" si="12"/>
        <v>16656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16"/>
    </row>
    <row r="39">
      <c r="A39" s="34" t="s">
        <v>83</v>
      </c>
      <c r="C39" s="17" t="s">
        <v>84</v>
      </c>
      <c r="D39" s="47"/>
      <c r="E39" s="61" t="s">
        <v>85</v>
      </c>
      <c r="G39" s="62">
        <f t="shared" ref="G39:H39" si="13">G23+G38</f>
        <v>2929.666667</v>
      </c>
      <c r="H39" s="62">
        <f t="shared" si="13"/>
        <v>35156</v>
      </c>
      <c r="I39" s="3"/>
      <c r="J39" s="3"/>
      <c r="K39" s="5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16"/>
    </row>
    <row r="40">
      <c r="A40" s="34" t="s">
        <v>86</v>
      </c>
      <c r="C40" s="63">
        <f>if(C39="Yes", C36*C37/12,-pmt(C37/12,C38*12,C36))</f>
        <v>0</v>
      </c>
      <c r="D40" s="47"/>
      <c r="E40" s="64" t="s">
        <v>87</v>
      </c>
      <c r="G40" s="65">
        <f t="shared" ref="G40:H40" si="14">G18-G39</f>
        <v>-192.1666667</v>
      </c>
      <c r="H40" s="65">
        <f t="shared" si="14"/>
        <v>-2306</v>
      </c>
      <c r="I40" s="3"/>
      <c r="J40" s="3"/>
      <c r="K40" s="5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16"/>
    </row>
    <row r="41">
      <c r="A41" s="34" t="s">
        <v>88</v>
      </c>
      <c r="C41" s="66">
        <v>0.0</v>
      </c>
      <c r="D41" s="47"/>
      <c r="E41" s="3"/>
      <c r="F41" s="3"/>
      <c r="G41" s="3"/>
      <c r="H41" s="3"/>
      <c r="I41" s="3"/>
      <c r="J41" s="54"/>
      <c r="K41" s="5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16"/>
    </row>
    <row r="42">
      <c r="A42" s="34" t="s">
        <v>86</v>
      </c>
      <c r="C42" s="63">
        <f>C40+C41</f>
        <v>0</v>
      </c>
      <c r="D42" s="47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16"/>
    </row>
    <row r="43">
      <c r="A43" s="3"/>
      <c r="B43" s="3"/>
      <c r="C43" s="3"/>
      <c r="D43" s="47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16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6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6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6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6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6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6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6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16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16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16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16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16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16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16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16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16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16"/>
    </row>
    <row r="61">
      <c r="A61" s="3"/>
      <c r="B61" s="3"/>
      <c r="C61" s="3"/>
      <c r="D61" s="3"/>
      <c r="E61" s="3"/>
      <c r="F61" s="3"/>
      <c r="G61" s="3"/>
      <c r="H61" s="3"/>
      <c r="I61" s="3"/>
      <c r="J61" s="6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16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16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16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16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16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16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16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16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16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5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16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16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16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16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16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16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16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16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16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16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16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16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16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16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16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16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16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16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16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16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16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16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16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16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6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6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6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6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6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6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6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16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16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16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16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16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16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16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16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16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16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16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16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16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16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16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16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16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16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16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16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16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16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16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16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16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16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16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16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16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16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16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16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16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16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16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16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16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16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16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16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16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16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16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16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16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16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16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16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16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16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16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16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16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16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16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16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16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16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16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16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16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16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16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16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16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16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16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16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16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16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16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16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16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16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16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16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16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16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16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16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16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16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16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16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16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16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16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16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16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16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16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16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16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16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16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16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16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16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16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16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16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16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16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16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16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16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16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16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16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16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16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16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16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16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16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16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16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16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16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16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16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16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16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16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16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16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16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16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16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16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16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16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16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16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16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16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16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16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16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16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16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16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16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16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16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16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16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16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16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16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16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16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16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16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16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16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16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16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16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16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16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16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16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16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16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16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16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16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16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16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16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16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16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16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16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16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16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16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16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16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16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16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16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16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16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16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16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16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16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16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16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16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16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16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16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16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16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16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16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16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16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16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16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16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16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16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16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16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16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16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16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16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16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16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16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16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16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16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16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16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16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16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16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16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16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16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16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16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16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16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16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16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16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16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16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16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16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16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16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16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16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16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16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16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16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16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16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16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16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16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16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16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16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16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16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16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16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16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16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16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16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16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16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16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</sheetData>
  <mergeCells count="78">
    <mergeCell ref="A18:B18"/>
    <mergeCell ref="A20:B20"/>
    <mergeCell ref="A21:B21"/>
    <mergeCell ref="A22:B22"/>
    <mergeCell ref="A23:B23"/>
    <mergeCell ref="A24:B24"/>
    <mergeCell ref="A25:B25"/>
    <mergeCell ref="E32:F32"/>
    <mergeCell ref="E33:F33"/>
    <mergeCell ref="E35:F35"/>
    <mergeCell ref="E36:F36"/>
    <mergeCell ref="E37:F37"/>
    <mergeCell ref="E38:F38"/>
    <mergeCell ref="E39:F39"/>
    <mergeCell ref="E40:F40"/>
    <mergeCell ref="A26:B26"/>
    <mergeCell ref="A27:B27"/>
    <mergeCell ref="A28:B28"/>
    <mergeCell ref="A29:B29"/>
    <mergeCell ref="A30:B30"/>
    <mergeCell ref="E30:F30"/>
    <mergeCell ref="E31:F31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C35"/>
    <mergeCell ref="A36:B36"/>
    <mergeCell ref="A37:B37"/>
    <mergeCell ref="A2:C3"/>
    <mergeCell ref="E2:G3"/>
    <mergeCell ref="A4:C4"/>
    <mergeCell ref="A5:L5"/>
    <mergeCell ref="A6:C6"/>
    <mergeCell ref="E6:H6"/>
    <mergeCell ref="J6:L6"/>
    <mergeCell ref="J8:K8"/>
    <mergeCell ref="J9:K9"/>
    <mergeCell ref="J11:L11"/>
    <mergeCell ref="J14:K14"/>
    <mergeCell ref="J15:K15"/>
    <mergeCell ref="J16:K16"/>
    <mergeCell ref="J18:K18"/>
    <mergeCell ref="B7:C7"/>
    <mergeCell ref="E7:G7"/>
    <mergeCell ref="J7:K7"/>
    <mergeCell ref="B8:C8"/>
    <mergeCell ref="E8:G8"/>
    <mergeCell ref="B9:C9"/>
    <mergeCell ref="J10:K10"/>
    <mergeCell ref="E9:G9"/>
    <mergeCell ref="E10:G10"/>
    <mergeCell ref="E11:G11"/>
    <mergeCell ref="E13:H13"/>
    <mergeCell ref="E14:F14"/>
    <mergeCell ref="E15:G15"/>
    <mergeCell ref="E16:G16"/>
    <mergeCell ref="B10:C10"/>
    <mergeCell ref="A11:C11"/>
    <mergeCell ref="A12:C13"/>
    <mergeCell ref="A14:C14"/>
    <mergeCell ref="A15:B15"/>
    <mergeCell ref="A16:B16"/>
    <mergeCell ref="A17:B17"/>
    <mergeCell ref="E24:H24"/>
    <mergeCell ref="E25:F25"/>
    <mergeCell ref="E17:G17"/>
    <mergeCell ref="E18:F18"/>
    <mergeCell ref="E19:H19"/>
    <mergeCell ref="E20:F20"/>
    <mergeCell ref="E21:F21"/>
    <mergeCell ref="E22:F22"/>
    <mergeCell ref="E23:F23"/>
  </mergeCells>
  <dataValidations>
    <dataValidation type="list" allowBlank="1" sqref="C39">
      <formula1>"Yes,No"</formula1>
    </dataValidation>
  </dataValidations>
  <drawing r:id="rId2"/>
  <legacyDrawing r:id="rId3"/>
</worksheet>
</file>